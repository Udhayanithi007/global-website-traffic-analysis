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Ex1.xml" ContentType="application/vnd.ms-office.chartex+xml"/>
  <Override PartName="/xl/charts/style13.xml" ContentType="application/vnd.ms-office.chartstyle+xml"/>
  <Override PartName="/xl/charts/colors13.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Ex2.xml" ContentType="application/vnd.ms-office.chartex+xml"/>
  <Override PartName="/xl/charts/style20.xml" ContentType="application/vnd.ms-office.chartstyle+xml"/>
  <Override PartName="/xl/charts/colors20.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Ex3.xml" ContentType="application/vnd.ms-office.chartex+xml"/>
  <Override PartName="/xl/charts/style27.xml" ContentType="application/vnd.ms-office.chartstyle+xml"/>
  <Override PartName="/xl/charts/colors27.xml" ContentType="application/vnd.ms-office.chartcolorsty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drawings/drawing6.xml" ContentType="application/vnd.openxmlformats-officedocument.drawing+xml"/>
  <Override PartName="/xl/slicers/slicer2.xml" ContentType="application/vnd.ms-excel.slicer+xml"/>
  <Override PartName="/xl/charts/chart25.xml" ContentType="application/vnd.openxmlformats-officedocument.drawingml.chart+xml"/>
  <Override PartName="/xl/charts/style28.xml" ContentType="application/vnd.ms-office.chartstyle+xml"/>
  <Override PartName="/xl/charts/colors28.xml" ContentType="application/vnd.ms-office.chartcolorstyle+xml"/>
  <Override PartName="/xl/charts/chart26.xml" ContentType="application/vnd.openxmlformats-officedocument.drawingml.chart+xml"/>
  <Override PartName="/xl/charts/style29.xml" ContentType="application/vnd.ms-office.chartstyle+xml"/>
  <Override PartName="/xl/charts/colors29.xml" ContentType="application/vnd.ms-office.chartcolorstyle+xml"/>
  <Override PartName="/xl/charts/chart27.xml" ContentType="application/vnd.openxmlformats-officedocument.drawingml.chart+xml"/>
  <Override PartName="/xl/charts/style30.xml" ContentType="application/vnd.ms-office.chartstyle+xml"/>
  <Override PartName="/xl/charts/colors30.xml" ContentType="application/vnd.ms-office.chartcolorstyle+xml"/>
  <Override PartName="/xl/charts/chart28.xml" ContentType="application/vnd.openxmlformats-officedocument.drawingml.chart+xml"/>
  <Override PartName="/xl/charts/style31.xml" ContentType="application/vnd.ms-office.chartstyle+xml"/>
  <Override PartName="/xl/charts/colors31.xml" ContentType="application/vnd.ms-office.chartcolorstyle+xml"/>
  <Override PartName="/xl/charts/chart29.xml" ContentType="application/vnd.openxmlformats-officedocument.drawingml.chart+xml"/>
  <Override PartName="/xl/charts/style32.xml" ContentType="application/vnd.ms-office.chartstyle+xml"/>
  <Override PartName="/xl/charts/colors32.xml" ContentType="application/vnd.ms-office.chartcolorstyle+xml"/>
  <Override PartName="/xl/charts/chartEx4.xml" ContentType="application/vnd.ms-office.chartex+xml"/>
  <Override PartName="/xl/charts/style33.xml" ContentType="application/vnd.ms-office.chartstyle+xml"/>
  <Override PartName="/xl/charts/colors3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DF375F28-8B8D-4AC0-BF5F-99E86DC03B29}" xr6:coauthVersionLast="47" xr6:coauthVersionMax="47" xr10:uidLastSave="{00000000-0000-0000-0000-000000000000}"/>
  <bookViews>
    <workbookView xWindow="-120" yWindow="-120" windowWidth="29040" windowHeight="15720" activeTab="7" xr2:uid="{AB616CD9-CBBE-4E3D-8A38-2BDB4232ADA0}"/>
  </bookViews>
  <sheets>
    <sheet name=" web traffic_2026 " sheetId="4" r:id="rId1"/>
    <sheet name="CALCULATION" sheetId="2" r:id="rId2"/>
    <sheet name="Domain Analysis" sheetId="5" r:id="rId3"/>
    <sheet name="Category Analysis" sheetId="6" r:id="rId4"/>
    <sheet name="Market Analysis" sheetId="7" r:id="rId5"/>
    <sheet name="Tier Analysis" sheetId="12" r:id="rId6"/>
    <sheet name="KPI pivot" sheetId="16" r:id="rId7"/>
    <sheet name="Dashboard" sheetId="14" r:id="rId8"/>
  </sheets>
  <definedNames>
    <definedName name="_xlnm._FilterDatabase" localSheetId="0" hidden="1">' web traffic_2026 '!$A$1:$L$1</definedName>
    <definedName name="_xlchart.v1.0" hidden="1">'Category Analysis'!$Y$12:$Y$18</definedName>
    <definedName name="_xlchart.v1.1" hidden="1">'Category Analysis'!$Z$11</definedName>
    <definedName name="_xlchart.v1.10" hidden="1">'Category Analysis'!$Z$11</definedName>
    <definedName name="_xlchart.v1.11" hidden="1">'Category Analysis'!$Z$12:$Z$18</definedName>
    <definedName name="_xlchart.v1.2" hidden="1">'Category Analysis'!$Z$12:$Z$18</definedName>
    <definedName name="_xlchart.v1.3" hidden="1">'Market Analysis'!$AA$6</definedName>
    <definedName name="_xlchart.v1.4" hidden="1">'Market Analysis'!$AA$7:$AA$12</definedName>
    <definedName name="_xlchart.v1.5" hidden="1">'Market Analysis'!$Z$7:$Z$12</definedName>
    <definedName name="_xlchart.v1.6" hidden="1">'Tier Analysis'!$Y$5:$Y$8</definedName>
    <definedName name="_xlchart.v1.7" hidden="1">'Tier Analysis'!$Z$4</definedName>
    <definedName name="_xlchart.v1.8" hidden="1">'Tier Analysis'!$Z$5:$Z$8</definedName>
    <definedName name="_xlchart.v1.9" hidden="1">'Category Analysis'!$Y$12:$Y$18</definedName>
    <definedName name="Slicer_category">#N/A</definedName>
    <definedName name="Slicer_primary_market">#N/A</definedName>
    <definedName name="Slicer_traffic_tie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9" i="2" l="1"/>
  <c r="D18" i="2"/>
  <c r="D17" i="2"/>
  <c r="D16" i="2"/>
  <c r="L3" i="4" a="1"/>
  <c r="L3" i="4"/>
  <c r="L4" i="4" a="1"/>
  <c r="L4" i="4"/>
  <c r="L5" i="4" a="1"/>
  <c r="L5" i="4"/>
  <c r="L6" i="4" a="1"/>
  <c r="L6" i="4"/>
  <c r="L7" i="4" a="1"/>
  <c r="L7" i="4"/>
  <c r="L8" i="4" a="1"/>
  <c r="L8" i="4"/>
  <c r="L9" i="4" a="1"/>
  <c r="L9" i="4"/>
  <c r="L10" i="4" a="1"/>
  <c r="L10" i="4"/>
  <c r="L11" i="4" a="1"/>
  <c r="L11" i="4" s="1"/>
  <c r="L12" i="4" a="1"/>
  <c r="L12" i="4"/>
  <c r="L13" i="4" a="1"/>
  <c r="L13" i="4"/>
  <c r="L14" i="4" a="1"/>
  <c r="L14" i="4"/>
  <c r="L15" i="4" a="1"/>
  <c r="L15" i="4"/>
  <c r="L16" i="4" a="1"/>
  <c r="L16" i="4"/>
  <c r="L17" i="4" a="1"/>
  <c r="L17" i="4"/>
  <c r="L18" i="4" a="1"/>
  <c r="L18" i="4"/>
  <c r="L19" i="4" a="1"/>
  <c r="L19" i="4" s="1"/>
  <c r="L20" i="4" a="1"/>
  <c r="L20" i="4"/>
  <c r="L21" i="4" a="1"/>
  <c r="L21" i="4"/>
  <c r="L22" i="4" a="1"/>
  <c r="L22" i="4"/>
  <c r="L23" i="4" a="1"/>
  <c r="L23" i="4"/>
  <c r="L24" i="4" a="1"/>
  <c r="L24" i="4"/>
  <c r="L25" i="4" a="1"/>
  <c r="L25" i="4"/>
  <c r="L26" i="4" a="1"/>
  <c r="L26" i="4"/>
  <c r="L27" i="4" a="1"/>
  <c r="L27" i="4" s="1"/>
  <c r="L28" i="4" a="1"/>
  <c r="L28" i="4" s="1"/>
  <c r="L29" i="4" a="1"/>
  <c r="L29" i="4"/>
  <c r="L30" i="4" a="1"/>
  <c r="L30" i="4"/>
  <c r="L31" i="4" a="1"/>
  <c r="L31" i="4"/>
  <c r="L32" i="4" a="1"/>
  <c r="L32" i="4"/>
  <c r="L33" i="4" a="1"/>
  <c r="L33" i="4"/>
  <c r="L34" i="4" a="1"/>
  <c r="L34" i="4"/>
  <c r="L35" i="4" a="1"/>
  <c r="L35" i="4" s="1"/>
  <c r="L36" i="4" a="1"/>
  <c r="L36" i="4"/>
  <c r="L37" i="4" a="1"/>
  <c r="L37" i="4"/>
  <c r="L38" i="4" a="1"/>
  <c r="L38" i="4"/>
  <c r="L39" i="4" a="1"/>
  <c r="L39" i="4"/>
  <c r="L40" i="4" a="1"/>
  <c r="L40" i="4"/>
  <c r="L41" i="4" a="1"/>
  <c r="L41" i="4"/>
  <c r="L42" i="4" a="1"/>
  <c r="L42" i="4"/>
  <c r="L43" i="4" a="1"/>
  <c r="L43" i="4" s="1"/>
  <c r="L44" i="4" a="1"/>
  <c r="L44" i="4"/>
  <c r="L45" i="4" a="1"/>
  <c r="L45" i="4" s="1"/>
  <c r="L46" i="4" a="1"/>
  <c r="L46" i="4"/>
  <c r="L47" i="4" a="1"/>
  <c r="L47" i="4"/>
  <c r="L48" i="4" a="1"/>
  <c r="L48" i="4"/>
  <c r="L49" i="4" a="1"/>
  <c r="L49" i="4"/>
  <c r="L50" i="4" a="1"/>
  <c r="L50" i="4"/>
  <c r="L51" i="4" a="1"/>
  <c r="L51" i="4" s="1"/>
  <c r="L52" i="4" a="1"/>
  <c r="L52" i="4"/>
  <c r="L53" i="4" a="1"/>
  <c r="L53" i="4"/>
  <c r="L54" i="4" a="1"/>
  <c r="L54" i="4"/>
  <c r="L55" i="4" a="1"/>
  <c r="L55" i="4"/>
  <c r="L56" i="4" a="1"/>
  <c r="L56" i="4"/>
  <c r="L57" i="4" a="1"/>
  <c r="L57" i="4"/>
  <c r="L58" i="4" a="1"/>
  <c r="L58" i="4"/>
  <c r="L59" i="4" a="1"/>
  <c r="L59" i="4" s="1"/>
  <c r="L60" i="4" a="1"/>
  <c r="L60" i="4"/>
  <c r="L61" i="4" a="1"/>
  <c r="L61" i="4"/>
  <c r="L62" i="4" a="1"/>
  <c r="L62" i="4" s="1"/>
  <c r="L63" i="4" a="1"/>
  <c r="L63" i="4"/>
  <c r="L64" i="4" a="1"/>
  <c r="L64" i="4"/>
  <c r="L65" i="4" a="1"/>
  <c r="L65" i="4"/>
  <c r="L66" i="4" a="1"/>
  <c r="L66" i="4"/>
  <c r="L67" i="4" a="1"/>
  <c r="L67" i="4" s="1"/>
  <c r="L68" i="4" a="1"/>
  <c r="L68" i="4"/>
  <c r="L69" i="4" a="1"/>
  <c r="L69" i="4"/>
  <c r="L70" i="4" a="1"/>
  <c r="L70" i="4"/>
  <c r="L71" i="4" a="1"/>
  <c r="L71" i="4"/>
  <c r="L72" i="4" a="1"/>
  <c r="L72" i="4" s="1"/>
  <c r="L73" i="4" a="1"/>
  <c r="L73" i="4"/>
  <c r="L74" i="4" a="1"/>
  <c r="L74" i="4"/>
  <c r="L75" i="4" a="1"/>
  <c r="L75" i="4" s="1"/>
  <c r="L76" i="4" a="1"/>
  <c r="L76" i="4"/>
  <c r="L77" i="4" a="1"/>
  <c r="L77" i="4"/>
  <c r="L78" i="4" a="1"/>
  <c r="L78" i="4"/>
  <c r="L79" i="4" a="1"/>
  <c r="L79" i="4" s="1"/>
  <c r="L80" i="4" a="1"/>
  <c r="L80" i="4"/>
  <c r="L81" i="4" a="1"/>
  <c r="L81" i="4" s="1"/>
  <c r="L82" i="4" a="1"/>
  <c r="L82" i="4"/>
  <c r="L83" i="4" a="1"/>
  <c r="L83" i="4" s="1"/>
  <c r="L84" i="4" a="1"/>
  <c r="L84" i="4"/>
  <c r="L85" i="4" a="1"/>
  <c r="L85" i="4"/>
  <c r="L86" i="4" a="1"/>
  <c r="L86" i="4"/>
  <c r="L87" i="4" a="1"/>
  <c r="L87" i="4"/>
  <c r="L88" i="4" a="1"/>
  <c r="L88" i="4"/>
  <c r="L89" i="4" a="1"/>
  <c r="L89" i="4"/>
  <c r="L90" i="4" a="1"/>
  <c r="L90" i="4"/>
  <c r="L91" i="4" a="1"/>
  <c r="L91" i="4" s="1"/>
  <c r="L92" i="4" a="1"/>
  <c r="L92" i="4"/>
  <c r="L93" i="4" a="1"/>
  <c r="L93" i="4"/>
  <c r="L94" i="4" a="1"/>
  <c r="L94" i="4"/>
  <c r="L95" i="4" a="1"/>
  <c r="L95" i="4"/>
  <c r="L96" i="4" a="1"/>
  <c r="L96" i="4" s="1"/>
  <c r="L97" i="4" a="1"/>
  <c r="L97" i="4"/>
  <c r="L98" i="4" a="1"/>
  <c r="L98" i="4"/>
  <c r="L99" i="4" a="1"/>
  <c r="L99" i="4" s="1"/>
  <c r="L100" i="4" a="1"/>
  <c r="L100" i="4"/>
  <c r="L101" i="4" a="1"/>
  <c r="L101" i="4"/>
  <c r="L102" i="4" a="1"/>
  <c r="L102" i="4"/>
  <c r="L103" i="4" a="1"/>
  <c r="L103" i="4"/>
  <c r="L104" i="4" a="1"/>
  <c r="L104" i="4"/>
  <c r="L105" i="4" a="1"/>
  <c r="L105" i="4"/>
  <c r="L106" i="4" a="1"/>
  <c r="L106" i="4"/>
  <c r="L107" i="4" a="1"/>
  <c r="L107" i="4" s="1"/>
  <c r="L108" i="4" a="1"/>
  <c r="L108" i="4"/>
  <c r="L109" i="4" a="1"/>
  <c r="L109" i="4"/>
  <c r="L110" i="4" a="1"/>
  <c r="L110" i="4"/>
  <c r="L111" i="4" a="1"/>
  <c r="L111" i="4"/>
  <c r="L112" i="4" a="1"/>
  <c r="L112" i="4"/>
  <c r="L113" i="4" a="1"/>
  <c r="L113" i="4" s="1"/>
  <c r="L114" i="4" a="1"/>
  <c r="L114" i="4"/>
  <c r="L115" i="4" a="1"/>
  <c r="L115" i="4" s="1"/>
  <c r="L116" i="4" a="1"/>
  <c r="L116" i="4"/>
  <c r="L117" i="4" a="1"/>
  <c r="L117" i="4"/>
  <c r="L118" i="4" a="1"/>
  <c r="L118" i="4"/>
  <c r="L119" i="4" a="1"/>
  <c r="L119" i="4"/>
  <c r="L120" i="4" a="1"/>
  <c r="L120" i="4"/>
  <c r="L121" i="4" a="1"/>
  <c r="L121" i="4"/>
  <c r="L122" i="4" a="1"/>
  <c r="L122" i="4"/>
  <c r="L123" i="4" a="1"/>
  <c r="L123" i="4" s="1"/>
  <c r="L124" i="4" a="1"/>
  <c r="L124" i="4"/>
  <c r="L125" i="4" a="1"/>
  <c r="L125" i="4" s="1"/>
  <c r="L126" i="4" a="1"/>
  <c r="L126" i="4"/>
  <c r="L127" i="4" a="1"/>
  <c r="L127" i="4"/>
  <c r="L128" i="4" a="1"/>
  <c r="L128" i="4"/>
  <c r="L129" i="4" a="1"/>
  <c r="L129" i="4"/>
  <c r="L130" i="4" a="1"/>
  <c r="L130" i="4" s="1"/>
  <c r="L131" i="4" a="1"/>
  <c r="L131" i="4" s="1"/>
  <c r="L132" i="4" a="1"/>
  <c r="L132" i="4"/>
  <c r="L133" i="4" a="1"/>
  <c r="L133" i="4"/>
  <c r="L134" i="4" a="1"/>
  <c r="L134" i="4" s="1"/>
  <c r="L135" i="4" a="1"/>
  <c r="L135" i="4"/>
  <c r="L136" i="4" a="1"/>
  <c r="L136" i="4"/>
  <c r="L137" i="4" a="1"/>
  <c r="L137" i="4"/>
  <c r="L138" i="4" a="1"/>
  <c r="L138" i="4"/>
  <c r="L139" i="4" a="1"/>
  <c r="L139" i="4" s="1"/>
  <c r="L140" i="4" a="1"/>
  <c r="L140" i="4"/>
  <c r="L141" i="4" a="1"/>
  <c r="L141" i="4"/>
  <c r="L142" i="4" a="1"/>
  <c r="L142" i="4"/>
  <c r="L143" i="4" a="1"/>
  <c r="L143" i="4"/>
  <c r="L144" i="4" a="1"/>
  <c r="L144" i="4"/>
  <c r="L145" i="4" a="1"/>
  <c r="L145" i="4"/>
  <c r="L146" i="4" a="1"/>
  <c r="L146" i="4"/>
  <c r="L147" i="4" a="1"/>
  <c r="L147" i="4" s="1"/>
  <c r="L148" i="4" a="1"/>
  <c r="L148" i="4"/>
  <c r="L149" i="4" a="1"/>
  <c r="L149" i="4"/>
  <c r="L150" i="4" a="1"/>
  <c r="L150" i="4"/>
  <c r="L151" i="4" a="1"/>
  <c r="L151" i="4" s="1"/>
  <c r="L152" i="4" a="1"/>
  <c r="L152" i="4"/>
  <c r="L153" i="4" a="1"/>
  <c r="L153" i="4"/>
  <c r="L154" i="4" a="1"/>
  <c r="L154" i="4"/>
  <c r="L155" i="4" a="1"/>
  <c r="L155" i="4" s="1"/>
  <c r="L156" i="4" a="1"/>
  <c r="L156" i="4" s="1"/>
  <c r="L157" i="4" a="1"/>
  <c r="L157" i="4"/>
  <c r="L158" i="4" a="1"/>
  <c r="L158" i="4"/>
  <c r="L159" i="4" a="1"/>
  <c r="L159" i="4"/>
  <c r="L160" i="4" a="1"/>
  <c r="L160" i="4" s="1"/>
  <c r="L161" i="4" a="1"/>
  <c r="L161" i="4"/>
  <c r="L162" i="4" a="1"/>
  <c r="L162" i="4"/>
  <c r="L163" i="4" a="1"/>
  <c r="L163" i="4" s="1"/>
  <c r="L164" i="4" a="1"/>
  <c r="L164" i="4"/>
  <c r="L165" i="4" a="1"/>
  <c r="L165" i="4"/>
  <c r="L166" i="4" a="1"/>
  <c r="L166" i="4"/>
  <c r="L167" i="4" a="1"/>
  <c r="L167" i="4"/>
  <c r="L168" i="4" a="1"/>
  <c r="L168" i="4"/>
  <c r="L169" i="4" a="1"/>
  <c r="L169" i="4"/>
  <c r="L170" i="4" a="1"/>
  <c r="L170" i="4"/>
  <c r="L171" i="4" a="1"/>
  <c r="L171" i="4" s="1"/>
  <c r="L172" i="4" a="1"/>
  <c r="L172" i="4"/>
  <c r="L173" i="4" a="1"/>
  <c r="L173" i="4" s="1"/>
  <c r="L174" i="4" a="1"/>
  <c r="L174" i="4"/>
  <c r="L175" i="4" a="1"/>
  <c r="L175" i="4"/>
  <c r="L176" i="4" a="1"/>
  <c r="L176" i="4"/>
  <c r="L177" i="4" a="1"/>
  <c r="L177" i="4"/>
  <c r="L178" i="4" a="1"/>
  <c r="L178" i="4"/>
  <c r="L179" i="4" a="1"/>
  <c r="L179" i="4" s="1"/>
  <c r="L180" i="4" a="1"/>
  <c r="L180" i="4"/>
  <c r="L181" i="4" a="1"/>
  <c r="L181" i="4"/>
  <c r="L182" i="4" a="1"/>
  <c r="L182" i="4"/>
  <c r="L183" i="4" a="1"/>
  <c r="L183" i="4"/>
  <c r="L184" i="4" a="1"/>
  <c r="L184" i="4"/>
  <c r="L185" i="4" a="1"/>
  <c r="L185" i="4"/>
  <c r="L186" i="4" a="1"/>
  <c r="L186" i="4" s="1"/>
  <c r="L187" i="4" a="1"/>
  <c r="L187" i="4" s="1"/>
  <c r="L188" i="4" a="1"/>
  <c r="L188" i="4"/>
  <c r="L189" i="4" a="1"/>
  <c r="L189" i="4"/>
  <c r="L190" i="4" a="1"/>
  <c r="L190" i="4" s="1"/>
  <c r="L191" i="4" a="1"/>
  <c r="L191" i="4"/>
  <c r="L192" i="4" a="1"/>
  <c r="L192" i="4"/>
  <c r="L193" i="4" a="1"/>
  <c r="L193" i="4"/>
  <c r="L194" i="4" a="1"/>
  <c r="L194" i="4"/>
  <c r="L195" i="4" a="1"/>
  <c r="L195" i="4" s="1"/>
  <c r="L196" i="4" a="1"/>
  <c r="L196" i="4"/>
  <c r="L197" i="4" a="1"/>
  <c r="L197" i="4"/>
  <c r="L198" i="4" a="1"/>
  <c r="L198" i="4"/>
  <c r="L199" i="4" a="1"/>
  <c r="L199" i="4"/>
  <c r="L200" i="4" a="1"/>
  <c r="L200" i="4"/>
  <c r="L201" i="4" a="1"/>
  <c r="L201" i="4"/>
  <c r="L202" i="4" a="1"/>
  <c r="L202" i="4"/>
  <c r="L203" i="4" a="1"/>
  <c r="L203" i="4" s="1"/>
  <c r="L204" i="4" a="1"/>
  <c r="L204" i="4" s="1"/>
  <c r="L205" i="4" a="1"/>
  <c r="L205" i="4"/>
  <c r="L206" i="4" a="1"/>
  <c r="L206" i="4"/>
  <c r="L207" i="4" a="1"/>
  <c r="L207" i="4" s="1"/>
  <c r="L208" i="4" a="1"/>
  <c r="L208" i="4"/>
  <c r="L209" i="4" a="1"/>
  <c r="L209" i="4"/>
  <c r="L210" i="4" a="1"/>
  <c r="L210" i="4"/>
  <c r="L211" i="4" a="1"/>
  <c r="L211" i="4" s="1"/>
  <c r="L212" i="4" a="1"/>
  <c r="L212" i="4"/>
  <c r="L213" i="4" a="1"/>
  <c r="L213" i="4" s="1"/>
  <c r="L214" i="4" a="1"/>
  <c r="L214" i="4"/>
  <c r="L215" i="4" a="1"/>
  <c r="L215" i="4"/>
  <c r="L216" i="4" a="1"/>
  <c r="L216" i="4"/>
  <c r="L217" i="4" a="1"/>
  <c r="L217" i="4"/>
  <c r="L218" i="4" a="1"/>
  <c r="L218" i="4"/>
  <c r="L219" i="4" a="1"/>
  <c r="L219" i="4" s="1"/>
  <c r="L220" i="4" a="1"/>
  <c r="L220" i="4"/>
  <c r="L221" i="4" a="1"/>
  <c r="L221" i="4"/>
  <c r="L222" i="4" a="1"/>
  <c r="L222" i="4"/>
  <c r="L223" i="4" a="1"/>
  <c r="L223" i="4"/>
  <c r="L224" i="4" a="1"/>
  <c r="L224" i="4" s="1"/>
  <c r="L225" i="4" a="1"/>
  <c r="L225" i="4"/>
  <c r="L226" i="4" a="1"/>
  <c r="L226" i="4"/>
  <c r="L227" i="4" a="1"/>
  <c r="L227" i="4" s="1"/>
  <c r="L228" i="4" a="1"/>
  <c r="L228" i="4"/>
  <c r="L229" i="4" a="1"/>
  <c r="L229" i="4"/>
  <c r="L230" i="4" a="1"/>
  <c r="L230" i="4"/>
  <c r="L231" i="4" a="1"/>
  <c r="L231" i="4"/>
  <c r="L232" i="4" a="1"/>
  <c r="L232" i="4"/>
  <c r="L233" i="4" a="1"/>
  <c r="L233" i="4"/>
  <c r="L234" i="4" a="1"/>
  <c r="L234" i="4"/>
  <c r="L235" i="4" a="1"/>
  <c r="L235" i="4" s="1"/>
  <c r="L236" i="4" a="1"/>
  <c r="L236" i="4"/>
  <c r="L237" i="4" a="1"/>
  <c r="L237" i="4"/>
  <c r="L238" i="4" a="1"/>
  <c r="L238" i="4"/>
  <c r="L239" i="4" a="1"/>
  <c r="L239" i="4" s="1"/>
  <c r="L240" i="4" a="1"/>
  <c r="L240" i="4"/>
  <c r="L241" i="4" a="1"/>
  <c r="L241" i="4" s="1"/>
  <c r="L242" i="4" a="1"/>
  <c r="L242" i="4"/>
  <c r="L243" i="4" a="1"/>
  <c r="L243" i="4" s="1"/>
  <c r="L244" i="4" a="1"/>
  <c r="L244" i="4"/>
  <c r="L245" i="4" a="1"/>
  <c r="L245" i="4"/>
  <c r="L246" i="4" a="1"/>
  <c r="L246" i="4"/>
  <c r="L247" i="4" a="1"/>
  <c r="L247" i="4"/>
  <c r="L248" i="4" a="1"/>
  <c r="L248" i="4" s="1"/>
  <c r="L249" i="4" a="1"/>
  <c r="L249" i="4"/>
  <c r="L250" i="4" a="1"/>
  <c r="L250" i="4"/>
  <c r="L251" i="4" a="1"/>
  <c r="L251" i="4" s="1"/>
  <c r="L252" i="4" a="1"/>
  <c r="L252" i="4"/>
  <c r="L253" i="4" a="1"/>
  <c r="L253" i="4"/>
  <c r="L254" i="4" a="1"/>
  <c r="L254" i="4"/>
  <c r="L255" i="4" a="1"/>
  <c r="L255" i="4"/>
  <c r="L256" i="4" a="1"/>
  <c r="L256" i="4"/>
  <c r="L257" i="4" a="1"/>
  <c r="L257" i="4"/>
  <c r="L258" i="4" a="1"/>
  <c r="L258" i="4" s="1"/>
  <c r="L259" i="4" a="1"/>
  <c r="L259" i="4" s="1"/>
  <c r="L260" i="4" a="1"/>
  <c r="L260" i="4"/>
  <c r="L261" i="4" a="1"/>
  <c r="L261" i="4"/>
  <c r="L262" i="4" a="1"/>
  <c r="L262" i="4"/>
  <c r="L263" i="4" a="1"/>
  <c r="L263" i="4"/>
  <c r="L264" i="4" a="1"/>
  <c r="L264" i="4"/>
  <c r="L265" i="4" a="1"/>
  <c r="L265" i="4"/>
  <c r="L266" i="4" a="1"/>
  <c r="L266" i="4"/>
  <c r="L267" i="4" a="1"/>
  <c r="L267" i="4" s="1"/>
  <c r="L268" i="4" a="1"/>
  <c r="L268" i="4"/>
  <c r="L269" i="4" a="1"/>
  <c r="L269" i="4"/>
  <c r="L270" i="4" a="1"/>
  <c r="L270" i="4"/>
  <c r="L271" i="4" a="1"/>
  <c r="L271" i="4"/>
  <c r="L272" i="4" a="1"/>
  <c r="L272" i="4"/>
  <c r="L273" i="4" a="1"/>
  <c r="L273" i="4"/>
  <c r="L274" i="4" a="1"/>
  <c r="L274" i="4" s="1"/>
  <c r="L275" i="4" a="1"/>
  <c r="L275" i="4" s="1"/>
  <c r="L276" i="4" a="1"/>
  <c r="L276" i="4"/>
  <c r="L277" i="4" a="1"/>
  <c r="L277" i="4"/>
  <c r="L278" i="4" a="1"/>
  <c r="L278" i="4"/>
  <c r="L279" i="4" a="1"/>
  <c r="L279" i="4"/>
  <c r="L280" i="4" a="1"/>
  <c r="L280" i="4"/>
  <c r="L281" i="4" a="1"/>
  <c r="L281" i="4"/>
  <c r="L282" i="4" a="1"/>
  <c r="L282" i="4"/>
  <c r="L283" i="4" a="1"/>
  <c r="L283" i="4" s="1"/>
  <c r="L284" i="4" a="1"/>
  <c r="L284" i="4" s="1"/>
  <c r="L285" i="4" a="1"/>
  <c r="L285" i="4"/>
  <c r="L286" i="4" a="1"/>
  <c r="L286" i="4"/>
  <c r="L287" i="4" a="1"/>
  <c r="L287" i="4"/>
  <c r="L288" i="4" a="1"/>
  <c r="L288" i="4"/>
  <c r="L289" i="4" a="1"/>
  <c r="L289" i="4"/>
  <c r="L290" i="4" a="1"/>
  <c r="L290" i="4"/>
  <c r="L291" i="4" a="1"/>
  <c r="L291" i="4" s="1"/>
  <c r="L292" i="4" a="1"/>
  <c r="L292" i="4" s="1"/>
  <c r="L293" i="4" a="1"/>
  <c r="L293" i="4"/>
  <c r="L294" i="4" a="1"/>
  <c r="L294" i="4"/>
  <c r="L295" i="4" a="1"/>
  <c r="L295" i="4"/>
  <c r="L296" i="4" a="1"/>
  <c r="L296" i="4"/>
  <c r="L297" i="4" a="1"/>
  <c r="L297" i="4"/>
  <c r="L298" i="4" a="1"/>
  <c r="L298" i="4"/>
  <c r="L299" i="4" a="1"/>
  <c r="L299" i="4" s="1"/>
  <c r="L300" i="4" a="1"/>
  <c r="L300" i="4"/>
  <c r="L301" i="4" a="1"/>
  <c r="L301" i="4" s="1"/>
  <c r="L302" i="4" a="1"/>
  <c r="L302" i="4"/>
  <c r="L303" i="4" a="1"/>
  <c r="L303" i="4"/>
  <c r="L304" i="4" a="1"/>
  <c r="L304" i="4"/>
  <c r="L305" i="4" a="1"/>
  <c r="L305" i="4"/>
  <c r="L306" i="4" a="1"/>
  <c r="L306" i="4"/>
  <c r="L307" i="4" a="1"/>
  <c r="L307" i="4" s="1"/>
  <c r="L308" i="4" a="1"/>
  <c r="L308" i="4"/>
  <c r="L309" i="4" a="1"/>
  <c r="L309" i="4"/>
  <c r="L310" i="4" a="1"/>
  <c r="L310" i="4"/>
  <c r="L311" i="4" a="1"/>
  <c r="L311" i="4"/>
  <c r="L312" i="4" a="1"/>
  <c r="L312" i="4"/>
  <c r="L313" i="4" a="1"/>
  <c r="L313" i="4"/>
  <c r="L314" i="4" a="1"/>
  <c r="L314" i="4"/>
  <c r="L315" i="4" a="1"/>
  <c r="L315" i="4" s="1"/>
  <c r="L316" i="4" a="1"/>
  <c r="L316" i="4"/>
  <c r="L317" i="4" a="1"/>
  <c r="L317" i="4"/>
  <c r="L318" i="4" a="1"/>
  <c r="L318" i="4" s="1"/>
  <c r="L319" i="4" a="1"/>
  <c r="L319" i="4"/>
  <c r="L320" i="4" a="1"/>
  <c r="L320" i="4"/>
  <c r="L321" i="4" a="1"/>
  <c r="L321" i="4"/>
  <c r="L322" i="4" a="1"/>
  <c r="L322" i="4"/>
  <c r="L323" i="4" a="1"/>
  <c r="L323" i="4" s="1"/>
  <c r="L324" i="4" a="1"/>
  <c r="L324" i="4"/>
  <c r="L325" i="4" a="1"/>
  <c r="L325" i="4"/>
  <c r="L326" i="4" a="1"/>
  <c r="L326" i="4"/>
  <c r="L327" i="4" a="1"/>
  <c r="L327" i="4"/>
  <c r="L328" i="4" a="1"/>
  <c r="L328" i="4"/>
  <c r="L329" i="4" a="1"/>
  <c r="L329" i="4"/>
  <c r="L330" i="4" a="1"/>
  <c r="L330" i="4"/>
  <c r="L331" i="4" a="1"/>
  <c r="L331" i="4" s="1"/>
  <c r="L332" i="4" a="1"/>
  <c r="L332" i="4"/>
  <c r="L333" i="4" a="1"/>
  <c r="L333" i="4"/>
  <c r="L334" i="4" a="1"/>
  <c r="L334" i="4"/>
  <c r="L335" i="4" a="1"/>
  <c r="L335" i="4" s="1"/>
  <c r="L336" i="4" a="1"/>
  <c r="L336" i="4"/>
  <c r="L337" i="4" a="1"/>
  <c r="L337" i="4"/>
  <c r="L338" i="4" a="1"/>
  <c r="L338" i="4"/>
  <c r="L339" i="4" a="1"/>
  <c r="L339" i="4" s="1"/>
  <c r="L340" i="4" a="1"/>
  <c r="L340" i="4"/>
  <c r="L341" i="4" a="1"/>
  <c r="L341" i="4"/>
  <c r="L342" i="4" a="1"/>
  <c r="L342" i="4"/>
  <c r="L343" i="4" a="1"/>
  <c r="L343" i="4"/>
  <c r="L344" i="4" a="1"/>
  <c r="L344" i="4"/>
  <c r="L345" i="4" a="1"/>
  <c r="L345" i="4"/>
  <c r="L346" i="4" a="1"/>
  <c r="L346" i="4"/>
  <c r="L347" i="4" a="1"/>
  <c r="L347" i="4" s="1"/>
  <c r="L348" i="4" a="1"/>
  <c r="L348" i="4"/>
  <c r="L349" i="4" a="1"/>
  <c r="L349" i="4"/>
  <c r="L350" i="4" a="1"/>
  <c r="L350" i="4"/>
  <c r="L351" i="4" a="1"/>
  <c r="L351" i="4"/>
  <c r="L352" i="4" a="1"/>
  <c r="L352" i="4" s="1"/>
  <c r="L353" i="4" a="1"/>
  <c r="L353" i="4"/>
  <c r="L354" i="4" a="1"/>
  <c r="L354" i="4"/>
  <c r="L355" i="4" a="1"/>
  <c r="L355" i="4" s="1"/>
  <c r="L356" i="4" a="1"/>
  <c r="L356" i="4"/>
  <c r="L357" i="4" a="1"/>
  <c r="L357" i="4"/>
  <c r="L358" i="4" a="1"/>
  <c r="L358" i="4"/>
  <c r="L359" i="4" a="1"/>
  <c r="L359" i="4"/>
  <c r="L360" i="4" a="1"/>
  <c r="L360" i="4"/>
  <c r="L361" i="4" a="1"/>
  <c r="L361" i="4"/>
  <c r="L362" i="4" a="1"/>
  <c r="L362" i="4" s="1"/>
  <c r="L363" i="4" a="1"/>
  <c r="L363" i="4" s="1"/>
  <c r="L364" i="4" a="1"/>
  <c r="L364" i="4"/>
  <c r="L365" i="4" a="1"/>
  <c r="L365" i="4"/>
  <c r="L366" i="4" a="1"/>
  <c r="L366" i="4"/>
  <c r="L367" i="4" a="1"/>
  <c r="L367" i="4"/>
  <c r="L368" i="4" a="1"/>
  <c r="L368" i="4"/>
  <c r="L369" i="4" a="1"/>
  <c r="L369" i="4" s="1"/>
  <c r="L370" i="4" a="1"/>
  <c r="L370" i="4"/>
  <c r="L371" i="4" a="1"/>
  <c r="L371" i="4" s="1"/>
  <c r="L372" i="4" a="1"/>
  <c r="L372" i="4"/>
  <c r="L373" i="4" a="1"/>
  <c r="L373" i="4"/>
  <c r="L374" i="4" a="1"/>
  <c r="L374" i="4"/>
  <c r="L375" i="4" a="1"/>
  <c r="L375" i="4"/>
  <c r="L376" i="4" a="1"/>
  <c r="L376" i="4"/>
  <c r="L377" i="4" a="1"/>
  <c r="L377" i="4"/>
  <c r="L378" i="4" a="1"/>
  <c r="L378" i="4"/>
  <c r="L379" i="4" a="1"/>
  <c r="L379" i="4" s="1"/>
  <c r="L380" i="4" a="1"/>
  <c r="L380" i="4" s="1"/>
  <c r="L381" i="4" a="1"/>
  <c r="L381" i="4"/>
  <c r="L382" i="4" a="1"/>
  <c r="L382" i="4"/>
  <c r="L383" i="4" a="1"/>
  <c r="L383" i="4"/>
  <c r="L384" i="4" a="1"/>
  <c r="L384" i="4"/>
  <c r="L385" i="4" a="1"/>
  <c r="L385" i="4"/>
  <c r="L386" i="4" a="1"/>
  <c r="L386" i="4" s="1"/>
  <c r="L387" i="4" a="1"/>
  <c r="L387" i="4" s="1"/>
  <c r="L388" i="4" a="1"/>
  <c r="L388" i="4"/>
  <c r="L389" i="4" a="1"/>
  <c r="L389" i="4" s="1"/>
  <c r="L390" i="4" a="1"/>
  <c r="L390" i="4"/>
  <c r="L391" i="4" a="1"/>
  <c r="L391" i="4"/>
  <c r="L392" i="4" a="1"/>
  <c r="L392" i="4"/>
  <c r="L393" i="4" a="1"/>
  <c r="L393" i="4"/>
  <c r="L394" i="4" a="1"/>
  <c r="L394" i="4"/>
  <c r="L395" i="4" a="1"/>
  <c r="L395" i="4" s="1"/>
  <c r="L396" i="4" a="1"/>
  <c r="L396" i="4"/>
  <c r="L397" i="4" a="1"/>
  <c r="L397" i="4"/>
  <c r="L398" i="4" a="1"/>
  <c r="L398" i="4"/>
  <c r="L399" i="4" a="1"/>
  <c r="L399" i="4"/>
  <c r="L400" i="4" a="1"/>
  <c r="L400" i="4"/>
  <c r="L401" i="4" a="1"/>
  <c r="L401" i="4"/>
  <c r="L402" i="4" a="1"/>
  <c r="L402" i="4"/>
  <c r="L403" i="4" a="1"/>
  <c r="L403" i="4" s="1"/>
  <c r="L404" i="4" a="1"/>
  <c r="L404" i="4"/>
  <c r="L405" i="4" a="1"/>
  <c r="L405" i="4"/>
  <c r="L406" i="4" a="1"/>
  <c r="L406" i="4" s="1"/>
  <c r="L407" i="4" a="1"/>
  <c r="L407" i="4"/>
  <c r="L408" i="4" a="1"/>
  <c r="L408" i="4"/>
  <c r="L409" i="4" a="1"/>
  <c r="L409" i="4"/>
  <c r="L410" i="4" a="1"/>
  <c r="L410" i="4"/>
  <c r="L411" i="4" a="1"/>
  <c r="L411" i="4" s="1"/>
  <c r="L412" i="4" a="1"/>
  <c r="L412" i="4" s="1"/>
  <c r="L413" i="4" a="1"/>
  <c r="L413" i="4"/>
  <c r="L414" i="4" a="1"/>
  <c r="L414" i="4"/>
  <c r="L415" i="4" a="1"/>
  <c r="L415" i="4" s="1"/>
  <c r="L416" i="4" a="1"/>
  <c r="L416" i="4"/>
  <c r="L417" i="4" a="1"/>
  <c r="L417" i="4"/>
  <c r="L418" i="4" a="1"/>
  <c r="L418" i="4"/>
  <c r="L419" i="4" a="1"/>
  <c r="L419" i="4" s="1"/>
  <c r="L420" i="4" a="1"/>
  <c r="L420" i="4"/>
  <c r="L421" i="4" a="1"/>
  <c r="L421" i="4"/>
  <c r="L422" i="4" a="1"/>
  <c r="L422" i="4"/>
  <c r="L423" i="4" a="1"/>
  <c r="L423" i="4"/>
  <c r="L424" i="4" a="1"/>
  <c r="L424" i="4"/>
  <c r="L425" i="4" a="1"/>
  <c r="L425" i="4"/>
  <c r="L426" i="4" a="1"/>
  <c r="L426" i="4"/>
  <c r="L427" i="4" a="1"/>
  <c r="L427" i="4" s="1"/>
  <c r="L428" i="4" a="1"/>
  <c r="L428" i="4"/>
  <c r="L429" i="4" a="1"/>
  <c r="L429" i="4" s="1"/>
  <c r="L430" i="4" a="1"/>
  <c r="L430" i="4"/>
  <c r="L431" i="4" a="1"/>
  <c r="L431" i="4"/>
  <c r="L432" i="4" a="1"/>
  <c r="L432" i="4"/>
  <c r="L433" i="4" a="1"/>
  <c r="L433" i="4"/>
  <c r="L434" i="4" a="1"/>
  <c r="L434" i="4"/>
  <c r="L435" i="4" a="1"/>
  <c r="L435" i="4" s="1"/>
  <c r="L436" i="4" a="1"/>
  <c r="L436" i="4"/>
  <c r="L437" i="4" a="1"/>
  <c r="L437" i="4"/>
  <c r="L438" i="4" a="1"/>
  <c r="L438" i="4"/>
  <c r="L439" i="4" a="1"/>
  <c r="L439" i="4"/>
  <c r="L440" i="4" a="1"/>
  <c r="L440" i="4"/>
  <c r="L441" i="4" a="1"/>
  <c r="L441" i="4" s="1"/>
  <c r="L442" i="4" a="1"/>
  <c r="L442" i="4"/>
  <c r="L443" i="4" a="1"/>
  <c r="L443" i="4" s="1"/>
  <c r="L444" i="4" a="1"/>
  <c r="L444" i="4"/>
  <c r="L445" i="4" a="1"/>
  <c r="L445" i="4"/>
  <c r="L446" i="4" a="1"/>
  <c r="L446" i="4" s="1"/>
  <c r="L447" i="4" a="1"/>
  <c r="L447" i="4"/>
  <c r="L448" i="4" a="1"/>
  <c r="L448" i="4"/>
  <c r="L449" i="4" a="1"/>
  <c r="L449" i="4"/>
  <c r="L450" i="4" a="1"/>
  <c r="L450" i="4" s="1"/>
  <c r="L451" i="4" a="1"/>
  <c r="L451" i="4" s="1"/>
  <c r="L452" i="4" a="1"/>
  <c r="L452" i="4"/>
  <c r="L453" i="4" a="1"/>
  <c r="L453" i="4"/>
  <c r="L454" i="4" a="1"/>
  <c r="L454" i="4"/>
  <c r="L455" i="4" a="1"/>
  <c r="L455" i="4"/>
  <c r="L456" i="4" a="1"/>
  <c r="L456" i="4"/>
  <c r="L457" i="4" a="1"/>
  <c r="L457" i="4"/>
  <c r="L458" i="4" a="1"/>
  <c r="L458" i="4"/>
  <c r="L459" i="4" a="1"/>
  <c r="L459" i="4" s="1"/>
  <c r="L460" i="4" a="1"/>
  <c r="L460" i="4"/>
  <c r="L461" i="4" a="1"/>
  <c r="L461" i="4"/>
  <c r="L462" i="4" a="1"/>
  <c r="L462" i="4"/>
  <c r="L463" i="4" a="1"/>
  <c r="L463" i="4" s="1"/>
  <c r="L464" i="4" a="1"/>
  <c r="L464" i="4"/>
  <c r="L465" i="4" a="1"/>
  <c r="L465" i="4"/>
  <c r="L466" i="4" a="1"/>
  <c r="L466" i="4"/>
  <c r="L467" i="4" a="1"/>
  <c r="L467" i="4" s="1"/>
  <c r="L468" i="4" a="1"/>
  <c r="L468" i="4" s="1"/>
  <c r="L469" i="4" a="1"/>
  <c r="L469" i="4"/>
  <c r="L470" i="4" a="1"/>
  <c r="L470" i="4"/>
  <c r="L471" i="4" a="1"/>
  <c r="L471" i="4"/>
  <c r="L472" i="4" a="1"/>
  <c r="L472" i="4"/>
  <c r="L473" i="4" a="1"/>
  <c r="L473" i="4"/>
  <c r="L474" i="4" a="1"/>
  <c r="L474" i="4"/>
  <c r="L475" i="4" a="1"/>
  <c r="L475" i="4" s="1"/>
  <c r="L476" i="4" a="1"/>
  <c r="L476" i="4"/>
  <c r="L477" i="4" a="1"/>
  <c r="L477" i="4"/>
  <c r="L478" i="4" a="1"/>
  <c r="L478" i="4"/>
  <c r="L479" i="4" a="1"/>
  <c r="L479" i="4"/>
  <c r="L480" i="4" a="1"/>
  <c r="L480" i="4" s="1"/>
  <c r="L481" i="4" a="1"/>
  <c r="L481" i="4"/>
  <c r="L482" i="4" a="1"/>
  <c r="L482" i="4"/>
  <c r="L483" i="4" a="1"/>
  <c r="L483" i="4" s="1"/>
  <c r="L484" i="4" a="1"/>
  <c r="L484" i="4"/>
  <c r="L485" i="4" a="1"/>
  <c r="L485" i="4"/>
  <c r="L486" i="4" a="1"/>
  <c r="L486" i="4"/>
  <c r="L487" i="4" a="1"/>
  <c r="L487" i="4"/>
  <c r="L488" i="4" a="1"/>
  <c r="L488" i="4"/>
  <c r="L489" i="4" a="1"/>
  <c r="L489" i="4"/>
  <c r="L490" i="4" a="1"/>
  <c r="L490" i="4"/>
  <c r="L491" i="4" a="1"/>
  <c r="L491" i="4" s="1"/>
  <c r="L492" i="4" a="1"/>
  <c r="L492" i="4"/>
  <c r="L493" i="4" a="1"/>
  <c r="L493" i="4"/>
  <c r="L494" i="4" a="1"/>
  <c r="L494" i="4" s="1"/>
  <c r="L495" i="4" a="1"/>
  <c r="L495" i="4"/>
  <c r="L496" i="4" a="1"/>
  <c r="L496" i="4"/>
  <c r="L497" i="4" a="1"/>
  <c r="L497" i="4" s="1"/>
  <c r="L498" i="4" a="1"/>
  <c r="L498" i="4"/>
  <c r="L499" i="4" a="1"/>
  <c r="L499" i="4" s="1"/>
  <c r="L500" i="4" a="1"/>
  <c r="L500" i="4"/>
  <c r="L501" i="4" a="1"/>
  <c r="L501" i="4"/>
  <c r="L502" i="4" a="1"/>
  <c r="L502" i="4"/>
  <c r="L503" i="4" a="1"/>
  <c r="L503" i="4" s="1"/>
  <c r="L504" i="4" a="1"/>
  <c r="L504" i="4"/>
  <c r="L505" i="4" a="1"/>
  <c r="L505" i="4"/>
  <c r="L506" i="4" a="1"/>
  <c r="L506" i="4"/>
  <c r="L507" i="4" a="1"/>
  <c r="L507" i="4" s="1"/>
  <c r="L508" i="4" a="1"/>
  <c r="L508" i="4"/>
  <c r="L509" i="4" a="1"/>
  <c r="L509" i="4"/>
  <c r="L510" i="4" a="1"/>
  <c r="L510" i="4"/>
  <c r="L511" i="4" a="1"/>
  <c r="L511" i="4"/>
  <c r="L512" i="4" a="1"/>
  <c r="L512" i="4"/>
  <c r="L513" i="4" a="1"/>
  <c r="L513" i="4"/>
  <c r="L514" i="4" a="1"/>
  <c r="L514" i="4" s="1"/>
  <c r="L515" i="4" a="1"/>
  <c r="L515" i="4" s="1"/>
  <c r="L516" i="4" a="1"/>
  <c r="L516" i="4"/>
  <c r="L517" i="4" a="1"/>
  <c r="L517" i="4"/>
  <c r="L518" i="4" a="1"/>
  <c r="L518" i="4"/>
  <c r="L519" i="4" a="1"/>
  <c r="L519" i="4"/>
  <c r="L520" i="4" a="1"/>
  <c r="L520" i="4"/>
  <c r="L521" i="4" a="1"/>
  <c r="L521" i="4"/>
  <c r="L522" i="4" a="1"/>
  <c r="L522" i="4"/>
  <c r="L523" i="4" a="1"/>
  <c r="L523" i="4" s="1"/>
  <c r="L524" i="4" a="1"/>
  <c r="L524" i="4"/>
  <c r="L525" i="4" a="1"/>
  <c r="L525" i="4"/>
  <c r="L526" i="4" a="1"/>
  <c r="L526" i="4"/>
  <c r="L527" i="4" a="1"/>
  <c r="L527" i="4"/>
  <c r="L528" i="4" a="1"/>
  <c r="L528" i="4"/>
  <c r="L529" i="4" a="1"/>
  <c r="L529" i="4" s="1"/>
  <c r="L530" i="4" a="1"/>
  <c r="L530" i="4"/>
  <c r="L531" i="4" a="1"/>
  <c r="L531" i="4" s="1"/>
  <c r="L532" i="4" a="1"/>
  <c r="L532" i="4"/>
  <c r="L533" i="4" a="1"/>
  <c r="L533" i="4"/>
  <c r="L534" i="4" a="1"/>
  <c r="L534" i="4"/>
  <c r="L535" i="4" a="1"/>
  <c r="L535" i="4"/>
  <c r="L536" i="4" a="1"/>
  <c r="L536" i="4"/>
  <c r="L537" i="4" a="1"/>
  <c r="L537" i="4"/>
  <c r="L538" i="4" a="1"/>
  <c r="L538" i="4"/>
  <c r="L539" i="4" a="1"/>
  <c r="L539" i="4" s="1"/>
  <c r="L540" i="4" a="1"/>
  <c r="L540" i="4" s="1"/>
  <c r="L541" i="4" a="1"/>
  <c r="L541" i="4"/>
  <c r="L542" i="4" a="1"/>
  <c r="L542" i="4"/>
  <c r="L543" i="4" a="1"/>
  <c r="L543" i="4"/>
  <c r="L544" i="4" a="1"/>
  <c r="L544" i="4"/>
  <c r="L545" i="4" a="1"/>
  <c r="L545" i="4"/>
  <c r="L546" i="4" a="1"/>
  <c r="L546" i="4"/>
  <c r="L547" i="4" a="1"/>
  <c r="L547" i="4" s="1"/>
  <c r="L548" i="4" a="1"/>
  <c r="L548" i="4"/>
  <c r="L549" i="4" a="1"/>
  <c r="L549" i="4"/>
  <c r="L550" i="4" a="1"/>
  <c r="L550" i="4"/>
  <c r="L551" i="4" a="1"/>
  <c r="L551" i="4"/>
  <c r="L552" i="4" a="1"/>
  <c r="L552" i="4"/>
  <c r="L553" i="4" a="1"/>
  <c r="L553" i="4"/>
  <c r="L554" i="4" a="1"/>
  <c r="L554" i="4"/>
  <c r="L555" i="4" a="1"/>
  <c r="L555" i="4" s="1"/>
  <c r="L556" i="4" a="1"/>
  <c r="L556" i="4"/>
  <c r="L557" i="4" a="1"/>
  <c r="L557" i="4" s="1"/>
  <c r="L558" i="4" a="1"/>
  <c r="L558" i="4"/>
  <c r="L559" i="4" a="1"/>
  <c r="L559" i="4"/>
  <c r="L560" i="4" a="1"/>
  <c r="L560" i="4"/>
  <c r="L561" i="4" a="1"/>
  <c r="L561" i="4"/>
  <c r="L562" i="4" a="1"/>
  <c r="L562" i="4"/>
  <c r="L563" i="4" a="1"/>
  <c r="L563" i="4" s="1"/>
  <c r="L564" i="4" a="1"/>
  <c r="L564" i="4"/>
  <c r="L565" i="4" a="1"/>
  <c r="L565" i="4"/>
  <c r="L566" i="4" a="1"/>
  <c r="L566" i="4"/>
  <c r="L567" i="4" a="1"/>
  <c r="L567" i="4"/>
  <c r="L568" i="4" a="1"/>
  <c r="L568" i="4"/>
  <c r="L569" i="4" a="1"/>
  <c r="L569" i="4"/>
  <c r="L570" i="4" a="1"/>
  <c r="L570" i="4"/>
  <c r="L571" i="4" a="1"/>
  <c r="L571" i="4" s="1"/>
  <c r="L572" i="4" a="1"/>
  <c r="L572" i="4"/>
  <c r="L573" i="4" a="1"/>
  <c r="L573" i="4" s="1"/>
  <c r="L574" i="4" a="1"/>
  <c r="L574" i="4" s="1"/>
  <c r="L575" i="4" a="1"/>
  <c r="L575" i="4"/>
  <c r="L576" i="4" a="1"/>
  <c r="L576" i="4"/>
  <c r="L577" i="4" a="1"/>
  <c r="L577" i="4"/>
  <c r="L578" i="4" a="1"/>
  <c r="L578" i="4"/>
  <c r="L579" i="4" a="1"/>
  <c r="L579" i="4" s="1"/>
  <c r="L580" i="4" a="1"/>
  <c r="L580" i="4"/>
  <c r="L581" i="4" a="1"/>
  <c r="L581" i="4"/>
  <c r="L582" i="4" a="1"/>
  <c r="L582" i="4" s="1"/>
  <c r="L583" i="4" a="1"/>
  <c r="L583" i="4"/>
  <c r="L584" i="4" a="1"/>
  <c r="L584" i="4"/>
  <c r="L585" i="4" a="1"/>
  <c r="L585" i="4"/>
  <c r="L586" i="4" a="1"/>
  <c r="L586" i="4"/>
  <c r="L587" i="4" a="1"/>
  <c r="L587" i="4" s="1"/>
  <c r="L588" i="4" a="1"/>
  <c r="L588" i="4"/>
  <c r="L589" i="4" a="1"/>
  <c r="L589" i="4"/>
  <c r="L590" i="4" a="1"/>
  <c r="L590" i="4"/>
  <c r="L591" i="4" a="1"/>
  <c r="L591" i="4" s="1"/>
  <c r="L592" i="4" a="1"/>
  <c r="L592" i="4"/>
  <c r="L593" i="4" a="1"/>
  <c r="L593" i="4"/>
  <c r="L594" i="4" a="1"/>
  <c r="L594" i="4"/>
  <c r="L595" i="4" a="1"/>
  <c r="L595" i="4" s="1"/>
  <c r="L596" i="4" a="1"/>
  <c r="L596" i="4"/>
  <c r="L597" i="4" a="1"/>
  <c r="L597" i="4"/>
  <c r="L598" i="4" a="1"/>
  <c r="L598" i="4"/>
  <c r="L599" i="4" a="1"/>
  <c r="L599" i="4"/>
  <c r="L600" i="4" a="1"/>
  <c r="L600" i="4"/>
  <c r="L601" i="4" a="1"/>
  <c r="L601" i="4"/>
  <c r="L602" i="4" a="1"/>
  <c r="L602" i="4"/>
  <c r="L603" i="4" a="1"/>
  <c r="L603" i="4" s="1"/>
  <c r="L604" i="4" a="1"/>
  <c r="L604" i="4"/>
  <c r="L605" i="4" a="1"/>
  <c r="L605" i="4"/>
  <c r="L606" i="4" a="1"/>
  <c r="L606" i="4"/>
  <c r="L607" i="4" a="1"/>
  <c r="L607" i="4"/>
  <c r="L608" i="4" a="1"/>
  <c r="L608" i="4" s="1"/>
  <c r="L609" i="4" a="1"/>
  <c r="L609" i="4"/>
  <c r="L610" i="4" a="1"/>
  <c r="L610" i="4"/>
  <c r="L611" i="4" a="1"/>
  <c r="L611" i="4" s="1"/>
  <c r="L612" i="4" a="1"/>
  <c r="L612" i="4"/>
  <c r="L613" i="4" a="1"/>
  <c r="L613" i="4"/>
  <c r="L614" i="4" a="1"/>
  <c r="L614" i="4"/>
  <c r="L615" i="4" a="1"/>
  <c r="L615" i="4"/>
  <c r="L616" i="4" a="1"/>
  <c r="L616" i="4"/>
  <c r="L617" i="4" a="1"/>
  <c r="L617" i="4"/>
  <c r="L618" i="4" a="1"/>
  <c r="L618" i="4"/>
  <c r="L619" i="4" a="1"/>
  <c r="L619" i="4" s="1"/>
  <c r="L620" i="4" a="1"/>
  <c r="L620" i="4"/>
  <c r="L621" i="4" a="1"/>
  <c r="L621" i="4"/>
  <c r="L622" i="4" a="1"/>
  <c r="L622" i="4"/>
  <c r="L623" i="4" a="1"/>
  <c r="L623" i="4"/>
  <c r="L624" i="4" a="1"/>
  <c r="L624" i="4"/>
  <c r="L625" i="4" a="1"/>
  <c r="L625" i="4" s="1"/>
  <c r="L626" i="4" a="1"/>
  <c r="L626" i="4"/>
  <c r="L627" i="4" a="1"/>
  <c r="L627" i="4" s="1"/>
  <c r="L628" i="4" a="1"/>
  <c r="L628" i="4"/>
  <c r="L629" i="4" a="1"/>
  <c r="L629" i="4"/>
  <c r="L630" i="4" a="1"/>
  <c r="L630" i="4"/>
  <c r="L631" i="4" a="1"/>
  <c r="L631" i="4"/>
  <c r="L632" i="4" a="1"/>
  <c r="L632" i="4"/>
  <c r="L633" i="4" a="1"/>
  <c r="L633" i="4"/>
  <c r="L634" i="4" a="1"/>
  <c r="L634" i="4"/>
  <c r="L635" i="4" a="1"/>
  <c r="L635" i="4" s="1"/>
  <c r="L636" i="4" a="1"/>
  <c r="L636" i="4"/>
  <c r="L637" i="4" a="1"/>
  <c r="L637" i="4"/>
  <c r="L638" i="4" a="1"/>
  <c r="L638" i="4"/>
  <c r="L639" i="4" a="1"/>
  <c r="L639" i="4"/>
  <c r="L640" i="4" a="1"/>
  <c r="L640" i="4"/>
  <c r="L641" i="4" a="1"/>
  <c r="L641" i="4"/>
  <c r="L642" i="4" a="1"/>
  <c r="L642" i="4" s="1"/>
  <c r="L643" i="4" a="1"/>
  <c r="L643" i="4" s="1"/>
  <c r="L644" i="4" a="1"/>
  <c r="L644" i="4" s="1"/>
  <c r="L645" i="4" a="1"/>
  <c r="L645" i="4"/>
  <c r="L646" i="4" a="1"/>
  <c r="L646" i="4"/>
  <c r="L647" i="4" a="1"/>
  <c r="L647" i="4"/>
  <c r="L648" i="4" a="1"/>
  <c r="L648" i="4"/>
  <c r="L649" i="4" a="1"/>
  <c r="L649" i="4"/>
  <c r="L650" i="4" a="1"/>
  <c r="L650" i="4"/>
  <c r="L651" i="4" a="1"/>
  <c r="L651" i="4" s="1"/>
  <c r="L652" i="4" a="1"/>
  <c r="L652" i="4"/>
  <c r="L653" i="4" a="1"/>
  <c r="L653" i="4"/>
  <c r="L654" i="4" a="1"/>
  <c r="L654" i="4"/>
  <c r="L655" i="4" a="1"/>
  <c r="L655" i="4"/>
  <c r="L656" i="4" a="1"/>
  <c r="L656" i="4"/>
  <c r="L657" i="4" a="1"/>
  <c r="L657" i="4"/>
  <c r="L658" i="4" a="1"/>
  <c r="L658" i="4"/>
  <c r="L659" i="4" a="1"/>
  <c r="L659" i="4" s="1"/>
  <c r="L660" i="4" a="1"/>
  <c r="L660" i="4"/>
  <c r="L661" i="4" a="1"/>
  <c r="L661" i="4" s="1"/>
  <c r="L662" i="4" a="1"/>
  <c r="L662" i="4"/>
  <c r="L663" i="4" a="1"/>
  <c r="L663" i="4"/>
  <c r="L664" i="4" a="1"/>
  <c r="L664" i="4"/>
  <c r="L665" i="4" a="1"/>
  <c r="L665" i="4"/>
  <c r="L666" i="4" a="1"/>
  <c r="L666" i="4"/>
  <c r="L667" i="4" a="1"/>
  <c r="L667" i="4" s="1"/>
  <c r="L668" i="4" a="1"/>
  <c r="L668" i="4" s="1"/>
  <c r="L669" i="4" a="1"/>
  <c r="L669" i="4"/>
  <c r="L670" i="4" a="1"/>
  <c r="L670" i="4" s="1"/>
  <c r="L671" i="4" a="1"/>
  <c r="L671" i="4"/>
  <c r="L672" i="4" a="1"/>
  <c r="L672" i="4"/>
  <c r="L673" i="4" a="1"/>
  <c r="L673" i="4"/>
  <c r="L674" i="4" a="1"/>
  <c r="L674" i="4"/>
  <c r="L675" i="4" a="1"/>
  <c r="L675" i="4" s="1"/>
  <c r="L676" i="4" a="1"/>
  <c r="L676" i="4"/>
  <c r="L677" i="4" a="1"/>
  <c r="L677" i="4"/>
  <c r="L678" i="4" a="1"/>
  <c r="L678" i="4"/>
  <c r="L679" i="4" a="1"/>
  <c r="L679" i="4"/>
  <c r="L680" i="4" a="1"/>
  <c r="L680" i="4"/>
  <c r="L681" i="4" a="1"/>
  <c r="L681" i="4"/>
  <c r="L682" i="4" a="1"/>
  <c r="L682" i="4"/>
  <c r="L683" i="4" a="1"/>
  <c r="L683" i="4" s="1"/>
  <c r="L684" i="4" a="1"/>
  <c r="L684" i="4"/>
  <c r="L685" i="4" a="1"/>
  <c r="L685" i="4" s="1"/>
  <c r="L686" i="4" a="1"/>
  <c r="L686" i="4"/>
  <c r="L687" i="4" a="1"/>
  <c r="L687" i="4"/>
  <c r="L688" i="4" a="1"/>
  <c r="L688" i="4"/>
  <c r="L689" i="4" a="1"/>
  <c r="L689" i="4"/>
  <c r="L690" i="4" a="1"/>
  <c r="L690" i="4"/>
  <c r="L691" i="4" a="1"/>
  <c r="L691" i="4"/>
  <c r="L692" i="4" a="1"/>
  <c r="L692" i="4"/>
  <c r="L693" i="4" a="1"/>
  <c r="L693" i="4" s="1"/>
  <c r="L694" i="4" a="1"/>
  <c r="L694" i="4"/>
  <c r="L695" i="4" a="1"/>
  <c r="L695" i="4"/>
  <c r="L696" i="4" a="1"/>
  <c r="L696" i="4" s="1"/>
  <c r="L697" i="4" a="1"/>
  <c r="L697" i="4"/>
  <c r="L698" i="4" a="1"/>
  <c r="L698" i="4"/>
  <c r="L699" i="4" a="1"/>
  <c r="L699" i="4"/>
  <c r="L700" i="4" a="1"/>
  <c r="L700" i="4"/>
  <c r="L701" i="4" a="1"/>
  <c r="L701" i="4" s="1"/>
  <c r="L702" i="4" a="1"/>
  <c r="L702" i="4"/>
  <c r="L703" i="4" a="1"/>
  <c r="L703" i="4"/>
  <c r="L704" i="4" a="1"/>
  <c r="L704" i="4"/>
  <c r="L705" i="4" a="1"/>
  <c r="L705" i="4"/>
  <c r="L706" i="4" a="1"/>
  <c r="L706" i="4"/>
  <c r="L707" i="4" a="1"/>
  <c r="L707" i="4"/>
  <c r="L708" i="4" a="1"/>
  <c r="L708" i="4"/>
  <c r="L709" i="4" a="1"/>
  <c r="L709" i="4" s="1"/>
  <c r="L710" i="4" a="1"/>
  <c r="L710" i="4"/>
  <c r="L711" i="4" a="1"/>
  <c r="L711" i="4"/>
  <c r="L712" i="4" a="1"/>
  <c r="L712" i="4"/>
  <c r="L713" i="4" a="1"/>
  <c r="L713" i="4" s="1"/>
  <c r="L714" i="4" a="1"/>
  <c r="L714" i="4"/>
  <c r="L715" i="4" a="1"/>
  <c r="L715" i="4"/>
  <c r="L716" i="4" a="1"/>
  <c r="L716" i="4"/>
  <c r="L717" i="4" a="1"/>
  <c r="L717" i="4" s="1"/>
  <c r="L718" i="4" a="1"/>
  <c r="L718" i="4"/>
  <c r="L719" i="4" a="1"/>
  <c r="L719" i="4"/>
  <c r="L720" i="4" a="1"/>
  <c r="L720" i="4"/>
  <c r="L721" i="4" a="1"/>
  <c r="L721" i="4"/>
  <c r="L722" i="4" a="1"/>
  <c r="L722" i="4"/>
  <c r="L723" i="4" a="1"/>
  <c r="L723" i="4"/>
  <c r="L724" i="4" a="1"/>
  <c r="L724" i="4"/>
  <c r="L725" i="4" a="1"/>
  <c r="L725" i="4" s="1"/>
  <c r="L726" i="4" a="1"/>
  <c r="L726" i="4"/>
  <c r="L727" i="4" a="1"/>
  <c r="L727" i="4"/>
  <c r="L728" i="4" a="1"/>
  <c r="L728" i="4"/>
  <c r="L729" i="4" a="1"/>
  <c r="L729" i="4"/>
  <c r="L730" i="4" a="1"/>
  <c r="L730" i="4" s="1"/>
  <c r="L731" i="4" a="1"/>
  <c r="L731" i="4"/>
  <c r="L732" i="4" a="1"/>
  <c r="L732" i="4"/>
  <c r="L733" i="4" a="1"/>
  <c r="L733" i="4" s="1"/>
  <c r="L734" i="4" a="1"/>
  <c r="L734" i="4"/>
  <c r="L735" i="4" a="1"/>
  <c r="L735" i="4"/>
  <c r="L736" i="4" a="1"/>
  <c r="L736" i="4"/>
  <c r="L737" i="4" a="1"/>
  <c r="L737" i="4"/>
  <c r="L738" i="4" a="1"/>
  <c r="L738" i="4"/>
  <c r="L739" i="4" a="1"/>
  <c r="L739" i="4"/>
  <c r="L740" i="4" a="1"/>
  <c r="L740" i="4"/>
  <c r="L741" i="4" a="1"/>
  <c r="L741" i="4" s="1"/>
  <c r="L742" i="4" a="1"/>
  <c r="L742" i="4"/>
  <c r="L743" i="4" a="1"/>
  <c r="L743" i="4"/>
  <c r="L744" i="4" a="1"/>
  <c r="L744" i="4"/>
  <c r="L745" i="4" a="1"/>
  <c r="L745" i="4"/>
  <c r="L746" i="4" a="1"/>
  <c r="L746" i="4"/>
  <c r="L747" i="4" a="1"/>
  <c r="L747" i="4" s="1"/>
  <c r="L748" i="4" a="1"/>
  <c r="L748" i="4"/>
  <c r="L749" i="4" a="1"/>
  <c r="L749" i="4" s="1"/>
  <c r="L750" i="4" a="1"/>
  <c r="L750" i="4"/>
  <c r="L751" i="4" a="1"/>
  <c r="L751" i="4"/>
  <c r="L752" i="4" a="1"/>
  <c r="L752" i="4"/>
  <c r="L753" i="4" a="1"/>
  <c r="L753" i="4"/>
  <c r="L754" i="4" a="1"/>
  <c r="L754" i="4"/>
  <c r="L755" i="4" a="1"/>
  <c r="L755" i="4"/>
  <c r="L756" i="4" a="1"/>
  <c r="L756" i="4"/>
  <c r="L757" i="4" a="1"/>
  <c r="L757" i="4" s="1"/>
  <c r="L758" i="4" a="1"/>
  <c r="L758" i="4"/>
  <c r="L759" i="4" a="1"/>
  <c r="L759" i="4"/>
  <c r="L760" i="4" a="1"/>
  <c r="L760" i="4"/>
  <c r="L761" i="4" a="1"/>
  <c r="L761" i="4"/>
  <c r="L762" i="4" a="1"/>
  <c r="L762" i="4"/>
  <c r="L763" i="4" a="1"/>
  <c r="L763" i="4"/>
  <c r="L764" i="4" a="1"/>
  <c r="L764" i="4" s="1"/>
  <c r="L765" i="4" a="1"/>
  <c r="L765" i="4" s="1"/>
  <c r="L766" i="4" a="1"/>
  <c r="L766" i="4"/>
  <c r="L767" i="4" a="1"/>
  <c r="L767" i="4"/>
  <c r="L768" i="4" a="1"/>
  <c r="L768" i="4"/>
  <c r="L769" i="4" a="1"/>
  <c r="L769" i="4"/>
  <c r="L770" i="4" a="1"/>
  <c r="L770" i="4"/>
  <c r="L771" i="4" a="1"/>
  <c r="L771" i="4"/>
  <c r="L772" i="4" a="1"/>
  <c r="L772" i="4"/>
  <c r="L773" i="4" a="1"/>
  <c r="L773" i="4" s="1"/>
  <c r="L774" i="4" a="1"/>
  <c r="L774" i="4"/>
  <c r="L775" i="4" a="1"/>
  <c r="L775" i="4"/>
  <c r="L776" i="4" a="1"/>
  <c r="L776" i="4"/>
  <c r="L777" i="4" a="1"/>
  <c r="L777" i="4"/>
  <c r="L778" i="4" a="1"/>
  <c r="L778" i="4"/>
  <c r="L779" i="4" a="1"/>
  <c r="L779" i="4"/>
  <c r="L780" i="4" a="1"/>
  <c r="L780" i="4"/>
  <c r="L781" i="4" a="1"/>
  <c r="L781" i="4" s="1"/>
  <c r="L782" i="4" a="1"/>
  <c r="L782" i="4"/>
  <c r="L783" i="4" a="1"/>
  <c r="L783" i="4"/>
  <c r="L784" i="4" a="1"/>
  <c r="L784" i="4"/>
  <c r="L785" i="4" a="1"/>
  <c r="L785" i="4"/>
  <c r="L786" i="4" a="1"/>
  <c r="L786" i="4"/>
  <c r="L787" i="4" a="1"/>
  <c r="L787" i="4"/>
  <c r="L788" i="4" a="1"/>
  <c r="L788" i="4"/>
  <c r="L789" i="4" a="1"/>
  <c r="L789" i="4" s="1"/>
  <c r="L790" i="4" a="1"/>
  <c r="L790" i="4" s="1"/>
  <c r="L791" i="4" a="1"/>
  <c r="L791" i="4"/>
  <c r="L792" i="4" a="1"/>
  <c r="L792" i="4"/>
  <c r="L793" i="4" a="1"/>
  <c r="L793" i="4"/>
  <c r="L794" i="4" a="1"/>
  <c r="L794" i="4"/>
  <c r="L795" i="4" a="1"/>
  <c r="L795" i="4"/>
  <c r="L796" i="4" a="1"/>
  <c r="L796" i="4"/>
  <c r="L797" i="4" a="1"/>
  <c r="L797" i="4" s="1"/>
  <c r="L798" i="4" a="1"/>
  <c r="L798" i="4"/>
  <c r="L799" i="4" a="1"/>
  <c r="L799" i="4"/>
  <c r="L800" i="4" a="1"/>
  <c r="L800" i="4"/>
  <c r="L801" i="4" a="1"/>
  <c r="L801" i="4"/>
  <c r="L802" i="4" a="1"/>
  <c r="L802" i="4"/>
  <c r="L803" i="4" a="1"/>
  <c r="L803" i="4"/>
  <c r="L804" i="4" a="1"/>
  <c r="L804" i="4"/>
  <c r="L805" i="4" a="1"/>
  <c r="L805" i="4" s="1"/>
  <c r="L806" i="4" a="1"/>
  <c r="L806" i="4"/>
  <c r="L807" i="4" a="1"/>
  <c r="L807" i="4" s="1"/>
  <c r="L808" i="4" a="1"/>
  <c r="L808" i="4"/>
  <c r="L809" i="4" a="1"/>
  <c r="L809" i="4"/>
  <c r="L810" i="4" a="1"/>
  <c r="L810" i="4"/>
  <c r="L811" i="4" a="1"/>
  <c r="L811" i="4"/>
  <c r="L812" i="4" a="1"/>
  <c r="L812" i="4"/>
  <c r="L813" i="4" a="1"/>
  <c r="L813" i="4" s="1"/>
  <c r="L814" i="4" a="1"/>
  <c r="L814" i="4"/>
  <c r="L815" i="4" a="1"/>
  <c r="L815" i="4"/>
  <c r="L816" i="4" a="1"/>
  <c r="L816" i="4"/>
  <c r="L817" i="4" a="1"/>
  <c r="L817" i="4"/>
  <c r="L818" i="4" a="1"/>
  <c r="L818" i="4"/>
  <c r="L819" i="4" a="1"/>
  <c r="L819" i="4"/>
  <c r="L820" i="4" a="1"/>
  <c r="L820" i="4"/>
  <c r="L821" i="4" a="1"/>
  <c r="L821" i="4" s="1"/>
  <c r="L822" i="4" a="1"/>
  <c r="L822" i="4"/>
  <c r="L823" i="4" a="1"/>
  <c r="L823" i="4"/>
  <c r="L824" i="4" a="1"/>
  <c r="L824" i="4" s="1"/>
  <c r="L825" i="4" a="1"/>
  <c r="L825" i="4"/>
  <c r="L826" i="4" a="1"/>
  <c r="L826" i="4"/>
  <c r="L827" i="4" a="1"/>
  <c r="L827" i="4"/>
  <c r="L828" i="4" a="1"/>
  <c r="L828" i="4"/>
  <c r="L829" i="4" a="1"/>
  <c r="L829" i="4" s="1"/>
  <c r="L830" i="4" a="1"/>
  <c r="L830" i="4"/>
  <c r="L831" i="4" a="1"/>
  <c r="L831" i="4"/>
  <c r="L832" i="4" a="1"/>
  <c r="L832" i="4"/>
  <c r="L833" i="4" a="1"/>
  <c r="L833" i="4"/>
  <c r="L834" i="4" a="1"/>
  <c r="L834" i="4"/>
  <c r="L835" i="4" a="1"/>
  <c r="L835" i="4"/>
  <c r="L836" i="4" a="1"/>
  <c r="L836" i="4"/>
  <c r="L837" i="4" a="1"/>
  <c r="L837" i="4" s="1"/>
  <c r="L838" i="4" a="1"/>
  <c r="L838" i="4"/>
  <c r="L839" i="4" a="1"/>
  <c r="L839" i="4"/>
  <c r="L840" i="4" a="1"/>
  <c r="L840" i="4"/>
  <c r="L841" i="4" a="1"/>
  <c r="L841" i="4" s="1"/>
  <c r="L842" i="4" a="1"/>
  <c r="L842" i="4"/>
  <c r="L843" i="4" a="1"/>
  <c r="L843" i="4"/>
  <c r="L844" i="4" a="1"/>
  <c r="L844" i="4"/>
  <c r="L845" i="4" a="1"/>
  <c r="L845" i="4" s="1"/>
  <c r="L846" i="4" a="1"/>
  <c r="L846" i="4"/>
  <c r="L847" i="4" a="1"/>
  <c r="L847" i="4"/>
  <c r="L848" i="4" a="1"/>
  <c r="L848" i="4"/>
  <c r="L849" i="4" a="1"/>
  <c r="L849" i="4"/>
  <c r="L850" i="4" a="1"/>
  <c r="L850" i="4"/>
  <c r="L851" i="4" a="1"/>
  <c r="L851" i="4"/>
  <c r="L852" i="4" a="1"/>
  <c r="L852" i="4"/>
  <c r="L853" i="4" a="1"/>
  <c r="L853" i="4" s="1"/>
  <c r="L854" i="4" a="1"/>
  <c r="L854" i="4"/>
  <c r="L855" i="4" a="1"/>
  <c r="L855" i="4"/>
  <c r="L856" i="4" a="1"/>
  <c r="L856" i="4"/>
  <c r="L857" i="4" a="1"/>
  <c r="L857" i="4"/>
  <c r="L858" i="4" a="1"/>
  <c r="L858" i="4" s="1"/>
  <c r="L859" i="4" a="1"/>
  <c r="L859" i="4"/>
  <c r="L860" i="4" a="1"/>
  <c r="L860" i="4"/>
  <c r="L861" i="4" a="1"/>
  <c r="L861" i="4" s="1"/>
  <c r="L862" i="4" a="1"/>
  <c r="L862" i="4"/>
  <c r="L863" i="4" a="1"/>
  <c r="L863" i="4"/>
  <c r="L864" i="4" a="1"/>
  <c r="L864" i="4"/>
  <c r="L865" i="4" a="1"/>
  <c r="L865" i="4"/>
  <c r="L866" i="4" a="1"/>
  <c r="L866" i="4"/>
  <c r="L867" i="4" a="1"/>
  <c r="L867" i="4"/>
  <c r="L868" i="4" a="1"/>
  <c r="L868" i="4"/>
  <c r="L869" i="4" a="1"/>
  <c r="L869" i="4" s="1"/>
  <c r="L870" i="4" a="1"/>
  <c r="L870" i="4"/>
  <c r="L871" i="4" a="1"/>
  <c r="L871" i="4"/>
  <c r="L872" i="4" a="1"/>
  <c r="L872" i="4"/>
  <c r="L873" i="4" a="1"/>
  <c r="L873" i="4"/>
  <c r="L874" i="4" a="1"/>
  <c r="L874" i="4"/>
  <c r="L875" i="4" a="1"/>
  <c r="L875" i="4" s="1"/>
  <c r="L876" i="4" a="1"/>
  <c r="L876" i="4"/>
  <c r="L877" i="4" a="1"/>
  <c r="L877" i="4" s="1"/>
  <c r="L878" i="4" a="1"/>
  <c r="L878" i="4"/>
  <c r="L879" i="4" a="1"/>
  <c r="L879" i="4"/>
  <c r="L880" i="4" a="1"/>
  <c r="L880" i="4"/>
  <c r="L881" i="4" a="1"/>
  <c r="L881" i="4"/>
  <c r="L882" i="4" a="1"/>
  <c r="L882" i="4"/>
  <c r="L883" i="4" a="1"/>
  <c r="L883" i="4"/>
  <c r="L884" i="4" a="1"/>
  <c r="L884" i="4"/>
  <c r="L885" i="4" a="1"/>
  <c r="L885" i="4" s="1"/>
  <c r="L886" i="4" a="1"/>
  <c r="L886" i="4"/>
  <c r="L887" i="4" a="1"/>
  <c r="L887" i="4"/>
  <c r="L888" i="4" a="1"/>
  <c r="L888" i="4"/>
  <c r="L889" i="4" a="1"/>
  <c r="L889" i="4"/>
  <c r="L890" i="4" a="1"/>
  <c r="L890" i="4"/>
  <c r="L891" i="4" a="1"/>
  <c r="L891" i="4"/>
  <c r="L892" i="4" a="1"/>
  <c r="L892" i="4" s="1"/>
  <c r="L893" i="4" a="1"/>
  <c r="L893" i="4" s="1"/>
  <c r="L894" i="4" a="1"/>
  <c r="L894" i="4"/>
  <c r="L895" i="4" a="1"/>
  <c r="L895" i="4"/>
  <c r="L896" i="4" a="1"/>
  <c r="L896" i="4"/>
  <c r="L897" i="4" a="1"/>
  <c r="L897" i="4"/>
  <c r="L898" i="4" a="1"/>
  <c r="L898" i="4"/>
  <c r="L899" i="4" a="1"/>
  <c r="L899" i="4"/>
  <c r="L900" i="4" a="1"/>
  <c r="L900" i="4"/>
  <c r="L901" i="4" a="1"/>
  <c r="L901" i="4" s="1"/>
  <c r="L902" i="4" a="1"/>
  <c r="L902" i="4"/>
  <c r="L903" i="4" a="1"/>
  <c r="L903" i="4"/>
  <c r="L904" i="4" a="1"/>
  <c r="L904" i="4"/>
  <c r="L905" i="4" a="1"/>
  <c r="L905" i="4"/>
  <c r="L906" i="4" a="1"/>
  <c r="L906" i="4"/>
  <c r="L907" i="4" a="1"/>
  <c r="L907" i="4"/>
  <c r="L908" i="4" a="1"/>
  <c r="L908" i="4"/>
  <c r="L909" i="4" a="1"/>
  <c r="L909" i="4" s="1"/>
  <c r="L910" i="4" a="1"/>
  <c r="L910" i="4"/>
  <c r="L911" i="4" a="1"/>
  <c r="L911" i="4"/>
  <c r="L912" i="4" a="1"/>
  <c r="L912" i="4"/>
  <c r="L913" i="4" a="1"/>
  <c r="L913" i="4"/>
  <c r="L914" i="4" a="1"/>
  <c r="L914" i="4"/>
  <c r="L915" i="4" a="1"/>
  <c r="L915" i="4"/>
  <c r="L916" i="4" a="1"/>
  <c r="L916" i="4"/>
  <c r="L917" i="4" a="1"/>
  <c r="L917" i="4" s="1"/>
  <c r="L918" i="4" a="1"/>
  <c r="L918" i="4" s="1"/>
  <c r="L919" i="4" a="1"/>
  <c r="L919" i="4"/>
  <c r="L920" i="4" a="1"/>
  <c r="L920" i="4"/>
  <c r="L921" i="4" a="1"/>
  <c r="L921" i="4"/>
  <c r="L922" i="4" a="1"/>
  <c r="L922" i="4"/>
  <c r="L923" i="4" a="1"/>
  <c r="L923" i="4"/>
  <c r="L924" i="4" a="1"/>
  <c r="L924" i="4"/>
  <c r="L925" i="4" a="1"/>
  <c r="L925" i="4" s="1"/>
  <c r="L926" i="4" a="1"/>
  <c r="L926" i="4"/>
  <c r="L927" i="4" a="1"/>
  <c r="L927" i="4"/>
  <c r="L928" i="4" a="1"/>
  <c r="L928" i="4"/>
  <c r="L929" i="4" a="1"/>
  <c r="L929" i="4"/>
  <c r="L930" i="4" a="1"/>
  <c r="L930" i="4"/>
  <c r="L931" i="4" a="1"/>
  <c r="L931" i="4"/>
  <c r="L932" i="4" a="1"/>
  <c r="L932" i="4"/>
  <c r="L933" i="4" a="1"/>
  <c r="L933" i="4" s="1"/>
  <c r="L934" i="4" a="1"/>
  <c r="L934" i="4"/>
  <c r="L935" i="4" a="1"/>
  <c r="L935" i="4" s="1"/>
  <c r="L936" i="4" a="1"/>
  <c r="L936" i="4"/>
  <c r="L937" i="4" a="1"/>
  <c r="L937" i="4"/>
  <c r="L938" i="4" a="1"/>
  <c r="L938" i="4"/>
  <c r="L939" i="4" a="1"/>
  <c r="L939" i="4"/>
  <c r="L940" i="4" a="1"/>
  <c r="L940" i="4"/>
  <c r="L941" i="4" a="1"/>
  <c r="L941" i="4" s="1"/>
  <c r="L942" i="4" a="1"/>
  <c r="L942" i="4"/>
  <c r="L943" i="4" a="1"/>
  <c r="L943" i="4"/>
  <c r="L944" i="4" a="1"/>
  <c r="L944" i="4"/>
  <c r="L945" i="4" a="1"/>
  <c r="L945" i="4"/>
  <c r="L946" i="4" a="1"/>
  <c r="L946" i="4"/>
  <c r="L947" i="4" a="1"/>
  <c r="L947" i="4"/>
  <c r="L948" i="4" a="1"/>
  <c r="L948" i="4"/>
  <c r="L949" i="4" a="1"/>
  <c r="L949" i="4" s="1"/>
  <c r="L950" i="4" a="1"/>
  <c r="L950" i="4"/>
  <c r="L951" i="4" a="1"/>
  <c r="L951" i="4"/>
  <c r="L952" i="4" a="1"/>
  <c r="L952" i="4" s="1"/>
  <c r="L953" i="4" a="1"/>
  <c r="L953" i="4"/>
  <c r="L954" i="4" a="1"/>
  <c r="L954" i="4"/>
  <c r="L955" i="4" a="1"/>
  <c r="L955" i="4"/>
  <c r="L956" i="4" a="1"/>
  <c r="L956" i="4"/>
  <c r="L957" i="4" a="1"/>
  <c r="L957" i="4" s="1"/>
  <c r="L958" i="4" a="1"/>
  <c r="L958" i="4"/>
  <c r="L959" i="4" a="1"/>
  <c r="L959" i="4"/>
  <c r="L960" i="4" a="1"/>
  <c r="L960" i="4"/>
  <c r="L961" i="4" a="1"/>
  <c r="L961" i="4"/>
  <c r="L962" i="4" a="1"/>
  <c r="L962" i="4"/>
  <c r="L963" i="4" a="1"/>
  <c r="L963" i="4"/>
  <c r="L964" i="4" a="1"/>
  <c r="L964" i="4"/>
  <c r="L965" i="4" a="1"/>
  <c r="L965" i="4" s="1"/>
  <c r="L966" i="4" a="1"/>
  <c r="L966" i="4"/>
  <c r="L967" i="4" a="1"/>
  <c r="L967" i="4"/>
  <c r="L968" i="4" a="1"/>
  <c r="L968" i="4"/>
  <c r="L969" i="4" a="1"/>
  <c r="L969" i="4" s="1"/>
  <c r="L970" i="4" a="1"/>
  <c r="L970" i="4"/>
  <c r="L971" i="4" a="1"/>
  <c r="L971" i="4"/>
  <c r="L972" i="4" a="1"/>
  <c r="L972" i="4"/>
  <c r="L973" i="4" a="1"/>
  <c r="L973" i="4" s="1"/>
  <c r="L974" i="4" a="1"/>
  <c r="L974" i="4"/>
  <c r="L975" i="4" a="1"/>
  <c r="L975" i="4"/>
  <c r="L976" i="4" a="1"/>
  <c r="L976" i="4"/>
  <c r="L977" i="4" a="1"/>
  <c r="L977" i="4"/>
  <c r="L978" i="4" a="1"/>
  <c r="L978" i="4"/>
  <c r="L979" i="4" a="1"/>
  <c r="L979" i="4"/>
  <c r="L980" i="4" a="1"/>
  <c r="L980" i="4"/>
  <c r="L981" i="4" a="1"/>
  <c r="L981" i="4" s="1"/>
  <c r="L982" i="4" a="1"/>
  <c r="L982" i="4"/>
  <c r="L983" i="4" a="1"/>
  <c r="L983" i="4"/>
  <c r="L984" i="4" a="1"/>
  <c r="L984" i="4"/>
  <c r="L985" i="4" a="1"/>
  <c r="L985" i="4"/>
  <c r="L986" i="4" a="1"/>
  <c r="L986" i="4" s="1"/>
  <c r="L987" i="4" a="1"/>
  <c r="L987" i="4"/>
  <c r="L988" i="4" a="1"/>
  <c r="L988" i="4"/>
  <c r="L989" i="4" a="1"/>
  <c r="L989" i="4" s="1"/>
  <c r="L990" i="4" a="1"/>
  <c r="L990" i="4"/>
  <c r="L991" i="4" a="1"/>
  <c r="L991" i="4"/>
  <c r="L992" i="4" a="1"/>
  <c r="L992" i="4"/>
  <c r="L993" i="4" a="1"/>
  <c r="L993" i="4"/>
  <c r="L994" i="4" a="1"/>
  <c r="L994" i="4"/>
  <c r="L995" i="4" a="1"/>
  <c r="L995" i="4"/>
  <c r="L996" i="4" a="1"/>
  <c r="L996" i="4"/>
  <c r="L997" i="4" a="1"/>
  <c r="L997" i="4" s="1"/>
  <c r="L998" i="4" a="1"/>
  <c r="L998" i="4"/>
  <c r="L999" i="4" a="1"/>
  <c r="L999" i="4"/>
  <c r="L1000" i="4" a="1"/>
  <c r="L1000" i="4"/>
  <c r="L1001" i="4" a="1"/>
  <c r="L1001" i="4"/>
  <c r="L1002" i="4" a="1"/>
  <c r="L1002" i="4"/>
  <c r="L1003" i="4" a="1"/>
  <c r="L1003" i="4" s="1"/>
  <c r="L1004" i="4" a="1"/>
  <c r="L1004" i="4"/>
  <c r="L1005" i="4" a="1"/>
  <c r="L1005" i="4" s="1"/>
  <c r="L1006" i="4" a="1"/>
  <c r="L1006" i="4"/>
  <c r="L1007" i="4" a="1"/>
  <c r="L1007" i="4"/>
  <c r="L1008" i="4" a="1"/>
  <c r="L1008" i="4"/>
  <c r="L1009" i="4" a="1"/>
  <c r="L1009" i="4"/>
  <c r="L1010" i="4" a="1"/>
  <c r="L1010" i="4"/>
  <c r="L1011" i="4" a="1"/>
  <c r="L1011" i="4"/>
  <c r="L1012" i="4" a="1"/>
  <c r="L1012" i="4"/>
  <c r="L1013" i="4" a="1"/>
  <c r="L1013" i="4" s="1"/>
  <c r="L1014" i="4" a="1"/>
  <c r="L1014" i="4"/>
  <c r="L1015" i="4" a="1"/>
  <c r="L1015" i="4"/>
  <c r="L1016" i="4" a="1"/>
  <c r="L1016" i="4"/>
  <c r="L1017" i="4" a="1"/>
  <c r="L1017" i="4"/>
  <c r="L1018" i="4" a="1"/>
  <c r="L1018" i="4"/>
  <c r="L1019" i="4" a="1"/>
  <c r="L1019" i="4"/>
  <c r="L1020" i="4" a="1"/>
  <c r="L1020" i="4" s="1"/>
  <c r="L1021" i="4" a="1"/>
  <c r="L1021" i="4" s="1"/>
  <c r="L1022" i="4" a="1"/>
  <c r="L1022" i="4"/>
  <c r="L1023" i="4" a="1"/>
  <c r="L1023" i="4"/>
  <c r="L1024" i="4" a="1"/>
  <c r="L1024" i="4"/>
  <c r="L1025" i="4" a="1"/>
  <c r="L1025" i="4"/>
  <c r="L1026" i="4" a="1"/>
  <c r="L1026" i="4"/>
  <c r="L1027" i="4" a="1"/>
  <c r="L1027" i="4"/>
  <c r="L1028" i="4" a="1"/>
  <c r="L1028" i="4"/>
  <c r="L1029" i="4" a="1"/>
  <c r="L1029" i="4" s="1"/>
  <c r="L1030" i="4" a="1"/>
  <c r="L1030" i="4"/>
  <c r="L1031" i="4" a="1"/>
  <c r="L1031" i="4"/>
  <c r="L1032" i="4" a="1"/>
  <c r="L1032" i="4"/>
  <c r="L1033" i="4" a="1"/>
  <c r="L1033" i="4"/>
  <c r="L1034" i="4" a="1"/>
  <c r="L1034" i="4"/>
  <c r="L1035" i="4" a="1"/>
  <c r="L1035" i="4"/>
  <c r="L1036" i="4" a="1"/>
  <c r="L1036" i="4"/>
  <c r="L1037" i="4" a="1"/>
  <c r="L1037" i="4" s="1"/>
  <c r="L1038" i="4" a="1"/>
  <c r="L1038" i="4"/>
  <c r="L1039" i="4" a="1"/>
  <c r="L1039" i="4"/>
  <c r="L1040" i="4" a="1"/>
  <c r="L1040" i="4"/>
  <c r="L1041" i="4" a="1"/>
  <c r="L1041" i="4"/>
  <c r="L1042" i="4" a="1"/>
  <c r="L1042" i="4"/>
  <c r="L1043" i="4" a="1"/>
  <c r="L1043" i="4"/>
  <c r="L1044" i="4" a="1"/>
  <c r="L1044" i="4"/>
  <c r="L1045" i="4" a="1"/>
  <c r="L1045" i="4" s="1"/>
  <c r="L1046" i="4" a="1"/>
  <c r="L1046" i="4" s="1"/>
  <c r="L1047" i="4" a="1"/>
  <c r="L1047" i="4"/>
  <c r="L1048" i="4" a="1"/>
  <c r="L1048" i="4"/>
  <c r="L1049" i="4" a="1"/>
  <c r="L1049" i="4"/>
  <c r="L1050" i="4" a="1"/>
  <c r="L1050" i="4"/>
  <c r="L1051" i="4" a="1"/>
  <c r="L1051" i="4"/>
  <c r="L1052" i="4" a="1"/>
  <c r="L1052" i="4"/>
  <c r="L1053" i="4" a="1"/>
  <c r="L1053" i="4" s="1"/>
  <c r="L1054" i="4" a="1"/>
  <c r="L1054" i="4"/>
  <c r="L1055" i="4" a="1"/>
  <c r="L1055" i="4"/>
  <c r="L1056" i="4" a="1"/>
  <c r="L1056" i="4"/>
  <c r="L1057" i="4" a="1"/>
  <c r="L1057" i="4"/>
  <c r="L1058" i="4" a="1"/>
  <c r="L1058" i="4"/>
  <c r="L1059" i="4" a="1"/>
  <c r="L1059" i="4"/>
  <c r="L1060" i="4" a="1"/>
  <c r="L1060" i="4"/>
  <c r="L1061" i="4" a="1"/>
  <c r="L1061" i="4" s="1"/>
  <c r="L1062" i="4" a="1"/>
  <c r="L1062" i="4"/>
  <c r="L1063" i="4" a="1"/>
  <c r="L1063" i="4" s="1"/>
  <c r="L1064" i="4" a="1"/>
  <c r="L1064" i="4"/>
  <c r="L1065" i="4" a="1"/>
  <c r="L1065" i="4"/>
  <c r="L1066" i="4" a="1"/>
  <c r="L1066" i="4"/>
  <c r="L1067" i="4" a="1"/>
  <c r="L1067" i="4"/>
  <c r="L1068" i="4" a="1"/>
  <c r="L1068" i="4"/>
  <c r="L1069" i="4" a="1"/>
  <c r="L1069" i="4" s="1"/>
  <c r="L1070" i="4" a="1"/>
  <c r="L1070" i="4"/>
  <c r="L1071" i="4" a="1"/>
  <c r="L1071" i="4"/>
  <c r="L1072" i="4" a="1"/>
  <c r="L1072" i="4"/>
  <c r="L1073" i="4" a="1"/>
  <c r="L1073" i="4"/>
  <c r="L1074" i="4" a="1"/>
  <c r="L1074" i="4"/>
  <c r="L1075" i="4" a="1"/>
  <c r="L1075" i="4"/>
  <c r="L1076" i="4" a="1"/>
  <c r="L1076" i="4"/>
  <c r="L1077" i="4" a="1"/>
  <c r="L1077" i="4"/>
  <c r="L1078" i="4" a="1"/>
  <c r="L1078" i="4"/>
  <c r="L1079" i="4" a="1"/>
  <c r="L1079" i="4"/>
  <c r="L1080" i="4" a="1"/>
  <c r="L1080" i="4"/>
  <c r="L1081" i="4" a="1"/>
  <c r="L1081" i="4"/>
  <c r="L1082" i="4" a="1"/>
  <c r="L1082" i="4"/>
  <c r="L1083" i="4" a="1"/>
  <c r="L1083" i="4"/>
  <c r="L1084" i="4" a="1"/>
  <c r="L1084" i="4"/>
  <c r="L1085" i="4" a="1"/>
  <c r="L1085" i="4"/>
  <c r="L1086" i="4" a="1"/>
  <c r="L1086" i="4"/>
  <c r="L1087" i="4" a="1"/>
  <c r="L1087" i="4"/>
  <c r="L1088" i="4" a="1"/>
  <c r="L1088" i="4"/>
  <c r="L1089" i="4" a="1"/>
  <c r="L1089" i="4"/>
  <c r="L1090" i="4" a="1"/>
  <c r="L1090" i="4"/>
  <c r="L1091" i="4" a="1"/>
  <c r="L1091" i="4"/>
  <c r="L1092" i="4" a="1"/>
  <c r="L1092" i="4"/>
  <c r="L1093" i="4" a="1"/>
  <c r="L1093" i="4"/>
  <c r="L1094" i="4" a="1"/>
  <c r="L1094" i="4"/>
  <c r="L1095" i="4" a="1"/>
  <c r="L1095" i="4"/>
  <c r="L1096" i="4" a="1"/>
  <c r="L1096" i="4" s="1"/>
  <c r="L1097" i="4" a="1"/>
  <c r="L1097" i="4"/>
  <c r="L1098" i="4" a="1"/>
  <c r="L1098" i="4"/>
  <c r="L1099" i="4" a="1"/>
  <c r="L1099" i="4"/>
  <c r="L1100" i="4" a="1"/>
  <c r="L1100" i="4"/>
  <c r="L1101" i="4" a="1"/>
  <c r="L1101" i="4"/>
  <c r="L1102" i="4" a="1"/>
  <c r="L1102" i="4"/>
  <c r="L1103" i="4" a="1"/>
  <c r="L1103" i="4"/>
  <c r="L1104" i="4" a="1"/>
  <c r="L1104" i="4" s="1"/>
  <c r="L1105" i="4" a="1"/>
  <c r="L1105" i="4"/>
  <c r="L1106" i="4" a="1"/>
  <c r="L1106" i="4"/>
  <c r="L1107" i="4" a="1"/>
  <c r="L1107" i="4"/>
  <c r="L1108" i="4" a="1"/>
  <c r="L1108" i="4"/>
  <c r="L1109" i="4" a="1"/>
  <c r="L1109" i="4"/>
  <c r="L1110" i="4" a="1"/>
  <c r="L1110" i="4"/>
  <c r="L1111" i="4" a="1"/>
  <c r="L1111" i="4"/>
  <c r="L1112" i="4" a="1"/>
  <c r="L1112" i="4" s="1"/>
  <c r="L1113" i="4" a="1"/>
  <c r="L1113" i="4"/>
  <c r="L1114" i="4" a="1"/>
  <c r="L1114" i="4"/>
  <c r="L1115" i="4" a="1"/>
  <c r="L1115" i="4"/>
  <c r="L1116" i="4" a="1"/>
  <c r="L1116" i="4"/>
  <c r="L1117" i="4" a="1"/>
  <c r="L1117" i="4"/>
  <c r="L1118" i="4" a="1"/>
  <c r="L1118" i="4"/>
  <c r="L1119" i="4" a="1"/>
  <c r="L1119" i="4"/>
  <c r="L1120" i="4" a="1"/>
  <c r="L1120" i="4" s="1"/>
  <c r="L1121" i="4" a="1"/>
  <c r="L1121" i="4"/>
  <c r="L1122" i="4" a="1"/>
  <c r="L1122" i="4"/>
  <c r="L1123" i="4" a="1"/>
  <c r="L1123" i="4"/>
  <c r="L1124" i="4" a="1"/>
  <c r="L1124" i="4"/>
  <c r="L1125" i="4" a="1"/>
  <c r="L1125" i="4"/>
  <c r="L1126" i="4" a="1"/>
  <c r="L1126" i="4"/>
  <c r="L1127" i="4" a="1"/>
  <c r="L1127" i="4"/>
  <c r="L1128" i="4" a="1"/>
  <c r="L1128" i="4" s="1"/>
  <c r="L1129" i="4" a="1"/>
  <c r="L1129" i="4"/>
  <c r="L1130" i="4" a="1"/>
  <c r="L1130" i="4"/>
  <c r="L1131" i="4" a="1"/>
  <c r="L1131" i="4"/>
  <c r="L1132" i="4" a="1"/>
  <c r="L1132" i="4"/>
  <c r="L1133" i="4" a="1"/>
  <c r="L1133" i="4"/>
  <c r="L1134" i="4" a="1"/>
  <c r="L1134" i="4"/>
  <c r="L1135" i="4" a="1"/>
  <c r="L1135" i="4"/>
  <c r="L1136" i="4" a="1"/>
  <c r="L1136" i="4" s="1"/>
  <c r="L1137" i="4" a="1"/>
  <c r="L1137" i="4"/>
  <c r="L1138" i="4" a="1"/>
  <c r="L1138" i="4"/>
  <c r="L1139" i="4" a="1"/>
  <c r="L1139" i="4"/>
  <c r="L1140" i="4" a="1"/>
  <c r="L1140" i="4"/>
  <c r="L1141" i="4" a="1"/>
  <c r="L1141" i="4"/>
  <c r="L1142" i="4" a="1"/>
  <c r="L1142" i="4"/>
  <c r="L1143" i="4" a="1"/>
  <c r="L1143" i="4"/>
  <c r="L1144" i="4" a="1"/>
  <c r="L1144" i="4" s="1"/>
  <c r="L1145" i="4" a="1"/>
  <c r="L1145" i="4"/>
  <c r="L1146" i="4" a="1"/>
  <c r="L1146" i="4"/>
  <c r="L1147" i="4" a="1"/>
  <c r="L1147" i="4"/>
  <c r="L1148" i="4" a="1"/>
  <c r="L1148" i="4"/>
  <c r="L1149" i="4" a="1"/>
  <c r="L1149" i="4"/>
  <c r="L1150" i="4" a="1"/>
  <c r="L1150" i="4"/>
  <c r="L1151" i="4" a="1"/>
  <c r="L1151" i="4"/>
  <c r="L1152" i="4" a="1"/>
  <c r="L1152" i="4" s="1"/>
  <c r="L1153" i="4" a="1"/>
  <c r="L1153" i="4"/>
  <c r="L1154" i="4" a="1"/>
  <c r="L1154" i="4"/>
  <c r="L1155" i="4" a="1"/>
  <c r="L1155" i="4"/>
  <c r="L1156" i="4" a="1"/>
  <c r="L1156" i="4"/>
  <c r="L1157" i="4" a="1"/>
  <c r="L1157" i="4"/>
  <c r="L1158" i="4" a="1"/>
  <c r="L1158" i="4"/>
  <c r="L1159" i="4" a="1"/>
  <c r="L1159" i="4"/>
  <c r="L1160" i="4" a="1"/>
  <c r="L1160" i="4" s="1"/>
  <c r="L1161" i="4" a="1"/>
  <c r="L1161" i="4"/>
  <c r="L1162" i="4" a="1"/>
  <c r="L1162" i="4"/>
  <c r="L1163" i="4" a="1"/>
  <c r="L1163" i="4"/>
  <c r="L1164" i="4" a="1"/>
  <c r="L1164" i="4"/>
  <c r="L1165" i="4" a="1"/>
  <c r="L1165" i="4"/>
  <c r="L1166" i="4" a="1"/>
  <c r="L1166" i="4"/>
  <c r="L1167" i="4" a="1"/>
  <c r="L1167" i="4"/>
  <c r="L1168" i="4" a="1"/>
  <c r="L1168" i="4" s="1"/>
  <c r="L1169" i="4" a="1"/>
  <c r="L1169" i="4"/>
  <c r="L1170" i="4" a="1"/>
  <c r="L1170" i="4"/>
  <c r="L1171" i="4" a="1"/>
  <c r="L1171" i="4"/>
  <c r="L1172" i="4" a="1"/>
  <c r="L1172" i="4"/>
  <c r="L1173" i="4" a="1"/>
  <c r="L1173" i="4"/>
  <c r="L1174" i="4" a="1"/>
  <c r="L1174" i="4"/>
  <c r="L1175" i="4" a="1"/>
  <c r="L1175" i="4"/>
  <c r="L1176" i="4" a="1"/>
  <c r="L1176" i="4" s="1"/>
  <c r="L1177" i="4" a="1"/>
  <c r="L1177" i="4"/>
  <c r="L1178" i="4" a="1"/>
  <c r="L1178" i="4"/>
  <c r="L1179" i="4" a="1"/>
  <c r="L1179" i="4"/>
  <c r="L1180" i="4" a="1"/>
  <c r="L1180" i="4"/>
  <c r="L1181" i="4" a="1"/>
  <c r="L1181" i="4"/>
  <c r="L1182" i="4" a="1"/>
  <c r="L1182" i="4"/>
  <c r="L1183" i="4" a="1"/>
  <c r="L1183" i="4"/>
  <c r="L1184" i="4" a="1"/>
  <c r="L1184" i="4" s="1"/>
  <c r="L1185" i="4" a="1"/>
  <c r="L1185" i="4"/>
  <c r="L1186" i="4" a="1"/>
  <c r="L1186" i="4"/>
  <c r="L1187" i="4" a="1"/>
  <c r="L1187" i="4"/>
  <c r="L1188" i="4" a="1"/>
  <c r="L1188" i="4"/>
  <c r="L1189" i="4" a="1"/>
  <c r="L1189" i="4"/>
  <c r="L1190" i="4" a="1"/>
  <c r="L1190" i="4"/>
  <c r="L1191" i="4" a="1"/>
  <c r="L1191" i="4"/>
  <c r="L1192" i="4" a="1"/>
  <c r="L1192" i="4" s="1"/>
  <c r="L1193" i="4" a="1"/>
  <c r="L1193" i="4"/>
  <c r="L1194" i="4" a="1"/>
  <c r="L1194" i="4"/>
  <c r="L1195" i="4" a="1"/>
  <c r="L1195" i="4"/>
  <c r="L1196" i="4" a="1"/>
  <c r="L1196" i="4"/>
  <c r="L1197" i="4" a="1"/>
  <c r="L1197" i="4"/>
  <c r="L1198" i="4" a="1"/>
  <c r="L1198" i="4"/>
  <c r="L1199" i="4" a="1"/>
  <c r="L1199" i="4"/>
  <c r="L1200" i="4" a="1"/>
  <c r="L1200" i="4" s="1"/>
  <c r="L1201" i="4" a="1"/>
  <c r="L1201" i="4"/>
  <c r="L1202" i="4" a="1"/>
  <c r="L1202" i="4"/>
  <c r="L1203" i="4" a="1"/>
  <c r="L1203" i="4"/>
  <c r="L1204" i="4" a="1"/>
  <c r="L1204" i="4"/>
  <c r="L1205" i="4" a="1"/>
  <c r="L1205" i="4"/>
  <c r="L1206" i="4" a="1"/>
  <c r="L1206" i="4"/>
  <c r="L1207" i="4" a="1"/>
  <c r="L1207" i="4"/>
  <c r="L1208" i="4" a="1"/>
  <c r="L1208" i="4" s="1"/>
  <c r="L1209" i="4" a="1"/>
  <c r="L1209" i="4"/>
  <c r="L1210" i="4" a="1"/>
  <c r="L1210" i="4"/>
  <c r="L1211" i="4" a="1"/>
  <c r="L1211" i="4"/>
  <c r="L1212" i="4" a="1"/>
  <c r="L1212" i="4"/>
  <c r="L1213" i="4" a="1"/>
  <c r="L1213" i="4"/>
  <c r="L1214" i="4" a="1"/>
  <c r="L1214" i="4"/>
  <c r="L1215" i="4" a="1"/>
  <c r="L1215" i="4"/>
  <c r="L1216" i="4" a="1"/>
  <c r="L1216" i="4" s="1"/>
  <c r="L1217" i="4" a="1"/>
  <c r="L1217" i="4"/>
  <c r="L1218" i="4" a="1"/>
  <c r="L1218" i="4"/>
  <c r="L1219" i="4" a="1"/>
  <c r="L1219" i="4"/>
  <c r="L1220" i="4" a="1"/>
  <c r="L1220" i="4"/>
  <c r="L1221" i="4" a="1"/>
  <c r="L1221" i="4"/>
  <c r="L1222" i="4" a="1"/>
  <c r="L1222" i="4"/>
  <c r="L1223" i="4" a="1"/>
  <c r="L1223" i="4"/>
  <c r="L1224" i="4" a="1"/>
  <c r="L1224" i="4" s="1"/>
  <c r="L1225" i="4" a="1"/>
  <c r="L1225" i="4"/>
  <c r="L1226" i="4" a="1"/>
  <c r="L1226" i="4"/>
  <c r="L1227" i="4" a="1"/>
  <c r="L1227" i="4"/>
  <c r="L1228" i="4" a="1"/>
  <c r="L1228" i="4"/>
  <c r="L1229" i="4" a="1"/>
  <c r="L1229" i="4"/>
  <c r="L1230" i="4" a="1"/>
  <c r="L1230" i="4"/>
  <c r="L1231" i="4" a="1"/>
  <c r="L1231" i="4"/>
  <c r="L1232" i="4" a="1"/>
  <c r="L1232" i="4" s="1"/>
  <c r="L1233" i="4" a="1"/>
  <c r="L1233" i="4"/>
  <c r="L1234" i="4" a="1"/>
  <c r="L1234" i="4"/>
  <c r="L1235" i="4" a="1"/>
  <c r="L1235" i="4"/>
  <c r="L1236" i="4" a="1"/>
  <c r="L1236" i="4"/>
  <c r="L1237" i="4" a="1"/>
  <c r="L1237" i="4"/>
  <c r="L1238" i="4" a="1"/>
  <c r="L1238" i="4"/>
  <c r="L1239" i="4" a="1"/>
  <c r="L1239" i="4"/>
  <c r="L1240" i="4" a="1"/>
  <c r="L1240" i="4" s="1"/>
  <c r="L1241" i="4" a="1"/>
  <c r="L1241" i="4"/>
  <c r="L1242" i="4" a="1"/>
  <c r="L1242" i="4"/>
  <c r="L1243" i="4" a="1"/>
  <c r="L1243" i="4"/>
  <c r="L1244" i="4" a="1"/>
  <c r="L1244" i="4"/>
  <c r="L1245" i="4" a="1"/>
  <c r="L1245" i="4"/>
  <c r="L1246" i="4" a="1"/>
  <c r="L1246" i="4"/>
  <c r="L1247" i="4" a="1"/>
  <c r="L1247" i="4"/>
  <c r="L1248" i="4" a="1"/>
  <c r="L1248" i="4" s="1"/>
  <c r="L1249" i="4" a="1"/>
  <c r="L1249" i="4"/>
  <c r="L1250" i="4" a="1"/>
  <c r="L1250" i="4"/>
  <c r="L1251" i="4" a="1"/>
  <c r="L1251" i="4"/>
  <c r="L1252" i="4" a="1"/>
  <c r="L1252" i="4"/>
  <c r="L1253" i="4" a="1"/>
  <c r="L1253" i="4"/>
  <c r="L1254" i="4" a="1"/>
  <c r="L1254" i="4"/>
  <c r="L1255" i="4" a="1"/>
  <c r="L1255" i="4"/>
  <c r="L1256" i="4" a="1"/>
  <c r="L1256" i="4" s="1"/>
  <c r="L1257" i="4" a="1"/>
  <c r="L1257" i="4"/>
  <c r="L1258" i="4" a="1"/>
  <c r="L1258" i="4"/>
  <c r="L1259" i="4" a="1"/>
  <c r="L1259" i="4"/>
  <c r="L1260" i="4" a="1"/>
  <c r="L1260" i="4"/>
  <c r="L1261" i="4" a="1"/>
  <c r="L1261" i="4"/>
  <c r="L1262" i="4" a="1"/>
  <c r="L1262" i="4"/>
  <c r="L1263" i="4" a="1"/>
  <c r="L1263" i="4"/>
  <c r="L1264" i="4" a="1"/>
  <c r="L1264" i="4" s="1"/>
  <c r="L1265" i="4" a="1"/>
  <c r="L1265" i="4"/>
  <c r="L1266" i="4" a="1"/>
  <c r="L1266" i="4"/>
  <c r="L1267" i="4" a="1"/>
  <c r="L1267" i="4"/>
  <c r="L1268" i="4" a="1"/>
  <c r="L1268" i="4"/>
  <c r="L1269" i="4" a="1"/>
  <c r="L1269" i="4"/>
  <c r="L1270" i="4" a="1"/>
  <c r="L1270" i="4"/>
  <c r="L1271" i="4" a="1"/>
  <c r="L1271" i="4"/>
  <c r="L1272" i="4" a="1"/>
  <c r="L1272" i="4" s="1"/>
  <c r="L1273" i="4" a="1"/>
  <c r="L1273" i="4"/>
  <c r="L1274" i="4" a="1"/>
  <c r="L1274" i="4"/>
  <c r="L1275" i="4" a="1"/>
  <c r="L1275" i="4"/>
  <c r="L1276" i="4" a="1"/>
  <c r="L1276" i="4"/>
  <c r="L1277" i="4" a="1"/>
  <c r="L1277" i="4"/>
  <c r="L1278" i="4" a="1"/>
  <c r="L1278" i="4"/>
  <c r="L1279" i="4" a="1"/>
  <c r="L1279" i="4"/>
  <c r="L1280" i="4" a="1"/>
  <c r="L1280" i="4" s="1"/>
  <c r="L1281" i="4" a="1"/>
  <c r="L1281" i="4"/>
  <c r="L1282" i="4" a="1"/>
  <c r="L1282" i="4"/>
  <c r="L1283" i="4" a="1"/>
  <c r="L1283" i="4"/>
  <c r="L1284" i="4" a="1"/>
  <c r="L1284" i="4"/>
  <c r="L1285" i="4" a="1"/>
  <c r="L1285" i="4"/>
  <c r="L1286" i="4" a="1"/>
  <c r="L1286" i="4"/>
  <c r="L1287" i="4" a="1"/>
  <c r="L1287" i="4"/>
  <c r="L1288" i="4" a="1"/>
  <c r="L1288" i="4" s="1"/>
  <c r="L1289" i="4" a="1"/>
  <c r="L1289" i="4"/>
  <c r="L1290" i="4" a="1"/>
  <c r="L1290" i="4"/>
  <c r="L1291" i="4" a="1"/>
  <c r="L1291" i="4"/>
  <c r="L1292" i="4" a="1"/>
  <c r="L1292" i="4"/>
  <c r="L1293" i="4" a="1"/>
  <c r="L1293" i="4"/>
  <c r="L1294" i="4" a="1"/>
  <c r="L1294" i="4"/>
  <c r="L1295" i="4" a="1"/>
  <c r="L1295" i="4"/>
  <c r="L1296" i="4" a="1"/>
  <c r="L1296" i="4" s="1"/>
  <c r="L1297" i="4" a="1"/>
  <c r="L1297" i="4"/>
  <c r="L1298" i="4" a="1"/>
  <c r="L1298" i="4"/>
  <c r="L1299" i="4" a="1"/>
  <c r="L1299" i="4"/>
  <c r="L1300" i="4" a="1"/>
  <c r="L1300" i="4"/>
  <c r="L1301" i="4" a="1"/>
  <c r="L1301" i="4"/>
  <c r="L1302" i="4" a="1"/>
  <c r="L1302" i="4"/>
  <c r="L1303" i="4" a="1"/>
  <c r="L1303" i="4"/>
  <c r="L1304" i="4" a="1"/>
  <c r="L1304" i="4" s="1"/>
  <c r="L1305" i="4" a="1"/>
  <c r="L1305" i="4"/>
  <c r="L1306" i="4" a="1"/>
  <c r="L1306" i="4"/>
  <c r="L1307" i="4" a="1"/>
  <c r="L1307" i="4"/>
  <c r="L1308" i="4" a="1"/>
  <c r="L1308" i="4"/>
  <c r="L1309" i="4" a="1"/>
  <c r="L1309" i="4"/>
  <c r="L1310" i="4" a="1"/>
  <c r="L1310" i="4"/>
  <c r="L1311" i="4" a="1"/>
  <c r="L1311" i="4"/>
  <c r="L1312" i="4" a="1"/>
  <c r="L1312" i="4" s="1"/>
  <c r="L1313" i="4" a="1"/>
  <c r="L1313" i="4"/>
  <c r="L1314" i="4" a="1"/>
  <c r="L1314" i="4"/>
  <c r="L1315" i="4" a="1"/>
  <c r="L1315" i="4"/>
  <c r="L1316" i="4" a="1"/>
  <c r="L1316" i="4"/>
  <c r="L1317" i="4" a="1"/>
  <c r="L1317" i="4"/>
  <c r="L1318" i="4" a="1"/>
  <c r="L1318" i="4"/>
  <c r="L1319" i="4" a="1"/>
  <c r="L1319" i="4"/>
  <c r="L1320" i="4" a="1"/>
  <c r="L1320" i="4" s="1"/>
  <c r="L1321" i="4" a="1"/>
  <c r="L1321" i="4"/>
  <c r="L1322" i="4" a="1"/>
  <c r="L1322" i="4"/>
  <c r="L1323" i="4" a="1"/>
  <c r="L1323" i="4"/>
  <c r="L1324" i="4" a="1"/>
  <c r="L1324" i="4"/>
  <c r="L1325" i="4" a="1"/>
  <c r="L1325" i="4"/>
  <c r="L1326" i="4" a="1"/>
  <c r="L1326" i="4"/>
  <c r="L1327" i="4" a="1"/>
  <c r="L1327" i="4"/>
  <c r="L1328" i="4" a="1"/>
  <c r="L1328" i="4" s="1"/>
  <c r="L1329" i="4" a="1"/>
  <c r="L1329" i="4"/>
  <c r="L1330" i="4" a="1"/>
  <c r="L1330" i="4"/>
  <c r="L1331" i="4" a="1"/>
  <c r="L1331" i="4"/>
  <c r="L1332" i="4" a="1"/>
  <c r="L1332" i="4"/>
  <c r="L1333" i="4" a="1"/>
  <c r="L1333" i="4"/>
  <c r="L1334" i="4" a="1"/>
  <c r="L1334" i="4"/>
  <c r="L1335" i="4" a="1"/>
  <c r="L1335" i="4"/>
  <c r="L1336" i="4" a="1"/>
  <c r="L1336" i="4" s="1"/>
  <c r="L1337" i="4" a="1"/>
  <c r="L1337" i="4"/>
  <c r="L1338" i="4" a="1"/>
  <c r="L1338" i="4"/>
  <c r="L1339" i="4" a="1"/>
  <c r="L1339" i="4"/>
  <c r="L1340" i="4" a="1"/>
  <c r="L1340" i="4"/>
  <c r="L1341" i="4" a="1"/>
  <c r="L1341" i="4"/>
  <c r="L1342" i="4" a="1"/>
  <c r="L1342" i="4"/>
  <c r="L1343" i="4" a="1"/>
  <c r="L1343" i="4"/>
  <c r="L1344" i="4" a="1"/>
  <c r="L1344" i="4" s="1"/>
  <c r="L1345" i="4" a="1"/>
  <c r="L1345" i="4"/>
  <c r="L1346" i="4" a="1"/>
  <c r="L1346" i="4"/>
  <c r="L1347" i="4" a="1"/>
  <c r="L1347" i="4"/>
  <c r="L1348" i="4" a="1"/>
  <c r="L1348" i="4"/>
  <c r="L1349" i="4" a="1"/>
  <c r="L1349" i="4"/>
  <c r="L1350" i="4" a="1"/>
  <c r="L1350" i="4"/>
  <c r="L1351" i="4" a="1"/>
  <c r="L1351" i="4"/>
  <c r="L1352" i="4" a="1"/>
  <c r="L1352" i="4" s="1"/>
  <c r="L1353" i="4" a="1"/>
  <c r="L1353" i="4"/>
  <c r="L1354" i="4" a="1"/>
  <c r="L1354" i="4"/>
  <c r="L1355" i="4" a="1"/>
  <c r="L1355" i="4"/>
  <c r="L1356" i="4" a="1"/>
  <c r="L1356" i="4"/>
  <c r="L1357" i="4" a="1"/>
  <c r="L1357" i="4"/>
  <c r="L1358" i="4" a="1"/>
  <c r="L1358" i="4"/>
  <c r="L1359" i="4" a="1"/>
  <c r="L1359" i="4"/>
  <c r="L1360" i="4" a="1"/>
  <c r="L1360" i="4" s="1"/>
  <c r="L1361" i="4" a="1"/>
  <c r="L1361" i="4"/>
  <c r="L1362" i="4" a="1"/>
  <c r="L1362" i="4"/>
  <c r="L1363" i="4" a="1"/>
  <c r="L1363" i="4"/>
  <c r="L1364" i="4" a="1"/>
  <c r="L1364" i="4"/>
  <c r="L1365" i="4" a="1"/>
  <c r="L1365" i="4"/>
  <c r="L1366" i="4" a="1"/>
  <c r="L1366" i="4"/>
  <c r="L1367" i="4" a="1"/>
  <c r="L1367" i="4"/>
  <c r="L1368" i="4" a="1"/>
  <c r="L1368" i="4" s="1"/>
  <c r="L1369" i="4" a="1"/>
  <c r="L1369" i="4"/>
  <c r="L1370" i="4" a="1"/>
  <c r="L1370" i="4"/>
  <c r="L1371" i="4" a="1"/>
  <c r="L1371" i="4"/>
  <c r="L1372" i="4" a="1"/>
  <c r="L1372" i="4"/>
  <c r="L1373" i="4" a="1"/>
  <c r="L1373" i="4"/>
  <c r="L1374" i="4" a="1"/>
  <c r="L1374" i="4"/>
  <c r="L1375" i="4" a="1"/>
  <c r="L1375" i="4"/>
  <c r="L1376" i="4" a="1"/>
  <c r="L1376" i="4" s="1"/>
  <c r="L1377" i="4" a="1"/>
  <c r="L1377" i="4"/>
  <c r="L1378" i="4" a="1"/>
  <c r="L1378" i="4"/>
  <c r="L1379" i="4" a="1"/>
  <c r="L1379" i="4"/>
  <c r="L1380" i="4" a="1"/>
  <c r="L1380" i="4"/>
  <c r="L1381" i="4" a="1"/>
  <c r="L1381" i="4"/>
  <c r="L1382" i="4" a="1"/>
  <c r="L1382" i="4"/>
  <c r="L1383" i="4" a="1"/>
  <c r="L1383" i="4"/>
  <c r="L1384" i="4" a="1"/>
  <c r="L1384" i="4" s="1"/>
  <c r="L1385" i="4" a="1"/>
  <c r="L1385" i="4"/>
  <c r="L1386" i="4" a="1"/>
  <c r="L1386" i="4"/>
  <c r="L1387" i="4" a="1"/>
  <c r="L1387" i="4"/>
  <c r="L1388" i="4" a="1"/>
  <c r="L1388" i="4"/>
  <c r="L1389" i="4" a="1"/>
  <c r="L1389" i="4"/>
  <c r="L1390" i="4" a="1"/>
  <c r="L1390" i="4"/>
  <c r="L1391" i="4" a="1"/>
  <c r="L1391" i="4"/>
  <c r="L1392" i="4" a="1"/>
  <c r="L1392" i="4" s="1"/>
  <c r="L1393" i="4" a="1"/>
  <c r="L1393" i="4"/>
  <c r="L1394" i="4" a="1"/>
  <c r="L1394" i="4"/>
  <c r="L1395" i="4" a="1"/>
  <c r="L1395" i="4"/>
  <c r="L1396" i="4" a="1"/>
  <c r="L1396" i="4"/>
  <c r="L1397" i="4" a="1"/>
  <c r="L1397" i="4"/>
  <c r="L1398" i="4" a="1"/>
  <c r="L1398" i="4"/>
  <c r="L1399" i="4" a="1"/>
  <c r="L1399" i="4"/>
  <c r="L1400" i="4" a="1"/>
  <c r="L1400" i="4" s="1"/>
  <c r="L1401" i="4" a="1"/>
  <c r="L1401" i="4"/>
  <c r="L1402" i="4" a="1"/>
  <c r="L1402" i="4"/>
  <c r="L1403" i="4" a="1"/>
  <c r="L1403" i="4"/>
  <c r="L1404" i="4" a="1"/>
  <c r="L1404" i="4"/>
  <c r="L1405" i="4" a="1"/>
  <c r="L1405" i="4"/>
  <c r="L1406" i="4" a="1"/>
  <c r="L1406" i="4"/>
  <c r="L1407" i="4" a="1"/>
  <c r="L1407" i="4"/>
  <c r="L1408" i="4" a="1"/>
  <c r="L1408" i="4" s="1"/>
  <c r="L1409" i="4" a="1"/>
  <c r="L1409" i="4"/>
  <c r="L1410" i="4" a="1"/>
  <c r="L1410" i="4"/>
  <c r="L1411" i="4" a="1"/>
  <c r="L1411" i="4"/>
  <c r="L1412" i="4" a="1"/>
  <c r="L1412" i="4"/>
  <c r="L1413" i="4" a="1"/>
  <c r="L1413" i="4"/>
  <c r="L1414" i="4" a="1"/>
  <c r="L1414" i="4"/>
  <c r="L1415" i="4" a="1"/>
  <c r="L1415" i="4"/>
  <c r="L1416" i="4" a="1"/>
  <c r="L1416" i="4" s="1"/>
  <c r="L1417" i="4" a="1"/>
  <c r="L1417" i="4"/>
  <c r="L1418" i="4" a="1"/>
  <c r="L1418" i="4"/>
  <c r="L1419" i="4" a="1"/>
  <c r="L1419" i="4"/>
  <c r="L1420" i="4" a="1"/>
  <c r="L1420" i="4"/>
  <c r="L1421" i="4" a="1"/>
  <c r="L1421" i="4"/>
  <c r="L1422" i="4" a="1"/>
  <c r="L1422" i="4"/>
  <c r="L1423" i="4" a="1"/>
  <c r="L1423" i="4"/>
  <c r="L1424" i="4" a="1"/>
  <c r="L1424" i="4" s="1"/>
  <c r="L1425" i="4" a="1"/>
  <c r="L1425" i="4"/>
  <c r="L1426" i="4" a="1"/>
  <c r="L1426" i="4"/>
  <c r="L1427" i="4" a="1"/>
  <c r="L1427" i="4"/>
  <c r="L1428" i="4" a="1"/>
  <c r="L1428" i="4"/>
  <c r="L1429" i="4" a="1"/>
  <c r="L1429" i="4"/>
  <c r="L1430" i="4" a="1"/>
  <c r="L1430" i="4"/>
  <c r="L1431" i="4" a="1"/>
  <c r="L1431" i="4"/>
  <c r="L1432" i="4" a="1"/>
  <c r="L1432" i="4" s="1"/>
  <c r="L1433" i="4" a="1"/>
  <c r="L1433" i="4"/>
  <c r="L1434" i="4" a="1"/>
  <c r="L1434" i="4"/>
  <c r="L1435" i="4" a="1"/>
  <c r="L1435" i="4"/>
  <c r="L1436" i="4" a="1"/>
  <c r="L1436" i="4"/>
  <c r="L1437" i="4" a="1"/>
  <c r="L1437" i="4"/>
  <c r="L1438" i="4" a="1"/>
  <c r="L1438" i="4"/>
  <c r="L1439" i="4" a="1"/>
  <c r="L1439" i="4"/>
  <c r="L1440" i="4" a="1"/>
  <c r="L1440" i="4" s="1"/>
  <c r="L1441" i="4" a="1"/>
  <c r="L1441" i="4"/>
  <c r="L1442" i="4" a="1"/>
  <c r="L1442" i="4"/>
  <c r="L1443" i="4" a="1"/>
  <c r="L1443" i="4"/>
  <c r="L1444" i="4" a="1"/>
  <c r="L1444" i="4"/>
  <c r="L1445" i="4" a="1"/>
  <c r="L1445" i="4"/>
  <c r="L1446" i="4" a="1"/>
  <c r="L1446" i="4"/>
  <c r="L1447" i="4" a="1"/>
  <c r="L1447" i="4"/>
  <c r="L1448" i="4" a="1"/>
  <c r="L1448" i="4" s="1"/>
  <c r="L1449" i="4" a="1"/>
  <c r="L1449" i="4"/>
  <c r="L1450" i="4" a="1"/>
  <c r="L1450" i="4"/>
  <c r="L1451" i="4" a="1"/>
  <c r="L1451" i="4"/>
  <c r="L1452" i="4" a="1"/>
  <c r="L1452" i="4"/>
  <c r="L1453" i="4" a="1"/>
  <c r="L1453" i="4"/>
  <c r="L1454" i="4" a="1"/>
  <c r="L1454" i="4"/>
  <c r="L1455" i="4" a="1"/>
  <c r="L1455" i="4"/>
  <c r="L1456" i="4" a="1"/>
  <c r="L1456" i="4" s="1"/>
  <c r="L1457" i="4" a="1"/>
  <c r="L1457" i="4"/>
  <c r="L1458" i="4" a="1"/>
  <c r="L1458" i="4"/>
  <c r="L1459" i="4" a="1"/>
  <c r="L1459" i="4"/>
  <c r="L1460" i="4" a="1"/>
  <c r="L1460" i="4"/>
  <c r="L1461" i="4" a="1"/>
  <c r="L1461" i="4"/>
  <c r="L1462" i="4" a="1"/>
  <c r="L1462" i="4"/>
  <c r="L1463" i="4" a="1"/>
  <c r="L1463" i="4"/>
  <c r="L1464" i="4" a="1"/>
  <c r="L1464" i="4" s="1"/>
  <c r="L1465" i="4" a="1"/>
  <c r="L1465" i="4"/>
  <c r="L1466" i="4" a="1"/>
  <c r="L1466" i="4"/>
  <c r="L1467" i="4" a="1"/>
  <c r="L1467" i="4"/>
  <c r="L1468" i="4" a="1"/>
  <c r="L1468" i="4"/>
  <c r="L1469" i="4" a="1"/>
  <c r="L1469" i="4"/>
  <c r="L1470" i="4" a="1"/>
  <c r="L1470" i="4"/>
  <c r="L1471" i="4" a="1"/>
  <c r="L1471" i="4"/>
  <c r="L1472" i="4" a="1"/>
  <c r="L1472" i="4" s="1"/>
  <c r="L1473" i="4" a="1"/>
  <c r="L1473" i="4"/>
  <c r="L1474" i="4" a="1"/>
  <c r="L1474" i="4"/>
  <c r="L1475" i="4" a="1"/>
  <c r="L1475" i="4"/>
  <c r="L1476" i="4" a="1"/>
  <c r="L1476" i="4"/>
  <c r="L1477" i="4" a="1"/>
  <c r="L1477" i="4"/>
  <c r="L1478" i="4" a="1"/>
  <c r="L1478" i="4"/>
  <c r="L1479" i="4" a="1"/>
  <c r="L1479" i="4"/>
  <c r="L1480" i="4" a="1"/>
  <c r="L1480" i="4" s="1"/>
  <c r="L1481" i="4" a="1"/>
  <c r="L1481" i="4"/>
  <c r="L1482" i="4" a="1"/>
  <c r="L1482" i="4"/>
  <c r="L1483" i="4" a="1"/>
  <c r="L1483" i="4"/>
  <c r="L1484" i="4" a="1"/>
  <c r="L1484" i="4"/>
  <c r="L1485" i="4" a="1"/>
  <c r="L1485" i="4"/>
  <c r="L1486" i="4" a="1"/>
  <c r="L1486" i="4"/>
  <c r="L1487" i="4" a="1"/>
  <c r="L1487" i="4"/>
  <c r="L1488" i="4" a="1"/>
  <c r="L1488" i="4" s="1"/>
  <c r="L1489" i="4" a="1"/>
  <c r="L1489" i="4"/>
  <c r="L1490" i="4" a="1"/>
  <c r="L1490" i="4"/>
  <c r="L1491" i="4" a="1"/>
  <c r="L1491" i="4"/>
  <c r="L1492" i="4" a="1"/>
  <c r="L1492" i="4"/>
  <c r="L1493" i="4" a="1"/>
  <c r="L1493" i="4"/>
  <c r="L1494" i="4" a="1"/>
  <c r="L1494" i="4"/>
  <c r="L1495" i="4" a="1"/>
  <c r="L1495" i="4"/>
  <c r="L1496" i="4" a="1"/>
  <c r="L1496" i="4" s="1"/>
  <c r="L1497" i="4" a="1"/>
  <c r="L1497" i="4"/>
  <c r="L1498" i="4" a="1"/>
  <c r="L1498" i="4"/>
  <c r="L1499" i="4" a="1"/>
  <c r="L1499" i="4"/>
  <c r="L1500" i="4" a="1"/>
  <c r="L1500" i="4"/>
  <c r="L1501" i="4" a="1"/>
  <c r="L1501" i="4"/>
  <c r="L2" i="4" a="1"/>
  <c r="L2" i="4" s="1"/>
  <c r="D6" i="2"/>
  <c r="D5" i="2"/>
  <c r="D4" i="2"/>
  <c r="C6" i="2"/>
  <c r="C5" i="2"/>
  <c r="C4" i="2"/>
  <c r="H16" i="2" a="1"/>
  <c r="H16" i="2" s="1"/>
  <c r="H14" i="2" a="1"/>
  <c r="H14" i="2" s="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2" i="4"/>
  <c r="H16" i="4"/>
  <c r="H46" i="4"/>
  <c r="H54" i="4"/>
  <c r="H65" i="4"/>
  <c r="H92" i="4"/>
  <c r="H97" i="4"/>
  <c r="H146" i="4"/>
  <c r="H176" i="4"/>
  <c r="H186" i="4"/>
  <c r="H188" i="4"/>
  <c r="H196" i="4"/>
  <c r="H205" i="4"/>
  <c r="H208" i="4"/>
  <c r="H250" i="4"/>
  <c r="H253" i="4"/>
  <c r="H273" i="4"/>
  <c r="H276" i="4"/>
  <c r="H293" i="4"/>
  <c r="H300" i="4"/>
  <c r="H328" i="4"/>
  <c r="H334" i="4"/>
  <c r="H348" i="4"/>
  <c r="H372" i="4"/>
  <c r="H439" i="4"/>
  <c r="H452" i="4"/>
  <c r="H465" i="4"/>
  <c r="H476" i="4"/>
  <c r="H481" i="4"/>
  <c r="H545" i="4"/>
  <c r="H578" i="4"/>
  <c r="H605" i="4"/>
  <c r="H642" i="4"/>
  <c r="H668" i="4"/>
  <c r="H672" i="4"/>
  <c r="H675" i="4"/>
  <c r="H724" i="4"/>
  <c r="H731" i="4"/>
  <c r="H759" i="4"/>
  <c r="H781" i="4"/>
  <c r="H889" i="4"/>
  <c r="H952" i="4"/>
  <c r="H999" i="4"/>
  <c r="H1025" i="4"/>
  <c r="H1036" i="4"/>
  <c r="H1038" i="4"/>
  <c r="H1125" i="4"/>
  <c r="H1208" i="4"/>
  <c r="H1223" i="4"/>
  <c r="H1234" i="4"/>
  <c r="H1241" i="4"/>
  <c r="H1260" i="4"/>
  <c r="H1308" i="4"/>
  <c r="H1313" i="4"/>
  <c r="H1322" i="4"/>
  <c r="H1376" i="4"/>
  <c r="H1387" i="4"/>
  <c r="H1438" i="4"/>
  <c r="H1473" i="4"/>
  <c r="H1479" i="4"/>
  <c r="H1492" i="4"/>
  <c r="F1493" i="4"/>
  <c r="F1472" i="4"/>
  <c r="F1454" i="4"/>
  <c r="F1434" i="4"/>
  <c r="F1421" i="4"/>
  <c r="F1393" i="4"/>
  <c r="F1384" i="4"/>
  <c r="F1370" i="4"/>
  <c r="F1338" i="4"/>
  <c r="F1298" i="4"/>
  <c r="F1286" i="4"/>
  <c r="F1283" i="4"/>
  <c r="F1274" i="4"/>
  <c r="F1270" i="4"/>
  <c r="F1251" i="4"/>
  <c r="F1249" i="4"/>
  <c r="F1236" i="4"/>
  <c r="F1201" i="4"/>
  <c r="F1192" i="4"/>
  <c r="F1142" i="4"/>
  <c r="F1130" i="4"/>
  <c r="F1118" i="4"/>
  <c r="F1107" i="4"/>
  <c r="F1098" i="4"/>
  <c r="F1087" i="4"/>
  <c r="F1082" i="4"/>
  <c r="F1065" i="4"/>
  <c r="F1043" i="4"/>
  <c r="F1000" i="4"/>
  <c r="F906" i="4"/>
  <c r="F890" i="4"/>
  <c r="F866" i="4"/>
  <c r="F863" i="4"/>
  <c r="F854" i="4"/>
  <c r="F813" i="4"/>
  <c r="F794" i="4"/>
  <c r="F743" i="4"/>
  <c r="F738" i="4"/>
  <c r="F714" i="4"/>
  <c r="F708" i="4"/>
  <c r="F681" i="4"/>
  <c r="F638" i="4"/>
  <c r="F623" i="4"/>
  <c r="F612" i="4"/>
  <c r="F609" i="4"/>
  <c r="F562" i="4"/>
  <c r="F556" i="4"/>
  <c r="F545" i="4"/>
  <c r="F495" i="4"/>
  <c r="F492" i="4"/>
  <c r="F488" i="4"/>
  <c r="F453" i="4"/>
  <c r="F441" i="4"/>
  <c r="F435" i="4"/>
  <c r="F434" i="4"/>
  <c r="F430" i="4"/>
  <c r="F425" i="4"/>
  <c r="F424" i="4"/>
  <c r="F415" i="4"/>
  <c r="F367" i="4"/>
  <c r="F356" i="4"/>
  <c r="F341" i="4"/>
  <c r="F318" i="4"/>
  <c r="F312" i="4"/>
  <c r="F311" i="4"/>
  <c r="F308" i="4"/>
  <c r="F291" i="4"/>
  <c r="F261" i="4"/>
  <c r="F222" i="4"/>
  <c r="F186" i="4"/>
  <c r="F78" i="4"/>
  <c r="F72" i="4"/>
  <c r="F69" i="4"/>
  <c r="F53" i="4"/>
  <c r="F51"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<sst xmlns="http://schemas.openxmlformats.org/spreadsheetml/2006/main" count="4790" uniqueCount="1555">
  <si>
    <t>global_rank</t>
  </si>
  <si>
    <t>domain</t>
  </si>
  <si>
    <t>category</t>
  </si>
  <si>
    <t>primary_market</t>
  </si>
  <si>
    <t>monthly_visits</t>
  </si>
  <si>
    <t>bounce_rate_pct</t>
  </si>
  <si>
    <t>avg_session_duration_s</t>
  </si>
  <si>
    <t>stickiness_index</t>
  </si>
  <si>
    <t>last_crawled</t>
  </si>
  <si>
    <t>google.com</t>
  </si>
  <si>
    <t>Social</t>
  </si>
  <si>
    <t>DE</t>
  </si>
  <si>
    <t>gtld-servers.net</t>
  </si>
  <si>
    <t>IN</t>
  </si>
  <si>
    <t>microsoft.com</t>
  </si>
  <si>
    <t>facebook.com</t>
  </si>
  <si>
    <t>News</t>
  </si>
  <si>
    <t>BR</t>
  </si>
  <si>
    <t>mail.ru</t>
  </si>
  <si>
    <t>Finance</t>
  </si>
  <si>
    <t>cloudflare.com</t>
  </si>
  <si>
    <t>Search</t>
  </si>
  <si>
    <t>GB</t>
  </si>
  <si>
    <t>googleapis.com</t>
  </si>
  <si>
    <t>apple.com</t>
  </si>
  <si>
    <t>JP</t>
  </si>
  <si>
    <t>youtube.com</t>
  </si>
  <si>
    <t>Streaming</t>
  </si>
  <si>
    <t>amazonaws.com</t>
  </si>
  <si>
    <t>Tech</t>
  </si>
  <si>
    <t>instagram.com</t>
  </si>
  <si>
    <t>dzen.ru</t>
  </si>
  <si>
    <t>US</t>
  </si>
  <si>
    <t>gstatic.com</t>
  </si>
  <si>
    <t>akamai.net</t>
  </si>
  <si>
    <t>office.com</t>
  </si>
  <si>
    <t>twitter.com</t>
  </si>
  <si>
    <t>googlevideo.com</t>
  </si>
  <si>
    <t>live.com</t>
  </si>
  <si>
    <t>linkedin.com</t>
  </si>
  <si>
    <t>fbcdn.net</t>
  </si>
  <si>
    <t>googletagmanager.com</t>
  </si>
  <si>
    <t>akadns.net</t>
  </si>
  <si>
    <t>akamaiedge.net</t>
  </si>
  <si>
    <t>amazon.com</t>
  </si>
  <si>
    <t>workers.dev</t>
  </si>
  <si>
    <t>E-commerce</t>
  </si>
  <si>
    <t>microsoftonline.com</t>
  </si>
  <si>
    <t>azure.com</t>
  </si>
  <si>
    <t>googleusercontent.com</t>
  </si>
  <si>
    <t>wikipedia.org</t>
  </si>
  <si>
    <t>windowsupdate.com</t>
  </si>
  <si>
    <t>github.com</t>
  </si>
  <si>
    <t>doubleclick.net</t>
  </si>
  <si>
    <t>domaincontrol.com</t>
  </si>
  <si>
    <t>bing.com</t>
  </si>
  <si>
    <t>digicert.com</t>
  </si>
  <si>
    <t>whatsapp.net</t>
  </si>
  <si>
    <t>netflix.com</t>
  </si>
  <si>
    <t>fastly.net</t>
  </si>
  <si>
    <t>apple-dns.net</t>
  </si>
  <si>
    <t>office.net</t>
  </si>
  <si>
    <t>wordpress.org</t>
  </si>
  <si>
    <t>aaplimg.com</t>
  </si>
  <si>
    <t>appsflyersdk.com</t>
  </si>
  <si>
    <t>e2ro.com</t>
  </si>
  <si>
    <t>youtu.be</t>
  </si>
  <si>
    <t>icloud.com</t>
  </si>
  <si>
    <t>sharepoint.com</t>
  </si>
  <si>
    <t>pinterest.com</t>
  </si>
  <si>
    <t>trafficmanager.net</t>
  </si>
  <si>
    <t>ripn.net</t>
  </si>
  <si>
    <t>whatsapp.com</t>
  </si>
  <si>
    <t>yahoo.com</t>
  </si>
  <si>
    <t>akam.net</t>
  </si>
  <si>
    <t>windows.net</t>
  </si>
  <si>
    <t>googlesyndication.com</t>
  </si>
  <si>
    <t>goo.gl</t>
  </si>
  <si>
    <t>skype.com</t>
  </si>
  <si>
    <t>x.com</t>
  </si>
  <si>
    <t>msn.com</t>
  </si>
  <si>
    <t>gandi.net</t>
  </si>
  <si>
    <t>spotify.com</t>
  </si>
  <si>
    <t>pv-cdn.net</t>
  </si>
  <si>
    <t>cloudfront.net</t>
  </si>
  <si>
    <t>ntp.org</t>
  </si>
  <si>
    <t>tiktok.com</t>
  </si>
  <si>
    <t>vimeo.com</t>
  </si>
  <si>
    <t>tiktokcdn.com</t>
  </si>
  <si>
    <t>adobe.com</t>
  </si>
  <si>
    <t>cloudflare.net</t>
  </si>
  <si>
    <t>roblox.com</t>
  </si>
  <si>
    <t>gvt2.com</t>
  </si>
  <si>
    <t>gvt1.com</t>
  </si>
  <si>
    <t>googledomains.com</t>
  </si>
  <si>
    <t>yandex.net</t>
  </si>
  <si>
    <t>ytimg.com</t>
  </si>
  <si>
    <t>tiktokv.com</t>
  </si>
  <si>
    <t>nic.ru</t>
  </si>
  <si>
    <t>wa.me</t>
  </si>
  <si>
    <t>zoom.us</t>
  </si>
  <si>
    <t>google-analytics.com</t>
  </si>
  <si>
    <t>office365.com</t>
  </si>
  <si>
    <t>qq.com</t>
  </si>
  <si>
    <t>cloudflare-dns.com</t>
  </si>
  <si>
    <t>edgekey.net</t>
  </si>
  <si>
    <t>nginx.org</t>
  </si>
  <si>
    <t>opera.com</t>
  </si>
  <si>
    <t>yandex.ru</t>
  </si>
  <si>
    <t>root-servers.net</t>
  </si>
  <si>
    <t>samsung.com</t>
  </si>
  <si>
    <t>bit.ly</t>
  </si>
  <si>
    <t>vedcdnlb.com</t>
  </si>
  <si>
    <t>baidu.com</t>
  </si>
  <si>
    <t>edgesuite.net</t>
  </si>
  <si>
    <t>nginx.com</t>
  </si>
  <si>
    <t>wordpress.com</t>
  </si>
  <si>
    <t>okcdn.ru</t>
  </si>
  <si>
    <t>ui.com</t>
  </si>
  <si>
    <t>sentry.io</t>
  </si>
  <si>
    <t>unity3d.com</t>
  </si>
  <si>
    <t>windows.com</t>
  </si>
  <si>
    <t>t-msedge.net</t>
  </si>
  <si>
    <t>mozilla.org</t>
  </si>
  <si>
    <t>intuit.com</t>
  </si>
  <si>
    <t>reddit.com</t>
  </si>
  <si>
    <t>a2z.com</t>
  </si>
  <si>
    <t>googleadservices.com</t>
  </si>
  <si>
    <t>paypal.com</t>
  </si>
  <si>
    <t>cdninstagram.com</t>
  </si>
  <si>
    <t>vk.com</t>
  </si>
  <si>
    <t>blogspot.com</t>
  </si>
  <si>
    <t>discord.gg</t>
  </si>
  <si>
    <t>t.me</t>
  </si>
  <si>
    <t>europa.eu</t>
  </si>
  <si>
    <t>snapchat.com</t>
  </si>
  <si>
    <t>bytefcdn-oversea.com</t>
  </si>
  <si>
    <t>dns.google</t>
  </si>
  <si>
    <t>epicgames.com</t>
  </si>
  <si>
    <t>ax-msedge.net</t>
  </si>
  <si>
    <t>dnsowl.com</t>
  </si>
  <si>
    <t>app-measurement.com</t>
  </si>
  <si>
    <t>amazon-adsystem.com</t>
  </si>
  <si>
    <t>github.io</t>
  </si>
  <si>
    <t>apache.org</t>
  </si>
  <si>
    <t>cloud.microsoft</t>
  </si>
  <si>
    <t>amazon.dev</t>
  </si>
  <si>
    <t>gravatar.com</t>
  </si>
  <si>
    <t>outlook.com</t>
  </si>
  <si>
    <t>dropbox.com</t>
  </si>
  <si>
    <t>pki.goog</t>
  </si>
  <si>
    <t>amazonvideo.com</t>
  </si>
  <si>
    <t>msftncsi.com</t>
  </si>
  <si>
    <t>vecdnlb.com</t>
  </si>
  <si>
    <t>trbcdn.net</t>
  </si>
  <si>
    <t>steamserver.net</t>
  </si>
  <si>
    <t>app-analytics-services.com</t>
  </si>
  <si>
    <t>xiaomi.com</t>
  </si>
  <si>
    <t>mulesoft.com</t>
  </si>
  <si>
    <t>criteo.com</t>
  </si>
  <si>
    <t>wac-msedge.net</t>
  </si>
  <si>
    <t>one.one</t>
  </si>
  <si>
    <t>archive.org</t>
  </si>
  <si>
    <t>nih.gov</t>
  </si>
  <si>
    <t>applovin.com</t>
  </si>
  <si>
    <t>b-cdn.net</t>
  </si>
  <si>
    <t>0xrpc.io</t>
  </si>
  <si>
    <t>forms.gle</t>
  </si>
  <si>
    <t>registrar-servers.com</t>
  </si>
  <si>
    <t>miit.gov.cn</t>
  </si>
  <si>
    <t>f5.com</t>
  </si>
  <si>
    <t>tumblr.com</t>
  </si>
  <si>
    <t>kaspersky.com</t>
  </si>
  <si>
    <t>msftconnecttest.com</t>
  </si>
  <si>
    <t>ggpht.com</t>
  </si>
  <si>
    <t>nytimes.com</t>
  </si>
  <si>
    <t>cdn77.org</t>
  </si>
  <si>
    <t>spo-msedge.net</t>
  </si>
  <si>
    <t>reg.ru</t>
  </si>
  <si>
    <t>3gppnetwork.org</t>
  </si>
  <si>
    <t>tiktokcdn-us.com</t>
  </si>
  <si>
    <t>aliyuncs.com</t>
  </si>
  <si>
    <t>chatgpt.com</t>
  </si>
  <si>
    <t>cncdn.com</t>
  </si>
  <si>
    <t>aws.dev</t>
  </si>
  <si>
    <t>macromedia.com</t>
  </si>
  <si>
    <t>vkuserphoto.ru</t>
  </si>
  <si>
    <t>discord.com</t>
  </si>
  <si>
    <t>shopify.com</t>
  </si>
  <si>
    <t>telekom.de</t>
  </si>
  <si>
    <t>flickr.com</t>
  </si>
  <si>
    <t>cdn-apple.com</t>
  </si>
  <si>
    <t>godaddy.com</t>
  </si>
  <si>
    <t>adobe.io</t>
  </si>
  <si>
    <t>soundcloud.com</t>
  </si>
  <si>
    <t>userapi.com</t>
  </si>
  <si>
    <t>azurefd.net</t>
  </si>
  <si>
    <t>spov-msedge.net</t>
  </si>
  <si>
    <t>mailinabox.email</t>
  </si>
  <si>
    <t>lencr.org</t>
  </si>
  <si>
    <t>adnxs.com</t>
  </si>
  <si>
    <t>rubiconproject.com</t>
  </si>
  <si>
    <t>medium.com</t>
  </si>
  <si>
    <t>cnn.com</t>
  </si>
  <si>
    <t>vungle.com</t>
  </si>
  <si>
    <t>w3.org</t>
  </si>
  <si>
    <t>example.com</t>
  </si>
  <si>
    <t>avast.com</t>
  </si>
  <si>
    <t>msedge.net</t>
  </si>
  <si>
    <t>azurewebsites.net</t>
  </si>
  <si>
    <t>shifen.com</t>
  </si>
  <si>
    <t>nist.gov</t>
  </si>
  <si>
    <t>taboola.com</t>
  </si>
  <si>
    <t>theguardian.com</t>
  </si>
  <si>
    <t>mts.ru</t>
  </si>
  <si>
    <t>ttdns2.com</t>
  </si>
  <si>
    <t>miui.com</t>
  </si>
  <si>
    <t>webex.com</t>
  </si>
  <si>
    <t>playstation.net</t>
  </si>
  <si>
    <t>nflxso.net</t>
  </si>
  <si>
    <t>creativecommons.org</t>
  </si>
  <si>
    <t>forbes.com</t>
  </si>
  <si>
    <t>nominetdns.uk</t>
  </si>
  <si>
    <t>adtrafficquality.google</t>
  </si>
  <si>
    <t>t.co</t>
  </si>
  <si>
    <t>pubmatic.com</t>
  </si>
  <si>
    <t>twitch.tv</t>
  </si>
  <si>
    <t>azureedge.net</t>
  </si>
  <si>
    <t>ozon.ru</t>
  </si>
  <si>
    <t>wildberries.ru</t>
  </si>
  <si>
    <t>bbc.com</t>
  </si>
  <si>
    <t>myfritz.net</t>
  </si>
  <si>
    <t>bbc.co.uk</t>
  </si>
  <si>
    <t>uber.com</t>
  </si>
  <si>
    <t>sourceforge.net</t>
  </si>
  <si>
    <t>sciencedirect.com</t>
  </si>
  <si>
    <t>oracle.com</t>
  </si>
  <si>
    <t>mangosip.ru</t>
  </si>
  <si>
    <t>researchgate.net</t>
  </si>
  <si>
    <t>mit.edu</t>
  </si>
  <si>
    <t>ubuntu.com</t>
  </si>
  <si>
    <t>weather.com</t>
  </si>
  <si>
    <t>gmail.com</t>
  </si>
  <si>
    <t>salesforce.com</t>
  </si>
  <si>
    <t>canva.com</t>
  </si>
  <si>
    <t>cpanel.net</t>
  </si>
  <si>
    <t>cisco.com</t>
  </si>
  <si>
    <t>doi.org</t>
  </si>
  <si>
    <t>adsrvr.org</t>
  </si>
  <si>
    <t>ebay.com</t>
  </si>
  <si>
    <t>comcast.net</t>
  </si>
  <si>
    <t>demdex.net</t>
  </si>
  <si>
    <t>wsdvs.com</t>
  </si>
  <si>
    <t>roku.com</t>
  </si>
  <si>
    <t>android.com</t>
  </si>
  <si>
    <t>akamaized.net</t>
  </si>
  <si>
    <t>alibabadns.com</t>
  </si>
  <si>
    <t>youtube-nocookie.com</t>
  </si>
  <si>
    <t>imdb.com</t>
  </si>
  <si>
    <t>scorecardresearch.com</t>
  </si>
  <si>
    <t>static.microsoft</t>
  </si>
  <si>
    <t>jomodns.com</t>
  </si>
  <si>
    <t>dual-s-msedge.net</t>
  </si>
  <si>
    <t>casalemedia.com</t>
  </si>
  <si>
    <t>edgecdn.ru</t>
  </si>
  <si>
    <t>meraki.com</t>
  </si>
  <si>
    <t>linktr.ee</t>
  </si>
  <si>
    <t>wixsite.com</t>
  </si>
  <si>
    <t>prudential.com</t>
  </si>
  <si>
    <t>ksyuncdn.com</t>
  </si>
  <si>
    <t>rocket-cdn.com</t>
  </si>
  <si>
    <t>hubspot.com</t>
  </si>
  <si>
    <t>who.int</t>
  </si>
  <si>
    <t>ttvnw.net</t>
  </si>
  <si>
    <t>nr-data.net</t>
  </si>
  <si>
    <t>booking.com</t>
  </si>
  <si>
    <t>yandex.com</t>
  </si>
  <si>
    <t>cdngslb.com</t>
  </si>
  <si>
    <t>omtrdc.net</t>
  </si>
  <si>
    <t>samsungqbe.com</t>
  </si>
  <si>
    <t>hp.com</t>
  </si>
  <si>
    <t>stripe.com</t>
  </si>
  <si>
    <t>doubleverify.com</t>
  </si>
  <si>
    <t>inmobi.com</t>
  </si>
  <si>
    <t>harvard.edu</t>
  </si>
  <si>
    <t>launchpad.net</t>
  </si>
  <si>
    <t>dns-parking.com</t>
  </si>
  <si>
    <t>moe.video</t>
  </si>
  <si>
    <t>mozilla.com</t>
  </si>
  <si>
    <t>openai.com</t>
  </si>
  <si>
    <t>drom.ru</t>
  </si>
  <si>
    <t>wikimedia.org</t>
  </si>
  <si>
    <t>hichina.com</t>
  </si>
  <si>
    <t>tinyurl.com</t>
  </si>
  <si>
    <t>shalltry.com</t>
  </si>
  <si>
    <t>samsungcloud.com</t>
  </si>
  <si>
    <t>appsflyer.com</t>
  </si>
  <si>
    <t>media-amazon.com</t>
  </si>
  <si>
    <t>fastly-edge.com</t>
  </si>
  <si>
    <t>mtgglobals.com</t>
  </si>
  <si>
    <t>ea.com</t>
  </si>
  <si>
    <t>openx.net</t>
  </si>
  <si>
    <t>ok.ru</t>
  </si>
  <si>
    <t>mikrotik.com</t>
  </si>
  <si>
    <t>mzstatic.com</t>
  </si>
  <si>
    <t>grammarly.com</t>
  </si>
  <si>
    <t>googleblog.com</t>
  </si>
  <si>
    <t>heytapmobile.com</t>
  </si>
  <si>
    <t>dnsmadeeasy.com</t>
  </si>
  <si>
    <t>amazon.co.uk</t>
  </si>
  <si>
    <t>reuters.com</t>
  </si>
  <si>
    <t>springer.com</t>
  </si>
  <si>
    <t>dropcatch.com</t>
  </si>
  <si>
    <t>alibaba.com</t>
  </si>
  <si>
    <t>www.gov.uk</t>
  </si>
  <si>
    <t>byteoversea.net</t>
  </si>
  <si>
    <t>etsy.com</t>
  </si>
  <si>
    <t>ibm.com</t>
  </si>
  <si>
    <t>ampproject.org</t>
  </si>
  <si>
    <t>3lift.com</t>
  </si>
  <si>
    <t>steampowered.com</t>
  </si>
  <si>
    <t>launchdarkly.com</t>
  </si>
  <si>
    <t>media.net</t>
  </si>
  <si>
    <t>jsdelivr.net</t>
  </si>
  <si>
    <t>autodesk.com</t>
  </si>
  <si>
    <t>php.net</t>
  </si>
  <si>
    <t>bilibili.com</t>
  </si>
  <si>
    <t>forter.com</t>
  </si>
  <si>
    <t>ivi.ru</t>
  </si>
  <si>
    <t>capcutapi.com</t>
  </si>
  <si>
    <t>tradingview.com</t>
  </si>
  <si>
    <t>weebly.com</t>
  </si>
  <si>
    <t>kaspersky-labs.com</t>
  </si>
  <si>
    <t>ezvizlife.com</t>
  </si>
  <si>
    <t>kwai-pro.com</t>
  </si>
  <si>
    <t>slack.com</t>
  </si>
  <si>
    <t>nature.com</t>
  </si>
  <si>
    <t>name-services.com</t>
  </si>
  <si>
    <t>wiley.com</t>
  </si>
  <si>
    <t>debian.org</t>
  </si>
  <si>
    <t>issuu.com</t>
  </si>
  <si>
    <t>crashlytics.com</t>
  </si>
  <si>
    <t>cloudflareinsights.com</t>
  </si>
  <si>
    <t>alidns.com</t>
  </si>
  <si>
    <t>opendns.com</t>
  </si>
  <si>
    <t>douyincdn.com</t>
  </si>
  <si>
    <t>adriver.ru</t>
  </si>
  <si>
    <t>smartadserver.com</t>
  </si>
  <si>
    <t>whecloud.com</t>
  </si>
  <si>
    <t>weibo.com</t>
  </si>
  <si>
    <t>washingtonpost.com</t>
  </si>
  <si>
    <t>vedsalb.com</t>
  </si>
  <si>
    <t>checkpoint.com</t>
  </si>
  <si>
    <t>clarity.ms</t>
  </si>
  <si>
    <t>cdc.gov</t>
  </si>
  <si>
    <t>wyzecam.com</t>
  </si>
  <si>
    <t>akamaihd.net</t>
  </si>
  <si>
    <t>tiktokv.us</t>
  </si>
  <si>
    <t>wsj.com</t>
  </si>
  <si>
    <t>myshopify.com</t>
  </si>
  <si>
    <t>inner-active.mobi</t>
  </si>
  <si>
    <t>mi.com</t>
  </si>
  <si>
    <t>naver.com</t>
  </si>
  <si>
    <t>gnu.org</t>
  </si>
  <si>
    <t>bamgrid.com</t>
  </si>
  <si>
    <t>un.org</t>
  </si>
  <si>
    <t>allawnos.com</t>
  </si>
  <si>
    <t>dailymail.co.uk</t>
  </si>
  <si>
    <t>wbx2.com</t>
  </si>
  <si>
    <t>cdnbuild.net</t>
  </si>
  <si>
    <t>samsungcloudsolution.com</t>
  </si>
  <si>
    <t>ln-msedge.net</t>
  </si>
  <si>
    <t>live-video.net</t>
  </si>
  <si>
    <t>go.com</t>
  </si>
  <si>
    <t>sc-cdn.net</t>
  </si>
  <si>
    <t>bloomberg.com</t>
  </si>
  <si>
    <t>xboxlive.com</t>
  </si>
  <si>
    <t>vk.ru</t>
  </si>
  <si>
    <t>myhuaweicloud.com</t>
  </si>
  <si>
    <t>aliyun.com</t>
  </si>
  <si>
    <t>telegraph.co.uk</t>
  </si>
  <si>
    <t>rzone.de</t>
  </si>
  <si>
    <t>cloudns.net</t>
  </si>
  <si>
    <t>stanford.edu</t>
  </si>
  <si>
    <t>nvidia.com</t>
  </si>
  <si>
    <t>dailymotion.com</t>
  </si>
  <si>
    <t>avsxappcaptiveportal.com</t>
  </si>
  <si>
    <t>pages.dev</t>
  </si>
  <si>
    <t>tp-link.com</t>
  </si>
  <si>
    <t>ibyteimg.com</t>
  </si>
  <si>
    <t>vkuser.net</t>
  </si>
  <si>
    <t>heytapdl.com</t>
  </si>
  <si>
    <t>mynetname.net</t>
  </si>
  <si>
    <t>dell.com</t>
  </si>
  <si>
    <t>adsafeprotected.com</t>
  </si>
  <si>
    <t>netflix.net</t>
  </si>
  <si>
    <t>scdn.co</t>
  </si>
  <si>
    <t>cookielaw.org</t>
  </si>
  <si>
    <t>facebook.net</t>
  </si>
  <si>
    <t>aiv-delivery.net</t>
  </si>
  <si>
    <t>vivoglobal.com</t>
  </si>
  <si>
    <t>easebar.com</t>
  </si>
  <si>
    <t>afternic.com</t>
  </si>
  <si>
    <t>espn.com</t>
  </si>
  <si>
    <t>temu.com</t>
  </si>
  <si>
    <t>sc-gw.com</t>
  </si>
  <si>
    <t>merkle.io</t>
  </si>
  <si>
    <t>plesk.com</t>
  </si>
  <si>
    <t>kwaipros.com</t>
  </si>
  <si>
    <t>aliexpress.com</t>
  </si>
  <si>
    <t>netangels.ru</t>
  </si>
  <si>
    <t>ngenix.net</t>
  </si>
  <si>
    <t>unsplash.com</t>
  </si>
  <si>
    <t>telegram.org</t>
  </si>
  <si>
    <t>discord.media</t>
  </si>
  <si>
    <t>nasa.gov</t>
  </si>
  <si>
    <t>tiktokcdn-eu.com</t>
  </si>
  <si>
    <t>globo.com</t>
  </si>
  <si>
    <t>indeed.com</t>
  </si>
  <si>
    <t>amazonalexa.com</t>
  </si>
  <si>
    <t>duckduckgo.com</t>
  </si>
  <si>
    <t>businessinsider.com</t>
  </si>
  <si>
    <t>google.com.br</t>
  </si>
  <si>
    <t>nstld.com</t>
  </si>
  <si>
    <t>expireddomains.com</t>
  </si>
  <si>
    <t>wp.com</t>
  </si>
  <si>
    <t>independent.co.uk</t>
  </si>
  <si>
    <t>cornell.edu</t>
  </si>
  <si>
    <t>ipv4only.arpa</t>
  </si>
  <si>
    <t>sfx.ms</t>
  </si>
  <si>
    <t>huawei.com</t>
  </si>
  <si>
    <t>aliyuncsslbintl.com</t>
  </si>
  <si>
    <t>trustpilot.com</t>
  </si>
  <si>
    <t>amazon.de</t>
  </si>
  <si>
    <t>avcdn.net</t>
  </si>
  <si>
    <t>telegram.me</t>
  </si>
  <si>
    <t>tiktokv.eu</t>
  </si>
  <si>
    <t>cookiedatabase.org</t>
  </si>
  <si>
    <t>msidentity.com</t>
  </si>
  <si>
    <t>adobe.net</t>
  </si>
  <si>
    <t>pangle.io</t>
  </si>
  <si>
    <t>taobao.com</t>
  </si>
  <si>
    <t>163.com</t>
  </si>
  <si>
    <t>steamcommunity.com</t>
  </si>
  <si>
    <t>statista.com</t>
  </si>
  <si>
    <t>xcal.tv</t>
  </si>
  <si>
    <t>calendly.com</t>
  </si>
  <si>
    <t>imcmdb.net</t>
  </si>
  <si>
    <t>quora.com</t>
  </si>
  <si>
    <t>firetvcaptiveportal.com</t>
  </si>
  <si>
    <t>aol.com</t>
  </si>
  <si>
    <t>pixabay.com</t>
  </si>
  <si>
    <t>hostgator.com</t>
  </si>
  <si>
    <t>aiv-cdn.net</t>
  </si>
  <si>
    <t>teamviewer.com</t>
  </si>
  <si>
    <t>duolingo.com</t>
  </si>
  <si>
    <t>ipify.org</t>
  </si>
  <si>
    <t>cnbc.com</t>
  </si>
  <si>
    <t>gamepass.com</t>
  </si>
  <si>
    <t>wswebcdn.com</t>
  </si>
  <si>
    <t>telecid.ru</t>
  </si>
  <si>
    <t>list-manage.com</t>
  </si>
  <si>
    <t>ietf.org</t>
  </si>
  <si>
    <t>crpt.ru</t>
  </si>
  <si>
    <t>zendesk.com</t>
  </si>
  <si>
    <t>walmart.com</t>
  </si>
  <si>
    <t>goodreads.com</t>
  </si>
  <si>
    <t>nflxvideo.net</t>
  </si>
  <si>
    <t>addtoany.com</t>
  </si>
  <si>
    <t>online-metrix.net</t>
  </si>
  <si>
    <t>oxylabs.io</t>
  </si>
  <si>
    <t>branch.io</t>
  </si>
  <si>
    <t>beian.gov.cn</t>
  </si>
  <si>
    <t>foxnews.com</t>
  </si>
  <si>
    <t>rbxcdn.com</t>
  </si>
  <si>
    <t>sberbank.ru</t>
  </si>
  <si>
    <t>cdnvideo.ru</t>
  </si>
  <si>
    <t>line.me</t>
  </si>
  <si>
    <t>gosuslugi.ru</t>
  </si>
  <si>
    <t>giphy.com</t>
  </si>
  <si>
    <t>staples.com</t>
  </si>
  <si>
    <t>slideshare.net</t>
  </si>
  <si>
    <t>gitlab.com</t>
  </si>
  <si>
    <t>imgsmail.ru</t>
  </si>
  <si>
    <t>mediatek.com</t>
  </si>
  <si>
    <t>byteglb.com</t>
  </si>
  <si>
    <t>yahoo.co.jp</t>
  </si>
  <si>
    <t>npr.org</t>
  </si>
  <si>
    <t>nflximg.com</t>
  </si>
  <si>
    <t>g.page</t>
  </si>
  <si>
    <t>speedtest.net</t>
  </si>
  <si>
    <t>notamedia.ru</t>
  </si>
  <si>
    <t>kwai.net</t>
  </si>
  <si>
    <t>cdn20.com</t>
  </si>
  <si>
    <t>worldnic.com</t>
  </si>
  <si>
    <t>eventbrite.com</t>
  </si>
  <si>
    <t>supercell.com</t>
  </si>
  <si>
    <t>elasticbeanstalk.com</t>
  </si>
  <si>
    <t>a-msedge.net</t>
  </si>
  <si>
    <t>amplitude.com</t>
  </si>
  <si>
    <t>mcafee.com</t>
  </si>
  <si>
    <t>google.de</t>
  </si>
  <si>
    <t>namebrightdns.com</t>
  </si>
  <si>
    <t>tbcache.com</t>
  </si>
  <si>
    <t>hcaptcha.com</t>
  </si>
  <si>
    <t>wired.com</t>
  </si>
  <si>
    <t>amzn.to</t>
  </si>
  <si>
    <t>mysql.com</t>
  </si>
  <si>
    <t>alicdn.com</t>
  </si>
  <si>
    <t>name.com</t>
  </si>
  <si>
    <t>nease.net</t>
  </si>
  <si>
    <t>okta.com</t>
  </si>
  <si>
    <t>myqcloud.com</t>
  </si>
  <si>
    <t>icloud-content.com</t>
  </si>
  <si>
    <t>2mdn.net</t>
  </si>
  <si>
    <t>telekom.net</t>
  </si>
  <si>
    <t>scribd.com</t>
  </si>
  <si>
    <t>shein.com</t>
  </si>
  <si>
    <t>indiatimes.com</t>
  </si>
  <si>
    <t>my.com</t>
  </si>
  <si>
    <t>behance.net</t>
  </si>
  <si>
    <t>uol.com.br</t>
  </si>
  <si>
    <t>360yield.com</t>
  </si>
  <si>
    <t>akamaitech.net</t>
  </si>
  <si>
    <t>qlivecdn.com</t>
  </si>
  <si>
    <t>sophos.com</t>
  </si>
  <si>
    <t>stackoverflow.com</t>
  </si>
  <si>
    <t>ys7.com</t>
  </si>
  <si>
    <t>firefox.com</t>
  </si>
  <si>
    <t>netease.com</t>
  </si>
  <si>
    <t>tm-azurefd.net</t>
  </si>
  <si>
    <t>safebrowsing.apple</t>
  </si>
  <si>
    <t>svc.ms</t>
  </si>
  <si>
    <t>run.app</t>
  </si>
  <si>
    <t>sohu.com</t>
  </si>
  <si>
    <t>bsky.app</t>
  </si>
  <si>
    <t>time.com</t>
  </si>
  <si>
    <t>gandi-ns.fr</t>
  </si>
  <si>
    <t>visualstudio.com</t>
  </si>
  <si>
    <t>t-online.de</t>
  </si>
  <si>
    <t>paloaltonetworks.com</t>
  </si>
  <si>
    <t>consultant.ru</t>
  </si>
  <si>
    <t>amazon.co.jp</t>
  </si>
  <si>
    <t>tencent-cloud.net</t>
  </si>
  <si>
    <t>usatoday.com</t>
  </si>
  <si>
    <t>wb.ru</t>
  </si>
  <si>
    <t>ft.com</t>
  </si>
  <si>
    <t>blogger.com</t>
  </si>
  <si>
    <t>docker.com</t>
  </si>
  <si>
    <t>deviantart.com</t>
  </si>
  <si>
    <t>xiaomi.net</t>
  </si>
  <si>
    <t>xhamster.com</t>
  </si>
  <si>
    <t>rutube.ru</t>
  </si>
  <si>
    <t>ya.ru</t>
  </si>
  <si>
    <t>gcdn.co</t>
  </si>
  <si>
    <t>intel.com</t>
  </si>
  <si>
    <t>jquery.com</t>
  </si>
  <si>
    <t>rlcdn.com</t>
  </si>
  <si>
    <t>azure-dns.com</t>
  </si>
  <si>
    <t>dnspod.net</t>
  </si>
  <si>
    <t>timeweb.ru</t>
  </si>
  <si>
    <t>capcut.com</t>
  </si>
  <si>
    <t>tplinkcloud.com</t>
  </si>
  <si>
    <t>eset.com</t>
  </si>
  <si>
    <t>markmonitor.com</t>
  </si>
  <si>
    <t>sharethrough.com</t>
  </si>
  <si>
    <t>fast.com</t>
  </si>
  <si>
    <t>tripadvisor.com</t>
  </si>
  <si>
    <t>dynatrace.com</t>
  </si>
  <si>
    <t>2gis.com</t>
  </si>
  <si>
    <t>rakuten.co.jp</t>
  </si>
  <si>
    <t>google.com.hk</t>
  </si>
  <si>
    <t>hotjar.com</t>
  </si>
  <si>
    <t>trendmicro.com</t>
  </si>
  <si>
    <t>awswaf.com</t>
  </si>
  <si>
    <t>awsglobalaccelerator.com</t>
  </si>
  <si>
    <t>oup.com</t>
  </si>
  <si>
    <t>t-mobile.com</t>
  </si>
  <si>
    <t>yahoodns.net</t>
  </si>
  <si>
    <t>braze.com</t>
  </si>
  <si>
    <t>bidswitch.net</t>
  </si>
  <si>
    <t>target.com</t>
  </si>
  <si>
    <t>onetrust.com</t>
  </si>
  <si>
    <t>sina.com.cn</t>
  </si>
  <si>
    <t>uk.com</t>
  </si>
  <si>
    <t>berkeley.edu</t>
  </si>
  <si>
    <t>rt.ru</t>
  </si>
  <si>
    <t>noaa.gov</t>
  </si>
  <si>
    <t>adobedtm.com</t>
  </si>
  <si>
    <t>wix.com</t>
  </si>
  <si>
    <t>ovh.net</t>
  </si>
  <si>
    <t>tandfonline.com</t>
  </si>
  <si>
    <t>playstation.com</t>
  </si>
  <si>
    <t>googlezip.net</t>
  </si>
  <si>
    <t>duckdns.org</t>
  </si>
  <si>
    <t>atlassian.com</t>
  </si>
  <si>
    <t>tiktokrow-cdn.com</t>
  </si>
  <si>
    <t>ca.gov</t>
  </si>
  <si>
    <t>britannica.com</t>
  </si>
  <si>
    <t>loc.gov</t>
  </si>
  <si>
    <t>digitalocean.com</t>
  </si>
  <si>
    <t>quickconnect.to</t>
  </si>
  <si>
    <t>shopee.com.br</t>
  </si>
  <si>
    <t>intercom.io</t>
  </si>
  <si>
    <t>360safe.com</t>
  </si>
  <si>
    <t>eye4.cn</t>
  </si>
  <si>
    <t>aboutads.info</t>
  </si>
  <si>
    <t>arxiv.org</t>
  </si>
  <si>
    <t>licdn.com</t>
  </si>
  <si>
    <t>optimizely.com</t>
  </si>
  <si>
    <t>id5-sync.com</t>
  </si>
  <si>
    <t>spaceweb.pro</t>
  </si>
  <si>
    <t>comcast.com</t>
  </si>
  <si>
    <t>yelp.com</t>
  </si>
  <si>
    <t>substack.com</t>
  </si>
  <si>
    <t>free.fr</t>
  </si>
  <si>
    <t>samsungapps.com</t>
  </si>
  <si>
    <t>venmo.com</t>
  </si>
  <si>
    <t>squarespace.com</t>
  </si>
  <si>
    <t>ikea.com</t>
  </si>
  <si>
    <t>nic.network</t>
  </si>
  <si>
    <t>accuweather.com</t>
  </si>
  <si>
    <t>dreamhost.com</t>
  </si>
  <si>
    <t>ieee.org</t>
  </si>
  <si>
    <t>googletagservices.com</t>
  </si>
  <si>
    <t>cnet.com</t>
  </si>
  <si>
    <t>surveymonkey.com</t>
  </si>
  <si>
    <t>verisign.com</t>
  </si>
  <si>
    <t>mega.co.nz</t>
  </si>
  <si>
    <t>ip-api.com</t>
  </si>
  <si>
    <t>hath.network</t>
  </si>
  <si>
    <t>fandom.com</t>
  </si>
  <si>
    <t>grammarly.io</t>
  </si>
  <si>
    <t>typekit.net</t>
  </si>
  <si>
    <t>twimg.com</t>
  </si>
  <si>
    <t>jotform.com</t>
  </si>
  <si>
    <t>brave.com</t>
  </si>
  <si>
    <t>fontawesome.com</t>
  </si>
  <si>
    <t>live.net</t>
  </si>
  <si>
    <t>stackadapt.com</t>
  </si>
  <si>
    <t>force.com</t>
  </si>
  <si>
    <t>lijit.com</t>
  </si>
  <si>
    <t>atlassian.net</t>
  </si>
  <si>
    <t>russianpost.ru</t>
  </si>
  <si>
    <t>imgur.com</t>
  </si>
  <si>
    <t>typeform.com</t>
  </si>
  <si>
    <t>hicloud.com</t>
  </si>
  <si>
    <t>avito.ru</t>
  </si>
  <si>
    <t>nike.com</t>
  </si>
  <si>
    <t>conviva.com</t>
  </si>
  <si>
    <t>cbsnews.com</t>
  </si>
  <si>
    <t>newrelic.com</t>
  </si>
  <si>
    <t>bx-msedge.net</t>
  </si>
  <si>
    <t>yieldmo.com</t>
  </si>
  <si>
    <t>smaato.net</t>
  </si>
  <si>
    <t>arubanetworks.com</t>
  </si>
  <si>
    <t>b-msedge.net</t>
  </si>
  <si>
    <t>g.co</t>
  </si>
  <si>
    <t>deepl.com</t>
  </si>
  <si>
    <t>ipinfo.io</t>
  </si>
  <si>
    <t>edgecastdns.net</t>
  </si>
  <si>
    <t>shutterstock.com</t>
  </si>
  <si>
    <t>viber.com</t>
  </si>
  <si>
    <t>ted.com</t>
  </si>
  <si>
    <t>amazon.fr</t>
  </si>
  <si>
    <t>agkn.com</t>
  </si>
  <si>
    <t>amazontrust.com</t>
  </si>
  <si>
    <t>redhat.com</t>
  </si>
  <si>
    <t>elpais.com</t>
  </si>
  <si>
    <t>wattpad.com</t>
  </si>
  <si>
    <t>vidaahub.com</t>
  </si>
  <si>
    <t>marriott.com</t>
  </si>
  <si>
    <t>githubusercontent.com</t>
  </si>
  <si>
    <t>he.net</t>
  </si>
  <si>
    <t>pendo.io</t>
  </si>
  <si>
    <t>nintendo.com</t>
  </si>
  <si>
    <t>tapad.com</t>
  </si>
  <si>
    <t>ups.com</t>
  </si>
  <si>
    <t>wbbasket.ru</t>
  </si>
  <si>
    <t>bluehost.com</t>
  </si>
  <si>
    <t>outbrain.com</t>
  </si>
  <si>
    <t>1rx.io</t>
  </si>
  <si>
    <t>dotomi.com</t>
  </si>
  <si>
    <t>amazon.ca</t>
  </si>
  <si>
    <t>techcrunch.com</t>
  </si>
  <si>
    <t>google.co.uk</t>
  </si>
  <si>
    <t>pinimg.com</t>
  </si>
  <si>
    <t>withgoogle.com</t>
  </si>
  <si>
    <t>volcfcdndvs.com</t>
  </si>
  <si>
    <t>rackspace.net</t>
  </si>
  <si>
    <t>service.gov.uk</t>
  </si>
  <si>
    <t>impervadns.net</t>
  </si>
  <si>
    <t>crwdcntrl.net</t>
  </si>
  <si>
    <t>geobasket.ru</t>
  </si>
  <si>
    <t>mdpi.com</t>
  </si>
  <si>
    <t>klaviyo.com</t>
  </si>
  <si>
    <t>cambridge.org</t>
  </si>
  <si>
    <t>omnitagjs.com</t>
  </si>
  <si>
    <t>hihonorcloud.com</t>
  </si>
  <si>
    <t>sentinelone.net</t>
  </si>
  <si>
    <t>quantserve.com</t>
  </si>
  <si>
    <t>dns-shop.ru</t>
  </si>
  <si>
    <t>bdydns.com</t>
  </si>
  <si>
    <t>publicnode.com</t>
  </si>
  <si>
    <t>pvp.net</t>
  </si>
  <si>
    <t>wp.pl</t>
  </si>
  <si>
    <t>appcenter.ms</t>
  </si>
  <si>
    <t>bidr.io</t>
  </si>
  <si>
    <t>tiktokpangle.us</t>
  </si>
  <si>
    <t>unesco.org</t>
  </si>
  <si>
    <t>spiegel.de</t>
  </si>
  <si>
    <t>rackspace.com</t>
  </si>
  <si>
    <t>lemonde.fr</t>
  </si>
  <si>
    <t>anydesk.com</t>
  </si>
  <si>
    <t>ozone.ru</t>
  </si>
  <si>
    <t>fb.com</t>
  </si>
  <si>
    <t>aniview.com</t>
  </si>
  <si>
    <t>nel.goog</t>
  </si>
  <si>
    <t>browser-intake-datadoghq.com</t>
  </si>
  <si>
    <t>mailchimp.com</t>
  </si>
  <si>
    <t>liadm.com</t>
  </si>
  <si>
    <t>liftoff.io</t>
  </si>
  <si>
    <t>steamstatic.com</t>
  </si>
  <si>
    <t>telephony.goog</t>
  </si>
  <si>
    <t>asus.com</t>
  </si>
  <si>
    <t>onelink.me</t>
  </si>
  <si>
    <t>kontur.ru</t>
  </si>
  <si>
    <t>riotgames.com</t>
  </si>
  <si>
    <t>freepik.com</t>
  </si>
  <si>
    <t>360.cn</t>
  </si>
  <si>
    <t>mediafire.com</t>
  </si>
  <si>
    <t>samsungacr.com</t>
  </si>
  <si>
    <t>gumgum.com</t>
  </si>
  <si>
    <t>xvideos.com</t>
  </si>
  <si>
    <t>ring.com</t>
  </si>
  <si>
    <t>dns.cn</t>
  </si>
  <si>
    <t>sagepub.com</t>
  </si>
  <si>
    <t>oraclecloud.com</t>
  </si>
  <si>
    <t>bugsnag.com</t>
  </si>
  <si>
    <t>dbankcloud.ru</t>
  </si>
  <si>
    <t>adobedc.net</t>
  </si>
  <si>
    <t>xiaohongshu.com</t>
  </si>
  <si>
    <t>bytefcdn-ttpus.com</t>
  </si>
  <si>
    <t>hostgator.com.br</t>
  </si>
  <si>
    <t>afilias-nst.info</t>
  </si>
  <si>
    <t>creativecdn.com</t>
  </si>
  <si>
    <t>amazon.in</t>
  </si>
  <si>
    <t>homedepot.com</t>
  </si>
  <si>
    <t>tencent.com</t>
  </si>
  <si>
    <t>vkontakte.ru</t>
  </si>
  <si>
    <t>chinamobile.com</t>
  </si>
  <si>
    <t>adform.net</t>
  </si>
  <si>
    <t>bytedns1.com</t>
  </si>
  <si>
    <t>bitrix24.ru</t>
  </si>
  <si>
    <t>shopee.co.id</t>
  </si>
  <si>
    <t>allaboutcookies.org</t>
  </si>
  <si>
    <t>amazon.es</t>
  </si>
  <si>
    <t>mixpanel.com</t>
  </si>
  <si>
    <t>erome.com</t>
  </si>
  <si>
    <t>google.cn</t>
  </si>
  <si>
    <t>33across.com</t>
  </si>
  <si>
    <t>cursor.sh</t>
  </si>
  <si>
    <t>no-ip.com</t>
  </si>
  <si>
    <t>lenovo.com</t>
  </si>
  <si>
    <t>lgtvcommon.com</t>
  </si>
  <si>
    <t>appspot.com</t>
  </si>
  <si>
    <t>ovscdns.com</t>
  </si>
  <si>
    <t>zillow.com</t>
  </si>
  <si>
    <t>networkadvertising.org</t>
  </si>
  <si>
    <t>dbankcloud.com</t>
  </si>
  <si>
    <t>box.com</t>
  </si>
  <si>
    <t>a-mo.net</t>
  </si>
  <si>
    <t>amazon.it</t>
  </si>
  <si>
    <t>singular.net</t>
  </si>
  <si>
    <t>fiverr.com</t>
  </si>
  <si>
    <t>cdn-vk.ru</t>
  </si>
  <si>
    <t>enacdn.net</t>
  </si>
  <si>
    <t>zenecn.net</t>
  </si>
  <si>
    <t>me.com</t>
  </si>
  <si>
    <t>zoho.com</t>
  </si>
  <si>
    <t>bytefcdn-ttpeu.com</t>
  </si>
  <si>
    <t>criteo.net</t>
  </si>
  <si>
    <t>prnewswire.com</t>
  </si>
  <si>
    <t>imrworldwide.com</t>
  </si>
  <si>
    <t>myspace.com</t>
  </si>
  <si>
    <t>stripchat.com</t>
  </si>
  <si>
    <t>turn.com</t>
  </si>
  <si>
    <t>people.com</t>
  </si>
  <si>
    <t>bandcamp.com</t>
  </si>
  <si>
    <t>theverge.com</t>
  </si>
  <si>
    <t>miwifi.com</t>
  </si>
  <si>
    <t>clever.com</t>
  </si>
  <si>
    <t>life360.com</t>
  </si>
  <si>
    <t>discordapp.com</t>
  </si>
  <si>
    <t>nikkei.com</t>
  </si>
  <si>
    <t>xerox.com</t>
  </si>
  <si>
    <t>latimes.com</t>
  </si>
  <si>
    <t>disqus.com</t>
  </si>
  <si>
    <t>ks-cdn.com</t>
  </si>
  <si>
    <t>xbox.com</t>
  </si>
  <si>
    <t>teads.tv</t>
  </si>
  <si>
    <t>hbr.org</t>
  </si>
  <si>
    <t>bunnyinfra.net</t>
  </si>
  <si>
    <t>investopedia.com</t>
  </si>
  <si>
    <t>rakuten.com</t>
  </si>
  <si>
    <t>seznam.cz</t>
  </si>
  <si>
    <t>fda.gov</t>
  </si>
  <si>
    <t>python.org</t>
  </si>
  <si>
    <t>ameblo.jp</t>
  </si>
  <si>
    <t>datadoghq.com</t>
  </si>
  <si>
    <t>cloudinary.com</t>
  </si>
  <si>
    <t>recaptcha.net</t>
  </si>
  <si>
    <t>maricopa.gov</t>
  </si>
  <si>
    <t>primevideo.com</t>
  </si>
  <si>
    <t>onlinepbx.ru</t>
  </si>
  <si>
    <t>unpkg.com</t>
  </si>
  <si>
    <t>exp-tas.com</t>
  </si>
  <si>
    <t>washington.edu</t>
  </si>
  <si>
    <t>welt.de</t>
  </si>
  <si>
    <t>threads.com</t>
  </si>
  <si>
    <t>yellowblue.io</t>
  </si>
  <si>
    <t>bestbuy.com</t>
  </si>
  <si>
    <t>mayoclinic.org</t>
  </si>
  <si>
    <t>vivo.com.cn</t>
  </si>
  <si>
    <t>pornhub.com</t>
  </si>
  <si>
    <t>disneyplus.com</t>
  </si>
  <si>
    <t>usps.com</t>
  </si>
  <si>
    <t>apnews.com</t>
  </si>
  <si>
    <t>usgovcloudapi.net</t>
  </si>
  <si>
    <t>adjust.com</t>
  </si>
  <si>
    <t>llamarpc.com</t>
  </si>
  <si>
    <t>afilias-nst.org</t>
  </si>
  <si>
    <t>gtld.biz</t>
  </si>
  <si>
    <t>rbc.ru</t>
  </si>
  <si>
    <t>onetag-sys.com</t>
  </si>
  <si>
    <t>academia.edu</t>
  </si>
  <si>
    <t>synology.com</t>
  </si>
  <si>
    <t>allegro.pl</t>
  </si>
  <si>
    <t>lefigaro.fr</t>
  </si>
  <si>
    <t>spotifycdn.com</t>
  </si>
  <si>
    <t>everesttech.net</t>
  </si>
  <si>
    <t>tenor.com</t>
  </si>
  <si>
    <t>ssl-images-amazon.com</t>
  </si>
  <si>
    <t>trueconf.net</t>
  </si>
  <si>
    <t>zoom.com</t>
  </si>
  <si>
    <t>nbcnews.com</t>
  </si>
  <si>
    <t>azure-devices.net</t>
  </si>
  <si>
    <t>livejournal.com</t>
  </si>
  <si>
    <t>pccc.com</t>
  </si>
  <si>
    <t>websitewelcome.com</t>
  </si>
  <si>
    <t>fwmrm.net</t>
  </si>
  <si>
    <t>themeforest.net</t>
  </si>
  <si>
    <t>flashtalking.com</t>
  </si>
  <si>
    <t>moloco.com</t>
  </si>
  <si>
    <t>webmd.com</t>
  </si>
  <si>
    <t>adblockplus.org</t>
  </si>
  <si>
    <t>mckinsey.com</t>
  </si>
  <si>
    <t>agoda.com</t>
  </si>
  <si>
    <t>shopifysvc.com</t>
  </si>
  <si>
    <t>onlyfans.com</t>
  </si>
  <si>
    <t>classlink.com</t>
  </si>
  <si>
    <t>go-mpulse.net</t>
  </si>
  <si>
    <t>nic.io</t>
  </si>
  <si>
    <t>ci-servers.net</t>
  </si>
  <si>
    <t>salesforceliveagent.com</t>
  </si>
  <si>
    <t>selectel.ru</t>
  </si>
  <si>
    <t>pexels.com</t>
  </si>
  <si>
    <t>ubnt.com</t>
  </si>
  <si>
    <t>figma.com</t>
  </si>
  <si>
    <t>qualtrics.com</t>
  </si>
  <si>
    <t>ui-dns.com</t>
  </si>
  <si>
    <t>playrix.com</t>
  </si>
  <si>
    <t>healthline.com</t>
  </si>
  <si>
    <t>bild.de</t>
  </si>
  <si>
    <t>ci-servers.org</t>
  </si>
  <si>
    <t>rayjump.com</t>
  </si>
  <si>
    <t>iso.org</t>
  </si>
  <si>
    <t>nintendo.net</t>
  </si>
  <si>
    <t>sedo.com</t>
  </si>
  <si>
    <t>linode.com</t>
  </si>
  <si>
    <t>globalsign.com</t>
  </si>
  <si>
    <t>tplinknbu.com</t>
  </si>
  <si>
    <t>princeton.edu</t>
  </si>
  <si>
    <t>hindustantimes.com</t>
  </si>
  <si>
    <t>docker.io</t>
  </si>
  <si>
    <t>usda.gov</t>
  </si>
  <si>
    <t>kunluncan.com</t>
  </si>
  <si>
    <t>openstreetmap.org</t>
  </si>
  <si>
    <t>amazon.com.br</t>
  </si>
  <si>
    <t>bankofamerica.com</t>
  </si>
  <si>
    <t>chess.com</t>
  </si>
  <si>
    <t>wps.com</t>
  </si>
  <si>
    <t>discogs.com</t>
  </si>
  <si>
    <t>ebay.co.uk</t>
  </si>
  <si>
    <t>nypost.com</t>
  </si>
  <si>
    <t>lowes.com</t>
  </si>
  <si>
    <t>eu-1-id5-sync.com</t>
  </si>
  <si>
    <t>nationalgeographic.com</t>
  </si>
  <si>
    <t>genius.com</t>
  </si>
  <si>
    <t>vtwenty.com</t>
  </si>
  <si>
    <t>kick.com</t>
  </si>
  <si>
    <t>att.com</t>
  </si>
  <si>
    <t>samsungosp.com</t>
  </si>
  <si>
    <t>opera-api.com</t>
  </si>
  <si>
    <t>onet.pl</t>
  </si>
  <si>
    <t>worldbank.org</t>
  </si>
  <si>
    <t>unrulymedia.com</t>
  </si>
  <si>
    <t>megafon.ru</t>
  </si>
  <si>
    <t>prodregistryv2.org</t>
  </si>
  <si>
    <t>mailchi.mp</t>
  </si>
  <si>
    <t>redd.it</t>
  </si>
  <si>
    <t>sportradar.com</t>
  </si>
  <si>
    <t>otto.de</t>
  </si>
  <si>
    <t>jetbrains.com</t>
  </si>
  <si>
    <t>biblegateway.com</t>
  </si>
  <si>
    <t>theatlantic.com</t>
  </si>
  <si>
    <t>yandexcloud.net</t>
  </si>
  <si>
    <t>hm.com</t>
  </si>
  <si>
    <t>deloitte.com</t>
  </si>
  <si>
    <t>chaturbate.com</t>
  </si>
  <si>
    <t>alipaydns.com</t>
  </si>
  <si>
    <t>cloudsink.net</t>
  </si>
  <si>
    <t>nextlgsdp.com</t>
  </si>
  <si>
    <t>warnerbros.com</t>
  </si>
  <si>
    <t>btloader.com</t>
  </si>
  <si>
    <t>whitehouse.gov</t>
  </si>
  <si>
    <t>rambler.ru</t>
  </si>
  <si>
    <t>adgrx.com</t>
  </si>
  <si>
    <t>youku.com</t>
  </si>
  <si>
    <t>smilewanted.com</t>
  </si>
  <si>
    <t>utorrent.com</t>
  </si>
  <si>
    <t>arcgis.com</t>
  </si>
  <si>
    <t>www.gov.br</t>
  </si>
  <si>
    <t>frontiersin.org</t>
  </si>
  <si>
    <t>goskope.com</t>
  </si>
  <si>
    <t>huffpost.com</t>
  </si>
  <si>
    <t>character.ai</t>
  </si>
  <si>
    <t>patreon.com</t>
  </si>
  <si>
    <t>samsungcloudsolution.net</t>
  </si>
  <si>
    <t>netgear.com</t>
  </si>
  <si>
    <t>change.org</t>
  </si>
  <si>
    <t>smartthings.com</t>
  </si>
  <si>
    <t>kleinanzeigen.de</t>
  </si>
  <si>
    <t>shopeemobile.com</t>
  </si>
  <si>
    <t>seedtag.com</t>
  </si>
  <si>
    <t>bytefcdn.com</t>
  </si>
  <si>
    <t>gdemoideti.ru</t>
  </si>
  <si>
    <t>immedia-semi.com</t>
  </si>
  <si>
    <t>gkdionis.ru</t>
  </si>
  <si>
    <t>repubblica.it</t>
  </si>
  <si>
    <t>leiniao.com</t>
  </si>
  <si>
    <t>kslawin.com</t>
  </si>
  <si>
    <t>buzzfeed.com</t>
  </si>
  <si>
    <t>epa.gov</t>
  </si>
  <si>
    <t>mercadolivre.com.br</t>
  </si>
  <si>
    <t>cdnhwc1.com</t>
  </si>
  <si>
    <t>ebay.de</t>
  </si>
  <si>
    <t>daum.net</t>
  </si>
  <si>
    <t>herokuapp.com</t>
  </si>
  <si>
    <t>crazygames.com</t>
  </si>
  <si>
    <t>pbs.org</t>
  </si>
  <si>
    <t>kueezrtb.com</t>
  </si>
  <si>
    <t>epicgames.dev</t>
  </si>
  <si>
    <t>fbsbx.com</t>
  </si>
  <si>
    <t>squarespacedns.com</t>
  </si>
  <si>
    <t>jd.com</t>
  </si>
  <si>
    <t>thenai.org</t>
  </si>
  <si>
    <t>airbnb.com</t>
  </si>
  <si>
    <t>tiktokw.us</t>
  </si>
  <si>
    <t>readthedocs.io</t>
  </si>
  <si>
    <t>vegalb.com</t>
  </si>
  <si>
    <t>news.com.au</t>
  </si>
  <si>
    <t>quizlet.com</t>
  </si>
  <si>
    <t>corriere.it</t>
  </si>
  <si>
    <t>caiway.net</t>
  </si>
  <si>
    <t>weforum.org</t>
  </si>
  <si>
    <t>nexusmods.com</t>
  </si>
  <si>
    <t>pikabu.ru</t>
  </si>
  <si>
    <t>mercadolibre.com.ar</t>
  </si>
  <si>
    <t>amazon.com.au</t>
  </si>
  <si>
    <t>coupang.com</t>
  </si>
  <si>
    <t>dbankcloud.cn</t>
  </si>
  <si>
    <t>onesignal.com</t>
  </si>
  <si>
    <t>dfn.nl</t>
  </si>
  <si>
    <t>microsoftpersonalcontent.com</t>
  </si>
  <si>
    <t>ad-delivery.net</t>
  </si>
  <si>
    <t>richaudience.com</t>
  </si>
  <si>
    <t>caixa.gov.br</t>
  </si>
  <si>
    <t>kwai.com</t>
  </si>
  <si>
    <t>xnxx.com</t>
  </si>
  <si>
    <t>poki.com</t>
  </si>
  <si>
    <t>costco.com</t>
  </si>
  <si>
    <t>newsweek.com</t>
  </si>
  <si>
    <t>webhostbox.net</t>
  </si>
  <si>
    <t>umbrella.com</t>
  </si>
  <si>
    <t>agora.io</t>
  </si>
  <si>
    <t>magazineluiza.com.br</t>
  </si>
  <si>
    <t>binance.com</t>
  </si>
  <si>
    <t>kickstarter.com</t>
  </si>
  <si>
    <t>umich.edu</t>
  </si>
  <si>
    <t>split.io</t>
  </si>
  <si>
    <t>lge.com</t>
  </si>
  <si>
    <t>focus.de</t>
  </si>
  <si>
    <t>iiko.it</t>
  </si>
  <si>
    <t>tsyndicate.com</t>
  </si>
  <si>
    <t>fidelity.com</t>
  </si>
  <si>
    <t>bidmachine.io</t>
  </si>
  <si>
    <t>kwcdn.com</t>
  </si>
  <si>
    <t>1drv.com</t>
  </si>
  <si>
    <t>pixiv.net</t>
  </si>
  <si>
    <t>heytapmobi.com</t>
  </si>
  <si>
    <t>4dex.io</t>
  </si>
  <si>
    <t>google.co.jp</t>
  </si>
  <si>
    <t>yandex.com.tr</t>
  </si>
  <si>
    <t>ovscdns.net</t>
  </si>
  <si>
    <t>sofascore.com</t>
  </si>
  <si>
    <t>garmin.com</t>
  </si>
  <si>
    <t>bol.com</t>
  </si>
  <si>
    <t>columbia.edu</t>
  </si>
  <si>
    <t>service-now.com</t>
  </si>
  <si>
    <t>samsungelectronics.com</t>
  </si>
  <si>
    <t>mihanwebhost.com</t>
  </si>
  <si>
    <t>superhosting.bg</t>
  </si>
  <si>
    <t>yximgs.com</t>
  </si>
  <si>
    <t>macys.com</t>
  </si>
  <si>
    <t>skroutz.gr</t>
  </si>
  <si>
    <t>leparisien.fr</t>
  </si>
  <si>
    <t>ancestry.com</t>
  </si>
  <si>
    <t>liftoff-creatives.io</t>
  </si>
  <si>
    <t>zdnscloud.com</t>
  </si>
  <si>
    <t>faphouse.com</t>
  </si>
  <si>
    <t>orderbox-dns.com</t>
  </si>
  <si>
    <t>easy4ipcloud.com</t>
  </si>
  <si>
    <t>zijieapi.com</t>
  </si>
  <si>
    <t>state.gov</t>
  </si>
  <si>
    <t>note.com</t>
  </si>
  <si>
    <t>1c.ru</t>
  </si>
  <si>
    <t>flipkart.com</t>
  </si>
  <si>
    <t>merriam-webster.com</t>
  </si>
  <si>
    <t>youronlinechoices.com</t>
  </si>
  <si>
    <t>letterboxd.com</t>
  </si>
  <si>
    <t>attn.tv</t>
  </si>
  <si>
    <t>cbc.ca</t>
  </si>
  <si>
    <t>ecosia.org</t>
  </si>
  <si>
    <t>infobae.com</t>
  </si>
  <si>
    <t>webempresa.eu</t>
  </si>
  <si>
    <t>google.fr</t>
  </si>
  <si>
    <t>amazon.com.mx</t>
  </si>
  <si>
    <t>wpguardian.com</t>
  </si>
  <si>
    <t>tendawifi.com</t>
  </si>
  <si>
    <t>olx.com.br</t>
  </si>
  <si>
    <t>msftauth.net</t>
  </si>
  <si>
    <t>wpguardian.io</t>
  </si>
  <si>
    <t>fbpigeon.com</t>
  </si>
  <si>
    <t>app-analytics-services-att.com</t>
  </si>
  <si>
    <t>cdnhwc2.com</t>
  </si>
  <si>
    <t>tubi.io</t>
  </si>
  <si>
    <t>abc.es</t>
  </si>
  <si>
    <t>hepsiburada.com</t>
  </si>
  <si>
    <t>edna.ru</t>
  </si>
  <si>
    <t>vk-analytics.ru</t>
  </si>
  <si>
    <t>it.com</t>
  </si>
  <si>
    <t>ubi.com</t>
  </si>
  <si>
    <t>dribbble.com</t>
  </si>
  <si>
    <t>marca.com</t>
  </si>
  <si>
    <t>onedrive.com</t>
  </si>
  <si>
    <t>i18n-pglstatp.com</t>
  </si>
  <si>
    <t>skyhigh.cloud</t>
  </si>
  <si>
    <t>ouest-france.fr</t>
  </si>
  <si>
    <t>huffingtonpost.com</t>
  </si>
  <si>
    <t>sapo.pt</t>
  </si>
  <si>
    <t>as.com</t>
  </si>
  <si>
    <t>bitdefender.net</t>
  </si>
  <si>
    <t>incapdns.net</t>
  </si>
  <si>
    <t>ameba.jp</t>
  </si>
  <si>
    <t>bfmtv.com</t>
  </si>
  <si>
    <t>yandex.kz</t>
  </si>
  <si>
    <t>hilton.com</t>
  </si>
  <si>
    <t>alphonso.tv</t>
  </si>
  <si>
    <t>terra.com.br</t>
  </si>
  <si>
    <t>theconversation.com</t>
  </si>
  <si>
    <t>xhcdn.com</t>
  </si>
  <si>
    <t>trendyol.com</t>
  </si>
  <si>
    <t>statcounter.com</t>
  </si>
  <si>
    <t>kohls.com</t>
  </si>
  <si>
    <t>ilovepdf.com</t>
  </si>
  <si>
    <t>meethue.com</t>
  </si>
  <si>
    <t>pandora.com</t>
  </si>
  <si>
    <t>tinkoff.ru</t>
  </si>
  <si>
    <t>cspserver.net</t>
  </si>
  <si>
    <t>xing.com</t>
  </si>
  <si>
    <t>rtbcdn.ru</t>
  </si>
  <si>
    <t>kaspi.kz</t>
  </si>
  <si>
    <t>cdek.ru</t>
  </si>
  <si>
    <t>dnse0.com</t>
  </si>
  <si>
    <t>savvis.net</t>
  </si>
  <si>
    <t>ttlivecdn.com</t>
  </si>
  <si>
    <t>odoo.com</t>
  </si>
  <si>
    <t>afafb.com</t>
  </si>
  <si>
    <t>uchi.ru</t>
  </si>
  <si>
    <t>businesswire.com</t>
  </si>
  <si>
    <t>gsmarena.com</t>
  </si>
  <si>
    <t>moneycontrol.com</t>
  </si>
  <si>
    <t>rapid7.com</t>
  </si>
  <si>
    <t>inkuai.com</t>
  </si>
  <si>
    <t>uniqlo.com</t>
  </si>
  <si>
    <t>jimdo.com</t>
  </si>
  <si>
    <t>mythad.com</t>
  </si>
  <si>
    <t>ox.ac.uk</t>
  </si>
  <si>
    <t>amagi.tv</t>
  </si>
  <si>
    <t>nexthink.cloud</t>
  </si>
  <si>
    <t>notion.so</t>
  </si>
  <si>
    <t>samsungcloud.tv</t>
  </si>
  <si>
    <t>lgtvsdp.com</t>
  </si>
  <si>
    <t>mercadolibre.com.mx</t>
  </si>
  <si>
    <t>segment.io</t>
  </si>
  <si>
    <t>n-tv.de</t>
  </si>
  <si>
    <t>abovedomains.com</t>
  </si>
  <si>
    <t>wise.com</t>
  </si>
  <si>
    <t>fortune.com</t>
  </si>
  <si>
    <t>leboncoin.fr</t>
  </si>
  <si>
    <t>google.ca</t>
  </si>
  <si>
    <t>xhscdn.com</t>
  </si>
  <si>
    <t>idnes.cz</t>
  </si>
  <si>
    <t>elmundo.es</t>
  </si>
  <si>
    <t>economist.com</t>
  </si>
  <si>
    <t>ctdns.cn</t>
  </si>
  <si>
    <t>coursera.org</t>
  </si>
  <si>
    <t>firebaseio.com</t>
  </si>
  <si>
    <t>sahibinden.com</t>
  </si>
  <si>
    <t>docomo.ne.jp</t>
  </si>
  <si>
    <t>tnaflix.com</t>
  </si>
  <si>
    <t>franceinfo.fr</t>
  </si>
  <si>
    <t>yale.edu</t>
  </si>
  <si>
    <t>mozgcp.net</t>
  </si>
  <si>
    <t>vivo.com</t>
  </si>
  <si>
    <t>ultimate-guitar.com</t>
  </si>
  <si>
    <t>google.es</t>
  </si>
  <si>
    <t>gismeteo.ru</t>
  </si>
  <si>
    <t>biomedcentral.com</t>
  </si>
  <si>
    <t>eporner.com</t>
  </si>
  <si>
    <t>ddns.net</t>
  </si>
  <si>
    <t>hik-connect.com</t>
  </si>
  <si>
    <t>dyndns.org</t>
  </si>
  <si>
    <t>rustdesk.com</t>
  </si>
  <si>
    <t>jstor.org</t>
  </si>
  <si>
    <t>lanacion.com.ar</t>
  </si>
  <si>
    <t>plos.org</t>
  </si>
  <si>
    <t>byteoversea.com</t>
  </si>
  <si>
    <t>cookpad.com</t>
  </si>
  <si>
    <t>dafont.com</t>
  </si>
  <si>
    <t>psychologytoday.com</t>
  </si>
  <si>
    <t>apa.org</t>
  </si>
  <si>
    <t>tabelog.com</t>
  </si>
  <si>
    <t>phncdn.com</t>
  </si>
  <si>
    <t>nsone.net</t>
  </si>
  <si>
    <t>herokudns.com</t>
  </si>
  <si>
    <t>gofundme.com</t>
  </si>
  <si>
    <t>aftonbladet.se</t>
  </si>
  <si>
    <t>zhihu.com</t>
  </si>
  <si>
    <t>archiveofourown.org</t>
  </si>
  <si>
    <t>t-bank-app.ru</t>
  </si>
  <si>
    <t>hwcdn.ru</t>
  </si>
  <si>
    <t>hltv.org</t>
  </si>
  <si>
    <t>espncricinfo.com</t>
  </si>
  <si>
    <t>plex.tv</t>
  </si>
  <si>
    <t>indilogic.com</t>
  </si>
  <si>
    <t>aparat.com</t>
  </si>
  <si>
    <t>ad.nl</t>
  </si>
  <si>
    <t>flashscore.com</t>
  </si>
  <si>
    <t>parklogic.com</t>
  </si>
  <si>
    <t>bet365.com</t>
  </si>
  <si>
    <t>olx.pl</t>
  </si>
  <si>
    <t>amazon.com.tr</t>
  </si>
  <si>
    <t>nhentai.net</t>
  </si>
  <si>
    <t>instructure.com</t>
  </si>
  <si>
    <t>meitu.com</t>
  </si>
  <si>
    <t>trello.com</t>
  </si>
  <si>
    <t>wordwall.net</t>
  </si>
  <si>
    <t>deezer.com</t>
  </si>
  <si>
    <t>pusher.com</t>
  </si>
  <si>
    <t>att.net</t>
  </si>
  <si>
    <t>nu.nl</t>
  </si>
  <si>
    <t>mmechocaptiveportal.com</t>
  </si>
  <si>
    <t>jw.org</t>
  </si>
  <si>
    <t>w3schools.com</t>
  </si>
  <si>
    <t>lequipe.fr</t>
  </si>
  <si>
    <t>vnexpress.net</t>
  </si>
  <si>
    <t>vg.no</t>
  </si>
  <si>
    <t>elconfidencial.com</t>
  </si>
  <si>
    <t>rule34.xxx</t>
  </si>
  <si>
    <t>furaffinity.net</t>
  </si>
  <si>
    <t>tradplusad.com</t>
  </si>
  <si>
    <t>mgslb.com</t>
  </si>
  <si>
    <t>dmm.co.jp</t>
  </si>
  <si>
    <t>usnews.com</t>
  </si>
  <si>
    <t>susercontent.com</t>
  </si>
  <si>
    <t>eu.com</t>
  </si>
  <si>
    <t>digitaloceanspaces.com</t>
  </si>
  <si>
    <t>elcorteingles.es</t>
  </si>
  <si>
    <t>pornpics.com</t>
  </si>
  <si>
    <t>rightmove.co.uk</t>
  </si>
  <si>
    <t>remove.bg</t>
  </si>
  <si>
    <t>abc.net.au</t>
  </si>
  <si>
    <t>itmedia.co.jp</t>
  </si>
  <si>
    <t>janitorai.com</t>
  </si>
  <si>
    <t>spankbang.com</t>
  </si>
  <si>
    <t>contentsquare.net</t>
  </si>
  <si>
    <t>xhamster.desi</t>
  </si>
  <si>
    <t>marksandspencer.com</t>
  </si>
  <si>
    <t>lichess.org</t>
  </si>
  <si>
    <t>severstal.com</t>
  </si>
  <si>
    <t>savefrom.net</t>
  </si>
  <si>
    <t>oecd.org</t>
  </si>
  <si>
    <t>cnnbrasil.com.br</t>
  </si>
  <si>
    <t>finn.no</t>
  </si>
  <si>
    <t>youporn.com</t>
  </si>
  <si>
    <t>lwsdns.com</t>
  </si>
  <si>
    <t>vkuseraudio.net</t>
  </si>
  <si>
    <t>ixl.com</t>
  </si>
  <si>
    <t>jcpenney.com</t>
  </si>
  <si>
    <t>tabor.ru</t>
  </si>
  <si>
    <t>icanhazip.com</t>
  </si>
  <si>
    <t>spamhaus.org</t>
  </si>
  <si>
    <t>dhl.com</t>
  </si>
  <si>
    <t>blooket.com</t>
  </si>
  <si>
    <t>psu.edu</t>
  </si>
  <si>
    <t>wayground.com</t>
  </si>
  <si>
    <t>adaether.com</t>
  </si>
  <si>
    <t>acesso.gov.br</t>
  </si>
  <si>
    <t>xhamster44.desi</t>
  </si>
  <si>
    <t>fb.me</t>
  </si>
  <si>
    <t>mango.com</t>
  </si>
  <si>
    <t>gazzetta.it</t>
  </si>
  <si>
    <t>yimg.com</t>
  </si>
  <si>
    <t>gtm-a2b2.com</t>
  </si>
  <si>
    <t>prom.ua</t>
  </si>
  <si>
    <t>redtube.com</t>
  </si>
  <si>
    <t>cdiscount.com</t>
  </si>
  <si>
    <t>tgju.org</t>
  </si>
  <si>
    <t>argos.co.uk</t>
  </si>
  <si>
    <t>sportybet.com</t>
  </si>
  <si>
    <t>namu.wiki</t>
  </si>
  <si>
    <t>buydomains.com</t>
  </si>
  <si>
    <t>makemytrip.com</t>
  </si>
  <si>
    <t>indiamart.com</t>
  </si>
  <si>
    <t>leroymerlin.fr</t>
  </si>
  <si>
    <t>riotcdn.net</t>
  </si>
  <si>
    <t>fanfiction.net</t>
  </si>
  <si>
    <t>idealista.com</t>
  </si>
  <si>
    <t>fetlife.com</t>
  </si>
  <si>
    <t>company-target.com</t>
  </si>
  <si>
    <t>alipay.com</t>
  </si>
  <si>
    <t>txnhh.com</t>
  </si>
  <si>
    <t>ultradns.com</t>
  </si>
  <si>
    <t>hotpepper.jp</t>
  </si>
  <si>
    <t>merkur.de</t>
  </si>
  <si>
    <t>palmplaystore.com</t>
  </si>
  <si>
    <t>ebay.it</t>
  </si>
  <si>
    <t>hln.be</t>
  </si>
  <si>
    <t>stackexchange.com</t>
  </si>
  <si>
    <t>google.it</t>
  </si>
  <si>
    <t>allocine.fr</t>
  </si>
  <si>
    <t>akismet.com</t>
  </si>
  <si>
    <t>livescore.com</t>
  </si>
  <si>
    <t>upenn.edu</t>
  </si>
  <si>
    <t>overwolf.com</t>
  </si>
  <si>
    <t>marktplaats.nl</t>
  </si>
  <si>
    <t>litnet.com</t>
  </si>
  <si>
    <t>divar.ir</t>
  </si>
  <si>
    <t>myntra.com</t>
  </si>
  <si>
    <t>usercontent.goog</t>
  </si>
  <si>
    <t>actu.fr</t>
  </si>
  <si>
    <t>contextweb.com</t>
  </si>
  <si>
    <t>lc.chat</t>
  </si>
  <si>
    <t>norton.com</t>
  </si>
  <si>
    <t>emag.ro</t>
  </si>
  <si>
    <t>rings.solutions</t>
  </si>
  <si>
    <t>ceneo.pl</t>
  </si>
  <si>
    <t>e621.net</t>
  </si>
  <si>
    <t>calculator.net</t>
  </si>
  <si>
    <t>noodlemagazine.com</t>
  </si>
  <si>
    <t>admanmedia.com</t>
  </si>
  <si>
    <t>igamecj.com</t>
  </si>
  <si>
    <t>zemanta.com</t>
  </si>
  <si>
    <t>medallia.com</t>
  </si>
  <si>
    <t>dcinside.com</t>
  </si>
  <si>
    <t>bilibili.tv</t>
  </si>
  <si>
    <t>cricbuzz.com</t>
  </si>
  <si>
    <t>mydramalist.com</t>
  </si>
  <si>
    <t>vivox.com</t>
  </si>
  <si>
    <t>xhamster2.com</t>
  </si>
  <si>
    <t>ucla.edu</t>
  </si>
  <si>
    <t>jusbrasil.com.br</t>
  </si>
  <si>
    <t>boyfriendtv.com</t>
  </si>
  <si>
    <t>tvn24.pl</t>
  </si>
  <si>
    <t>futbin.com</t>
  </si>
  <si>
    <t>bmj.com</t>
  </si>
  <si>
    <t>funpay.com</t>
  </si>
  <si>
    <t>naukri.com</t>
  </si>
  <si>
    <t>coolmathgames.com</t>
  </si>
  <si>
    <t>rfihub.com</t>
  </si>
  <si>
    <t>dlsite.com</t>
  </si>
  <si>
    <t>va.gov</t>
  </si>
  <si>
    <t>xgroovy.com</t>
  </si>
  <si>
    <t>zdnet.com</t>
  </si>
  <si>
    <t>justdial.com</t>
  </si>
  <si>
    <t>cam4.com</t>
  </si>
  <si>
    <t>sun.com</t>
  </si>
  <si>
    <t>donmai.us</t>
  </si>
  <si>
    <t>ap4r.com</t>
  </si>
  <si>
    <t>dw.com</t>
  </si>
  <si>
    <t>metropoles.com</t>
  </si>
  <si>
    <t>mangabuff.ru</t>
  </si>
  <si>
    <t>gcash.com</t>
  </si>
  <si>
    <t>translate.goog</t>
  </si>
  <si>
    <t>youjizz.com</t>
  </si>
  <si>
    <t>turkiye.gov.tr</t>
  </si>
  <si>
    <t>videy.co</t>
  </si>
  <si>
    <t>xhamster19.com</t>
  </si>
  <si>
    <t>thisvid.com</t>
  </si>
  <si>
    <t>wiktionary.org</t>
  </si>
  <si>
    <t>aternos.org</t>
  </si>
  <si>
    <t>novinky.cz</t>
  </si>
  <si>
    <t>fdown.net</t>
  </si>
  <si>
    <t>pornone.com</t>
  </si>
  <si>
    <t>nesine.com</t>
  </si>
  <si>
    <t>fmkorea.com</t>
  </si>
  <si>
    <t>uci.edu</t>
  </si>
  <si>
    <t>gst.gov.in</t>
  </si>
  <si>
    <t>starfall.com</t>
  </si>
  <si>
    <t>cardgames.io</t>
  </si>
  <si>
    <t>ey43.com</t>
  </si>
  <si>
    <t>irs.gov</t>
  </si>
  <si>
    <t>subito.it</t>
  </si>
  <si>
    <t>mbga.jp</t>
  </si>
  <si>
    <t>cronista.com</t>
  </si>
  <si>
    <t>digikala.com</t>
  </si>
  <si>
    <t>asuracomic.net</t>
  </si>
  <si>
    <t>aznude.com</t>
  </si>
  <si>
    <t>e-volution.ai</t>
  </si>
  <si>
    <t>haberler.com</t>
  </si>
  <si>
    <t>dantri.com.vn</t>
  </si>
  <si>
    <t>imagefap.com</t>
  </si>
  <si>
    <t>xhopen.com</t>
  </si>
  <si>
    <t>xhaccess.com</t>
  </si>
  <si>
    <t>toyhou.se</t>
  </si>
  <si>
    <t>fapello.com</t>
  </si>
  <si>
    <t>hitomi.la</t>
  </si>
  <si>
    <t>hianime.to</t>
  </si>
  <si>
    <t>missav.ws</t>
  </si>
  <si>
    <t>ntppool.org</t>
  </si>
  <si>
    <t>xnxx.tv</t>
  </si>
  <si>
    <t>e-hentai.org</t>
  </si>
  <si>
    <t>sotwe.com</t>
  </si>
  <si>
    <t>jalan.net</t>
  </si>
  <si>
    <t>stbid.ru</t>
  </si>
  <si>
    <t>xhamster1.desi</t>
  </si>
  <si>
    <t>wikihow.com</t>
  </si>
  <si>
    <t>hollywoodbets.net</t>
  </si>
  <si>
    <t>imhentai.xxx</t>
  </si>
  <si>
    <t>kargo.com</t>
  </si>
  <si>
    <t>ixxx.com</t>
  </si>
  <si>
    <t>moengage.com</t>
  </si>
  <si>
    <t>rule34video.com</t>
  </si>
  <si>
    <t>xvv1deos.com</t>
  </si>
  <si>
    <t>netkeiba.com</t>
  </si>
  <si>
    <t>kemono.cr</t>
  </si>
  <si>
    <t>rainberrytv.com</t>
  </si>
  <si>
    <t>pornhub.org</t>
  </si>
  <si>
    <t>dagbladet.no</t>
  </si>
  <si>
    <t>xxxbp.tv</t>
  </si>
  <si>
    <t>letsencrypt.org</t>
  </si>
  <si>
    <t>xvideos-cdn.com</t>
  </si>
  <si>
    <t>xfinity.com</t>
  </si>
  <si>
    <t>eepurl.com</t>
  </si>
  <si>
    <t>jable.tv</t>
  </si>
  <si>
    <t>bookmyshow.com</t>
  </si>
  <si>
    <t>18comic.vip</t>
  </si>
  <si>
    <t>weathernews.jp</t>
  </si>
  <si>
    <t>suumo.jp</t>
  </si>
  <si>
    <t>karnataka.gov.in</t>
  </si>
  <si>
    <t>boardgamearena.com</t>
  </si>
  <si>
    <t>russianfood.com</t>
  </si>
  <si>
    <t>jagran.com</t>
  </si>
  <si>
    <t>inven.co.kr</t>
  </si>
  <si>
    <t>mercari.com</t>
  </si>
  <si>
    <t>simpcity.cr</t>
  </si>
  <si>
    <t>filmweb.pl</t>
  </si>
  <si>
    <t>action.com</t>
  </si>
  <si>
    <t>uidai.gov.in</t>
  </si>
  <si>
    <t>hugedomains.com</t>
  </si>
  <si>
    <t>ilmeteo.it</t>
  </si>
  <si>
    <t>newyorker.com</t>
  </si>
  <si>
    <t>game8.jp</t>
  </si>
  <si>
    <t>statuspage.io</t>
  </si>
  <si>
    <t>iltalehti.fi</t>
  </si>
  <si>
    <t>youm7.com</t>
  </si>
  <si>
    <t>skysports.com</t>
  </si>
  <si>
    <t>idealista.it</t>
  </si>
  <si>
    <t>xvideos.es</t>
  </si>
  <si>
    <t>syosetu.com</t>
  </si>
  <si>
    <t>cqloud.com</t>
  </si>
  <si>
    <t>xhsocial.com</t>
  </si>
  <si>
    <t>navitime.co.jp</t>
  </si>
  <si>
    <t>sozcu.com.tr</t>
  </si>
  <si>
    <t>tesla.com</t>
  </si>
  <si>
    <t>varzesh3.com</t>
  </si>
  <si>
    <t>fedex.com</t>
  </si>
  <si>
    <t>24h.com.vn</t>
  </si>
  <si>
    <t>index.hr</t>
  </si>
  <si>
    <t>zozo.jp</t>
  </si>
  <si>
    <t>mediaexpert.pl</t>
  </si>
  <si>
    <t>com.be</t>
  </si>
  <si>
    <t>cityheaven.net</t>
  </si>
  <si>
    <t>blic.rs</t>
  </si>
  <si>
    <t>otomoto.pl</t>
  </si>
  <si>
    <t>ukdevilz.com</t>
  </si>
  <si>
    <t>carsensor.net</t>
  </si>
  <si>
    <t>hdporncomics.com</t>
  </si>
  <si>
    <t>ekstrabladet.dk</t>
  </si>
  <si>
    <t>pornhat.com</t>
  </si>
  <si>
    <t>gelbooru.com</t>
  </si>
  <si>
    <t>ficbook.net</t>
  </si>
  <si>
    <t>missav.live</t>
  </si>
  <si>
    <t>superporn.com</t>
  </si>
  <si>
    <t>ssstik.io</t>
  </si>
  <si>
    <t>betway.co.za</t>
  </si>
  <si>
    <t>zdnscloud.cn</t>
  </si>
  <si>
    <t>bingoplus.com</t>
  </si>
  <si>
    <t>1mg.com</t>
  </si>
  <si>
    <t>indexww.com</t>
  </si>
  <si>
    <t>cootlogix.com</t>
  </si>
  <si>
    <t>testbook.com</t>
  </si>
  <si>
    <t>3bmeteo.com</t>
  </si>
  <si>
    <t>sxyprn.com</t>
  </si>
  <si>
    <t>mangago.me</t>
  </si>
  <si>
    <t>cardekho.com</t>
  </si>
  <si>
    <t>kooora.com</t>
  </si>
  <si>
    <t>luxuretv.com</t>
  </si>
  <si>
    <t>liteapks.com</t>
  </si>
  <si>
    <t>gamewith.jp</t>
  </si>
  <si>
    <t>us.com</t>
  </si>
  <si>
    <t>torob.com</t>
  </si>
  <si>
    <t>cmoa.jp</t>
  </si>
  <si>
    <t>pussyspace.com</t>
  </si>
  <si>
    <t>sexvid.xxx</t>
  </si>
  <si>
    <t>hanime1.me</t>
  </si>
  <si>
    <t>fpo.xxx</t>
  </si>
  <si>
    <t>fuq.com</t>
  </si>
  <si>
    <t>motherless.com</t>
  </si>
  <si>
    <t>eltiempo.es</t>
  </si>
  <si>
    <t>mat6tube.com</t>
  </si>
  <si>
    <t>aniwatchtv.to</t>
  </si>
  <si>
    <t>clickpetroleoegas.com.br</t>
  </si>
  <si>
    <t>xnxx.es</t>
  </si>
  <si>
    <t>xvideos2.com</t>
  </si>
  <si>
    <t>bt.dk</t>
  </si>
  <si>
    <t>myreadingmanga.info</t>
  </si>
  <si>
    <t>cardmarket.com</t>
  </si>
  <si>
    <t>blxrbdn.com</t>
  </si>
  <si>
    <t>faphouse.tv</t>
  </si>
  <si>
    <t>apple-cloudkit.com</t>
  </si>
  <si>
    <t>obqj2.com</t>
  </si>
  <si>
    <t>postgresql.org</t>
  </si>
  <si>
    <t>tokyomotion.net</t>
  </si>
  <si>
    <t>caliente.mx</t>
  </si>
  <si>
    <t>hqporner.com</t>
  </si>
  <si>
    <t>sex-studentki.team</t>
  </si>
  <si>
    <t>bookmark.xxx</t>
  </si>
  <si>
    <t>exhentai.org</t>
  </si>
  <si>
    <t>programme-tv.net</t>
  </si>
  <si>
    <t>porno365.gold</t>
  </si>
  <si>
    <t>admin.ch</t>
  </si>
  <si>
    <t>byteconnect.io</t>
  </si>
  <si>
    <t>kompoz2.com</t>
  </si>
  <si>
    <t>wow.xxx</t>
  </si>
  <si>
    <t>eci.gov.in</t>
  </si>
  <si>
    <t>tycsports.com</t>
  </si>
  <si>
    <t>ntp.br</t>
  </si>
  <si>
    <t>su89-cdn.net</t>
  </si>
  <si>
    <t>sinoptik.ua</t>
  </si>
  <si>
    <t>hdtube.porn</t>
  </si>
  <si>
    <t>wisc.edu</t>
  </si>
  <si>
    <t>xnxx.health</t>
  </si>
  <si>
    <t>ruliweb.com</t>
  </si>
  <si>
    <t>zearn.org</t>
  </si>
  <si>
    <t>yzwtz.com</t>
  </si>
  <si>
    <t>redwap.sex</t>
  </si>
  <si>
    <t>prokerala.com</t>
  </si>
  <si>
    <t>gdz.ru</t>
  </si>
  <si>
    <t>rat.xxx</t>
  </si>
  <si>
    <t>dkitrxmdwoqruvsi.net</t>
  </si>
  <si>
    <t>ptt.cc</t>
  </si>
  <si>
    <t>missav123.com</t>
  </si>
  <si>
    <t>apple.news</t>
  </si>
  <si>
    <t>google.ru</t>
  </si>
  <si>
    <t>supjav.com</t>
  </si>
  <si>
    <t>njuskalo.hr</t>
  </si>
  <si>
    <t>missav.ai</t>
  </si>
  <si>
    <t>goodreturns.in</t>
  </si>
  <si>
    <t>wnacg.com</t>
  </si>
  <si>
    <t>ijavhd.com</t>
  </si>
  <si>
    <t>69shuba.com</t>
  </si>
  <si>
    <t>bato.to</t>
  </si>
  <si>
    <t>carwale.com</t>
  </si>
  <si>
    <t>xnxx-arabic.com</t>
  </si>
  <si>
    <t>moviebox.ph</t>
  </si>
  <si>
    <t>arca.live</t>
  </si>
  <si>
    <t>namasha.com</t>
  </si>
  <si>
    <t>iporntv.net</t>
  </si>
  <si>
    <t>desitales2.com</t>
  </si>
  <si>
    <t>banvenez.com</t>
  </si>
  <si>
    <t>nosv.org</t>
  </si>
  <si>
    <t>fastdl.app</t>
  </si>
  <si>
    <t>trustarc.com</t>
  </si>
  <si>
    <t>qorno.com</t>
  </si>
  <si>
    <t>cam.ac.uk</t>
  </si>
  <si>
    <t>apdcdn.com</t>
  </si>
  <si>
    <t>listcrawler.eu</t>
  </si>
  <si>
    <t>fatalmodel.com</t>
  </si>
  <si>
    <t>snaptik.app</t>
  </si>
  <si>
    <t xml:space="preserve">MEAN </t>
  </si>
  <si>
    <t>MEDIAN</t>
  </si>
  <si>
    <t>MODE</t>
  </si>
  <si>
    <t>Median</t>
  </si>
  <si>
    <t>MODE FOR primary market</t>
  </si>
  <si>
    <t xml:space="preserve">Mode for category </t>
  </si>
  <si>
    <t>avg_session_duration_min</t>
  </si>
  <si>
    <t>enagement_score</t>
  </si>
  <si>
    <t>traffic_tier</t>
  </si>
  <si>
    <t>avg_session_duration_sec</t>
  </si>
  <si>
    <t xml:space="preserve">tire list </t>
  </si>
  <si>
    <t>Q1</t>
  </si>
  <si>
    <t>Q2</t>
  </si>
  <si>
    <t>Q3</t>
  </si>
  <si>
    <t>MAX</t>
  </si>
  <si>
    <t>Row Labels</t>
  </si>
  <si>
    <t>Grand Total</t>
  </si>
  <si>
    <t>Min of global_rank</t>
  </si>
  <si>
    <t>(All)</t>
  </si>
  <si>
    <t>Sum of monthly_visits</t>
  </si>
  <si>
    <t>Average of bounce_rate_pct</t>
  </si>
  <si>
    <t>Average of avg_session_duration_min</t>
  </si>
  <si>
    <t>Average of stickiness_index</t>
  </si>
  <si>
    <t>Average of enagement_score</t>
  </si>
  <si>
    <t>Average of global_rank</t>
  </si>
  <si>
    <t>Bronze</t>
  </si>
  <si>
    <t>Sliver</t>
  </si>
  <si>
    <t>Platinum</t>
  </si>
  <si>
    <t>Gold</t>
  </si>
  <si>
    <t>Average of monthly_visits</t>
  </si>
  <si>
    <t>GLOBAL WEBSITE TRAFFIC ANALYSIS 2026</t>
  </si>
  <si>
    <t>Analyzing Top 1500 Websites Across 6 Global Markets</t>
  </si>
  <si>
    <t>Count of 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</si>
</sst>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4009]yyyy/mm/dd;@"/>
    <numFmt numFmtId="165" formatCode="0.00,,,&quot;B&quot;"/>
    <numFmt numFmtId="166" formatCode="0.00,,&quot;M&quot;"/>
    <numFmt numFmtId="167" formatCode="0.00&quot;%&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rgb="FF2D2D2D"/>
      <name val="Times New Roman"/>
      <family val="1"/>
    </font>
    <font>
      <sz val="14"/>
      <color rgb="FF666666"/>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7" tint="0.59999389629810485"/>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33" borderId="0" xfId="0" applyFill="1"/>
    <xf numFmtId="0" fontId="0" fillId="34" borderId="0" xfId="0" applyFill="1"/>
    <xf numFmtId="0" fontId="0" fillId="34" borderId="10" xfId="0" applyFill="1" applyBorder="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35" borderId="0" xfId="0" applyFill="1"/>
    <xf numFmtId="0" fontId="18" fillId="35" borderId="0" xfId="0" applyFont="1" applyFill="1" applyAlignment="1">
      <alignment horizontal="center"/>
    </xf>
    <xf numFmtId="0" fontId="19" fillId="0" borderId="0" xfId="0" applyFont="1" applyAlignment="1">
      <alignment horizontal="center"/>
    </xf>
    <xf numFmtId="165" fontId="0" fillId="0" borderId="0" xfId="0" applyNumberFormat="1"/>
    <xf numFmtId="166" fontId="0" fillId="0" borderId="0" xfId="0" applyNumberFormat="1"/>
    <xf numFmtId="167"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2" formatCode="0.00"/>
    </dxf>
    <dxf>
      <numFmt numFmtId="165" formatCode="0.00,,,&quot;B&quot;"/>
    </dxf>
    <dxf>
      <numFmt numFmtId="2" formatCode="0.00"/>
    </dxf>
    <dxf>
      <numFmt numFmtId="167" formatCode="0.00&quot;%&quot;"/>
    </dxf>
    <dxf>
      <numFmt numFmtId="167" formatCode="0.00&quot;%&quot;"/>
    </dxf>
    <dxf>
      <numFmt numFmtId="2" formatCode="0.00"/>
    </dxf>
    <dxf>
      <numFmt numFmtId="168" formatCode="0.000000000"/>
    </dxf>
    <dxf>
      <numFmt numFmtId="2" formatCode="0.00"/>
    </dxf>
    <dxf>
      <numFmt numFmtId="2" formatCode="0.00"/>
    </dxf>
    <dxf>
      <numFmt numFmtId="166" formatCode="0.00,,&quot;M&quot;"/>
    </dxf>
  </dxfs>
  <tableStyles count="0" defaultTableStyle="TableStyleMedium2" defaultPivotStyle="PivotStyleLight16"/>
  <colors>
    <mruColors>
      <color rgb="FFFF6600"/>
      <color rgb="FF06D6A0"/>
      <color rgb="FFFF66FF"/>
      <color rgb="FFE8F4FD"/>
      <color rgb="FF666666"/>
      <color rgb="FF2196F3"/>
      <color rgb="FF9966FF"/>
      <color rgb="FF2D2D2D"/>
      <color rgb="FF3A86FF"/>
      <color rgb="FFFFB7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6.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8.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9.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3.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[web_traffic_2026.xlsx]Domain Analysis!PivotTable1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Websites by Global Rank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'Domain Analysis'!$B$1</c:f>
              <c:strCache>
                <c:ptCount val="1"/>
                <c:pt idx="0">
                  <c:v>Total</c:v>
                </c:pt>
              </c:strCache>
            </c:strRef>
          </c:tx>
          <c:spPr>
            <a:solidFill>
              <a:schemeClr val="accent1"/>
            </a:solidFill>
            <a:ln>
              <a:noFill/>
            </a:ln>
            <a:effectLst/>
          </c:spPr>
          <c:invertIfNegative val="0"/>
          <c:cat>
            <c:strRef>
              <c:f>'Domain Analysis'!$A$2:$A$12</c:f>
              <c:strCache>
                <c:ptCount val="10"/>
                <c:pt idx="0">
                  <c:v>apdcdn.com</c:v>
                </c:pt>
                <c:pt idx="1">
                  <c:v>banvenez.com</c:v>
                </c:pt>
                <c:pt idx="2">
                  <c:v>cam.ac.uk</c:v>
                </c:pt>
                <c:pt idx="3">
                  <c:v>fastdl.app</c:v>
                </c:pt>
                <c:pt idx="4">
                  <c:v>fatalmodel.com</c:v>
                </c:pt>
                <c:pt idx="5">
                  <c:v>listcrawler.eu</c:v>
                </c:pt>
                <c:pt idx="6">
                  <c:v>nosv.org</c:v>
                </c:pt>
                <c:pt idx="7">
                  <c:v>qorno.com</c:v>
                </c:pt>
                <c:pt idx="8">
                  <c:v>snaptik.app</c:v>
                </c:pt>
                <c:pt idx="9">
                  <c:v>trustarc.com</c:v>
                </c:pt>
              </c:strCache>
            </c:strRef>
          </c:cat>
          <c:val>
            <c:numRef>
              <c:f>'Domain Analysis'!$B$2:$B$12</c:f>
              <c:numCache>
                <c:formatCode>General</c:formatCode>
                <c:ptCount val="10"/>
                <c:pt idx="0">
                  <c:v>1497</c:v>
                </c:pt>
                <c:pt idx="1">
                  <c:v>1491</c:v>
                </c:pt>
                <c:pt idx="2">
                  <c:v>1496</c:v>
                </c:pt>
                <c:pt idx="3">
                  <c:v>1493</c:v>
                </c:pt>
                <c:pt idx="4">
                  <c:v>1499</c:v>
                </c:pt>
                <c:pt idx="5">
                  <c:v>1498</c:v>
                </c:pt>
                <c:pt idx="6">
                  <c:v>1492</c:v>
                </c:pt>
                <c:pt idx="7">
                  <c:v>1495</c:v>
                </c:pt>
                <c:pt idx="8">
                  <c:v>1500</c:v>
                </c:pt>
                <c:pt idx="9">
                  <c:v>1494</c:v>
                </c:pt>
              </c:numCache>
            </c:numRef>
          </c:val>
          <c:extLst>
            <c:ext xmlns:c16="http://schemas.microsoft.com/office/drawing/2014/chart" uri="{C3380CC4-5D6E-409C-BE32-E72D297353CC}">
              <c16:uniqueId val="{00000000-DBDC-4EC0-A7A8-F6B7F70B2C1D}"/>
            </c:ext>
          </c:extLst>
        </c:ser>
        <c:dLbls>
          <c:showLegendKey val="0"/>
          <c:showVal val="0"/>
          <c:showCatName val="0"/>
          <c:showSerName val="0"/>
          <c:showPercent val="0"/>
          <c:showBubbleSize val="0"/>
        </c:dLbls>
        <c:gapWidth val="219"/>
        <c:axId val="645895264"/>
        <c:axId val="645892864"/>
      </c:barChart>
      <c:catAx>
        <c:axId val="645895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892864"/>
        <c:crosses val="autoZero"/>
        <c:auto val="1"/>
        <c:lblAlgn val="ctr"/>
        <c:lblOffset val="100"/>
        <c:noMultiLvlLbl val="0"/>
      </c:catAx>
      <c:valAx>
        <c:axId val="645892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89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[web_traffic_2026.xlsx]Domain Analysis!PivotTable2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Most Visited Websites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'Domain Analysis'!$B$20</c:f>
              <c:strCache>
                <c:ptCount val="1"/>
                <c:pt idx="0">
                  <c:v>Total</c:v>
                </c:pt>
              </c:strCache>
            </c:strRef>
          </c:tx>
          <c:spPr>
            <a:solidFill>
              <a:schemeClr val="accent1"/>
            </a:solidFill>
            <a:ln>
              <a:noFill/>
            </a:ln>
            <a:effectLst/>
          </c:spPr>
          <c:invertIfNegative val="0"/>
          <c:cat>
            <c:strRef>
              <c:f>'Domain Analysis'!$A$21:$A$31</c:f>
              <c:strCache>
                <c:ptCount val="10"/>
                <c:pt idx="0">
                  <c:v>akamai.net</c:v>
                </c:pt>
                <c:pt idx="1">
                  <c:v>apple.com</c:v>
                </c:pt>
                <c:pt idx="2">
                  <c:v>cloudflare.com</c:v>
                </c:pt>
                <c:pt idx="3">
                  <c:v>dzen.ru</c:v>
                </c:pt>
                <c:pt idx="4">
                  <c:v>facebook.com</c:v>
                </c:pt>
                <c:pt idx="5">
                  <c:v>google.com</c:v>
                </c:pt>
                <c:pt idx="6">
                  <c:v>googleapis.com</c:v>
                </c:pt>
                <c:pt idx="7">
                  <c:v>gtld-servers.net</c:v>
                </c:pt>
                <c:pt idx="8">
                  <c:v>mail.ru</c:v>
                </c:pt>
                <c:pt idx="9">
                  <c:v>microsoft.com</c:v>
                </c:pt>
              </c:strCache>
            </c:strRef>
          </c:cat>
          <c:val>
            <c:numRef>
              <c:f>'Domain Analysis'!$B$21:$B$31</c:f>
              <c:numCache>
                <c:formatCode>0.00,,"M"</c:formatCode>
                <c:ptCount val="10"/>
                <c:pt idx="0">
                  <c:v>307122589</c:v>
                </c:pt>
                <c:pt idx="1">
                  <c:v>415012900</c:v>
                </c:pt>
                <c:pt idx="2">
                  <c:v>334143655</c:v>
                </c:pt>
                <c:pt idx="3">
                  <c:v>346164172</c:v>
                </c:pt>
                <c:pt idx="4">
                  <c:v>589445551</c:v>
                </c:pt>
                <c:pt idx="5">
                  <c:v>996572612</c:v>
                </c:pt>
                <c:pt idx="6">
                  <c:v>376941229</c:v>
                </c:pt>
                <c:pt idx="7">
                  <c:v>635529412</c:v>
                </c:pt>
                <c:pt idx="8">
                  <c:v>402317681</c:v>
                </c:pt>
                <c:pt idx="9">
                  <c:v>525892610</c:v>
                </c:pt>
              </c:numCache>
            </c:numRef>
          </c:val>
          <c:extLst>
            <c:ext xmlns:c16="http://schemas.microsoft.com/office/drawing/2014/chart" uri="{C3380CC4-5D6E-409C-BE32-E72D297353CC}">
              <c16:uniqueId val="{00000000-0293-449E-BD54-4994F5158B2A}"/>
            </c:ext>
          </c:extLst>
        </c:ser>
        <c:dLbls>
          <c:showLegendKey val="0"/>
          <c:showVal val="0"/>
          <c:showCatName val="0"/>
          <c:showSerName val="0"/>
          <c:showPercent val="0"/>
          <c:showBubbleSize val="0"/>
        </c:dLbls>
        <c:gapWidth val="219"/>
        <c:axId val="634341072"/>
        <c:axId val="634339632"/>
      </c:barChart>
      <c:catAx>
        <c:axId val="63434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339632"/>
        <c:crosses val="autoZero"/>
        <c:auto val="1"/>
        <c:lblAlgn val="ctr"/>
        <c:lblOffset val="100"/>
        <c:noMultiLvlLbl val="0"/>
      </c:catAx>
      <c:valAx>
        <c:axId val="634339632"/>
        <c:scaling>
          <c:orientation val="minMax"/>
        </c:scaling>
        <c:delete val="0"/>
        <c:axPos val="b"/>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34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[web_traffic_2026.xlsx]Domain Analysis!PivotTable3</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Domains by Average bounce rate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'Domain Analysis'!$B$37</c:f>
              <c:strCache>
                <c:ptCount val="1"/>
                <c:pt idx="0">
                  <c:v>Total</c:v>
                </c:pt>
              </c:strCache>
            </c:strRef>
          </c:tx>
          <c:spPr>
            <a:solidFill>
              <a:schemeClr val="accent1"/>
            </a:solidFill>
            <a:ln>
              <a:noFill/>
            </a:ln>
            <a:effectLst/>
          </c:spPr>
          <c:invertIfNegative val="0"/>
          <c:cat>
            <c:strRef>
              <c:f>'Domain Analysis'!$A$38:$A$48</c:f>
              <c:strCache>
                <c:ptCount val="10"/>
                <c:pt idx="0">
                  <c:v>afilias-nst.org</c:v>
                </c:pt>
                <c:pt idx="1">
                  <c:v>akamaitech.net</c:v>
                </c:pt>
                <c:pt idx="2">
                  <c:v>amazon.ca</c:v>
                </c:pt>
                <c:pt idx="3">
                  <c:v>box.com</c:v>
                </c:pt>
                <c:pt idx="4">
                  <c:v>microsoft.com</c:v>
                </c:pt>
                <c:pt idx="5">
                  <c:v>miit.gov.cn</c:v>
                </c:pt>
                <c:pt idx="6">
                  <c:v>overwolf.com</c:v>
                </c:pt>
                <c:pt idx="7">
                  <c:v>samsungqbe.com</c:v>
                </c:pt>
                <c:pt idx="8">
                  <c:v>skyhigh.cloud</c:v>
                </c:pt>
                <c:pt idx="9">
                  <c:v>ucla.edu</c:v>
                </c:pt>
              </c:strCache>
            </c:strRef>
          </c:cat>
          <c:val>
            <c:numRef>
              <c:f>'Domain Analysis'!$B$38:$B$48</c:f>
              <c:numCache>
                <c:formatCode>General</c:formatCode>
                <c:ptCount val="10"/>
                <c:pt idx="0">
                  <c:v>59.95</c:v>
                </c:pt>
                <c:pt idx="1">
                  <c:v>59.88</c:v>
                </c:pt>
                <c:pt idx="2">
                  <c:v>59.73</c:v>
                </c:pt>
                <c:pt idx="3">
                  <c:v>59.65</c:v>
                </c:pt>
                <c:pt idx="4">
                  <c:v>59.96</c:v>
                </c:pt>
                <c:pt idx="5">
                  <c:v>59.83</c:v>
                </c:pt>
                <c:pt idx="6">
                  <c:v>59.91</c:v>
                </c:pt>
                <c:pt idx="7">
                  <c:v>59.72</c:v>
                </c:pt>
                <c:pt idx="8">
                  <c:v>59.63</c:v>
                </c:pt>
                <c:pt idx="9">
                  <c:v>60</c:v>
                </c:pt>
              </c:numCache>
            </c:numRef>
          </c:val>
          <c:extLst>
            <c:ext xmlns:c16="http://schemas.microsoft.com/office/drawing/2014/chart" uri="{C3380CC4-5D6E-409C-BE32-E72D297353CC}">
              <c16:uniqueId val="{00000000-F330-4555-9FE7-1C172B882AF1}"/>
            </c:ext>
          </c:extLst>
        </c:ser>
        <c:dLbls>
          <c:showLegendKey val="0"/>
          <c:showVal val="0"/>
          <c:showCatName val="0"/>
          <c:showSerName val="0"/>
          <c:showPercent val="0"/>
          <c:showBubbleSize val="0"/>
        </c:dLbls>
        <c:gapWidth val="219"/>
        <c:axId val="695056208"/>
        <c:axId val="695054768"/>
      </c:barChart>
      <c:catAx>
        <c:axId val="695056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054768"/>
        <c:crosses val="autoZero"/>
        <c:auto val="1"/>
        <c:lblAlgn val="ctr"/>
        <c:lblOffset val="100"/>
        <c:noMultiLvlLbl val="0"/>
      </c:catAx>
      <c:valAx>
        <c:axId val="695054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05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[web_traffic_2026.xlsx]Domain Analysis!PivotTable4</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Domains By Average Session duration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'Domain Analysis'!$N$21</c:f>
              <c:strCache>
                <c:ptCount val="1"/>
                <c:pt idx="0">
                  <c:v>Total</c:v>
                </c:pt>
              </c:strCache>
            </c:strRef>
          </c:tx>
          <c:spPr>
            <a:solidFill>
              <a:schemeClr val="accent1"/>
            </a:solidFill>
            <a:ln>
              <a:noFill/>
            </a:ln>
            <a:effectLst/>
          </c:spPr>
          <c:invertIfNegative val="0"/>
          <c:cat>
            <c:strRef>
              <c:f>'Domain Analysis'!$M$22:$M$32</c:f>
              <c:strCache>
                <c:ptCount val="10"/>
                <c:pt idx="0">
                  <c:v>amazonvideo.com</c:v>
                </c:pt>
                <c:pt idx="1">
                  <c:v>googlevideo.com</c:v>
                </c:pt>
                <c:pt idx="2">
                  <c:v>hichina.com</c:v>
                </c:pt>
                <c:pt idx="3">
                  <c:v>ieee.org</c:v>
                </c:pt>
                <c:pt idx="4">
                  <c:v>ikea.com</c:v>
                </c:pt>
                <c:pt idx="5">
                  <c:v>newsweek.com</c:v>
                </c:pt>
                <c:pt idx="6">
                  <c:v>nikkei.com</c:v>
                </c:pt>
                <c:pt idx="7">
                  <c:v>primevideo.com</c:v>
                </c:pt>
                <c:pt idx="8">
                  <c:v>vungle.com</c:v>
                </c:pt>
                <c:pt idx="9">
                  <c:v>xhamster2.com</c:v>
                </c:pt>
              </c:strCache>
            </c:strRef>
          </c:cat>
          <c:val>
            <c:numRef>
              <c:f>'Domain Analysis'!$N$22:$N$32</c:f>
              <c:numCache>
                <c:formatCode>General</c:formatCode>
                <c:ptCount val="10"/>
                <c:pt idx="0">
                  <c:v>38.880000000000003</c:v>
                </c:pt>
                <c:pt idx="1">
                  <c:v>39.15</c:v>
                </c:pt>
                <c:pt idx="2">
                  <c:v>38.69</c:v>
                </c:pt>
                <c:pt idx="3">
                  <c:v>39.76</c:v>
                </c:pt>
                <c:pt idx="4">
                  <c:v>39.5</c:v>
                </c:pt>
                <c:pt idx="5">
                  <c:v>39.81</c:v>
                </c:pt>
                <c:pt idx="6">
                  <c:v>38.909999999999997</c:v>
                </c:pt>
                <c:pt idx="7">
                  <c:v>39.909999999999997</c:v>
                </c:pt>
                <c:pt idx="8">
                  <c:v>39.31</c:v>
                </c:pt>
                <c:pt idx="9">
                  <c:v>38.729999999999997</c:v>
                </c:pt>
              </c:numCache>
            </c:numRef>
          </c:val>
          <c:extLst>
            <c:ext xmlns:c16="http://schemas.microsoft.com/office/drawing/2014/chart" uri="{C3380CC4-5D6E-409C-BE32-E72D297353CC}">
              <c16:uniqueId val="{00000000-0FCA-42FA-AF34-B1F94DD92D63}"/>
            </c:ext>
          </c:extLst>
        </c:ser>
        <c:dLbls>
          <c:showLegendKey val="0"/>
          <c:showVal val="0"/>
          <c:showCatName val="0"/>
          <c:showSerName val="0"/>
          <c:showPercent val="0"/>
          <c:showBubbleSize val="0"/>
        </c:dLbls>
        <c:gapWidth val="219"/>
        <c:overlap val="-27"/>
        <c:axId val="808273136"/>
        <c:axId val="645326112"/>
      </c:barChart>
      <c:catAx>
        <c:axId val="80827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326112"/>
        <c:crosses val="autoZero"/>
        <c:auto val="1"/>
        <c:lblAlgn val="ctr"/>
        <c:lblOffset val="100"/>
        <c:noMultiLvlLbl val="0"/>
      </c:catAx>
      <c:valAx>
        <c:axId val="64532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27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[web_traffic_2026.xlsx]Domain Analysis!PivotTable5</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Stickiest Website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'Domain Analysis'!$N$59</c:f>
              <c:strCache>
                <c:ptCount val="1"/>
                <c:pt idx="0">
                  <c:v>Total</c:v>
                </c:pt>
              </c:strCache>
            </c:strRef>
          </c:tx>
          <c:spPr>
            <a:solidFill>
              <a:schemeClr val="accent1"/>
            </a:solidFill>
            <a:ln>
              <a:noFill/>
            </a:ln>
            <a:effectLst/>
          </c:spPr>
          <c:invertIfNegative val="0"/>
          <c:cat>
            <c:strRef>
              <c:f>'Domain Analysis'!$M$60:$M$70</c:f>
              <c:strCache>
                <c:ptCount val="10"/>
                <c:pt idx="0">
                  <c:v>amazonvideo.com</c:v>
                </c:pt>
                <c:pt idx="1">
                  <c:v>google.com.hk</c:v>
                </c:pt>
                <c:pt idx="2">
                  <c:v>list-manage.com</c:v>
                </c:pt>
                <c:pt idx="3">
                  <c:v>motherless.com</c:v>
                </c:pt>
                <c:pt idx="4">
                  <c:v>ntppool.org</c:v>
                </c:pt>
                <c:pt idx="5">
                  <c:v>pornhub.com</c:v>
                </c:pt>
                <c:pt idx="6">
                  <c:v>safebrowsing.apple</c:v>
                </c:pt>
                <c:pt idx="7">
                  <c:v>unity3d.com</c:v>
                </c:pt>
                <c:pt idx="8">
                  <c:v>wattpad.com</c:v>
                </c:pt>
                <c:pt idx="9">
                  <c:v>xhamster2.com</c:v>
                </c:pt>
              </c:strCache>
            </c:strRef>
          </c:cat>
          <c:val>
            <c:numRef>
              <c:f>'Domain Analysis'!$N$60:$N$70</c:f>
              <c:numCache>
                <c:formatCode>General</c:formatCode>
                <c:ptCount val="10"/>
                <c:pt idx="0">
                  <c:v>224.22</c:v>
                </c:pt>
                <c:pt idx="1">
                  <c:v>213.86</c:v>
                </c:pt>
                <c:pt idx="2">
                  <c:v>256.45999999999998</c:v>
                </c:pt>
                <c:pt idx="3">
                  <c:v>252.62</c:v>
                </c:pt>
                <c:pt idx="4">
                  <c:v>200.32</c:v>
                </c:pt>
                <c:pt idx="5">
                  <c:v>235.83</c:v>
                </c:pt>
                <c:pt idx="6">
                  <c:v>216.8</c:v>
                </c:pt>
                <c:pt idx="7">
                  <c:v>206.68</c:v>
                </c:pt>
                <c:pt idx="8">
                  <c:v>197.9</c:v>
                </c:pt>
                <c:pt idx="9">
                  <c:v>253.62</c:v>
                </c:pt>
              </c:numCache>
            </c:numRef>
          </c:val>
          <c:extLst>
            <c:ext xmlns:c16="http://schemas.microsoft.com/office/drawing/2014/chart" uri="{C3380CC4-5D6E-409C-BE32-E72D297353CC}">
              <c16:uniqueId val="{00000000-CFFB-40F3-ADF9-1108FD6C090B}"/>
            </c:ext>
          </c:extLst>
        </c:ser>
        <c:dLbls>
          <c:showLegendKey val="0"/>
          <c:showVal val="0"/>
          <c:showCatName val="0"/>
          <c:showSerName val="0"/>
          <c:showPercent val="0"/>
          <c:showBubbleSize val="0"/>
        </c:dLbls>
        <c:gapWidth val="219"/>
        <c:axId val="568419856"/>
        <c:axId val="568430896"/>
      </c:barChart>
      <c:catAx>
        <c:axId val="56841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430896"/>
        <c:crosses val="autoZero"/>
        <c:auto val="1"/>
        <c:lblAlgn val="ctr"/>
        <c:lblOffset val="100"/>
        <c:noMultiLvlLbl val="0"/>
      </c:catAx>
      <c:valAx>
        <c:axId val="568430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41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[web_traffic_2026.xlsx]Domain Analysis!PivotTable6</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Most Engaged Website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'Domain Analysis'!$N$40</c:f>
              <c:strCache>
                <c:ptCount val="1"/>
                <c:pt idx="0">
                  <c:v>Total</c:v>
                </c:pt>
              </c:strCache>
            </c:strRef>
          </c:tx>
          <c:spPr>
            <a:solidFill>
              <a:schemeClr val="accent1"/>
            </a:solidFill>
            <a:ln>
              <a:noFill/>
            </a:ln>
            <a:effectLst/>
          </c:spPr>
          <c:invertIfNegative val="0"/>
          <c:cat>
            <c:strRef>
              <c:f>'Domain Analysis'!$M$41:$M$51</c:f>
              <c:strCache>
                <c:ptCount val="10"/>
                <c:pt idx="0">
                  <c:v>amazonvideo.com</c:v>
                </c:pt>
                <c:pt idx="1">
                  <c:v>google.com.hk</c:v>
                </c:pt>
                <c:pt idx="2">
                  <c:v>list-manage.com</c:v>
                </c:pt>
                <c:pt idx="3">
                  <c:v>motherless.com</c:v>
                </c:pt>
                <c:pt idx="4">
                  <c:v>ntppool.org</c:v>
                </c:pt>
                <c:pt idx="5">
                  <c:v>pornhub.com</c:v>
                </c:pt>
                <c:pt idx="6">
                  <c:v>safebrowsing.apple</c:v>
                </c:pt>
                <c:pt idx="7">
                  <c:v>unity3d.com</c:v>
                </c:pt>
                <c:pt idx="8">
                  <c:v>wattpad.com</c:v>
                </c:pt>
                <c:pt idx="9">
                  <c:v>xhamster2.com</c:v>
                </c:pt>
              </c:strCache>
            </c:strRef>
          </c:cat>
          <c:val>
            <c:numRef>
              <c:f>'Domain Analysis'!$N$41:$N$51</c:f>
              <c:numCache>
                <c:formatCode>General</c:formatCode>
                <c:ptCount val="10"/>
                <c:pt idx="0">
                  <c:v>153.44</c:v>
                </c:pt>
                <c:pt idx="1">
                  <c:v>148.63</c:v>
                </c:pt>
                <c:pt idx="2">
                  <c:v>156.83000000000001</c:v>
                </c:pt>
                <c:pt idx="3">
                  <c:v>168.75</c:v>
                </c:pt>
                <c:pt idx="4">
                  <c:v>142.49</c:v>
                </c:pt>
                <c:pt idx="5">
                  <c:v>160.24</c:v>
                </c:pt>
                <c:pt idx="6">
                  <c:v>149.80000000000001</c:v>
                </c:pt>
                <c:pt idx="7">
                  <c:v>145.06</c:v>
                </c:pt>
                <c:pt idx="8">
                  <c:v>141.32</c:v>
                </c:pt>
                <c:pt idx="9">
                  <c:v>169.18</c:v>
                </c:pt>
              </c:numCache>
            </c:numRef>
          </c:val>
          <c:extLst>
            <c:ext xmlns:c16="http://schemas.microsoft.com/office/drawing/2014/chart" uri="{C3380CC4-5D6E-409C-BE32-E72D297353CC}">
              <c16:uniqueId val="{00000000-1E86-478D-8EA6-2FB111D3ED66}"/>
            </c:ext>
          </c:extLst>
        </c:ser>
        <c:dLbls>
          <c:showLegendKey val="0"/>
          <c:showVal val="0"/>
          <c:showCatName val="0"/>
          <c:showSerName val="0"/>
          <c:showPercent val="0"/>
          <c:showBubbleSize val="0"/>
        </c:dLbls>
        <c:gapWidth val="219"/>
        <c:overlap val="-27"/>
        <c:axId val="640851520"/>
        <c:axId val="640853440"/>
      </c:barChart>
      <c:catAx>
        <c:axId val="64085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853440"/>
        <c:crosses val="autoZero"/>
        <c:auto val="1"/>
        <c:lblAlgn val="ctr"/>
        <c:lblOffset val="100"/>
        <c:noMultiLvlLbl val="0"/>
      </c:catAx>
      <c:valAx>
        <c:axId val="64085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85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[web_traffic_2026.xlsx]Category Analysis!PivotTable7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Global</a:t>
            </a:r>
            <a:r>
              <a:rPr lang="en-US" baseline="0"/>
              <a:t> Rank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Analysis'!$B$3</c:f>
              <c:strCache>
                <c:ptCount val="1"/>
                <c:pt idx="0">
                  <c:v>Total</c:v>
                </c:pt>
              </c:strCache>
            </c:strRef>
          </c:tx>
          <c:spPr>
            <a:solidFill>
              <a:schemeClr val="accent6">
                <a:lumMod val="60000"/>
                <a:lumOff val="40000"/>
              </a:schemeClr>
            </a:solidFill>
            <a:ln>
              <a:noFill/>
            </a:ln>
            <a:effectLst/>
          </c:spPr>
          <c:invertIfNegative val="0"/>
          <c:cat>
            <c:strRef>
              <c:f>'Category Analysis'!$A$4:$A$11</c:f>
              <c:strCache>
                <c:ptCount val="7"/>
                <c:pt idx="0">
                  <c:v>Streaming</c:v>
                </c:pt>
                <c:pt idx="1">
                  <c:v>Finance</c:v>
                </c:pt>
                <c:pt idx="2">
                  <c:v>E-commerce</c:v>
                </c:pt>
                <c:pt idx="3">
                  <c:v>Tech</c:v>
                </c:pt>
                <c:pt idx="4">
                  <c:v>Search</c:v>
                </c:pt>
                <c:pt idx="5">
                  <c:v>News</c:v>
                </c:pt>
                <c:pt idx="6">
                  <c:v>Social</c:v>
                </c:pt>
              </c:strCache>
            </c:strRef>
          </c:cat>
          <c:val>
            <c:numRef>
              <c:f>'Category Analysis'!$B$4:$B$11</c:f>
              <c:numCache>
                <c:formatCode>General</c:formatCode>
                <c:ptCount val="7"/>
                <c:pt idx="0">
                  <c:v>709.66666666666663</c:v>
                </c:pt>
                <c:pt idx="1">
                  <c:v>732.72946859903379</c:v>
                </c:pt>
                <c:pt idx="2">
                  <c:v>740.34597156398104</c:v>
                </c:pt>
                <c:pt idx="3">
                  <c:v>750.32828282828279</c:v>
                </c:pt>
                <c:pt idx="4">
                  <c:v>761.62897526501763</c:v>
                </c:pt>
                <c:pt idx="5">
                  <c:v>773.6</c:v>
                </c:pt>
                <c:pt idx="6">
                  <c:v>780.17857142857144</c:v>
                </c:pt>
              </c:numCache>
            </c:numRef>
          </c:val>
          <c:extLst>
            <c:ext xmlns:c16="http://schemas.microsoft.com/office/drawing/2014/chart" uri="{C3380CC4-5D6E-409C-BE32-E72D297353CC}">
              <c16:uniqueId val="{00000000-75E0-4D9B-B486-8E300638BC13}"/>
            </c:ext>
          </c:extLst>
        </c:ser>
        <c:dLbls>
          <c:showLegendKey val="0"/>
          <c:showVal val="0"/>
          <c:showCatName val="0"/>
          <c:showSerName val="0"/>
          <c:showPercent val="0"/>
          <c:showBubbleSize val="0"/>
        </c:dLbls>
        <c:gapWidth val="219"/>
        <c:overlap val="-27"/>
        <c:axId val="696637455"/>
        <c:axId val="696655215"/>
      </c:barChart>
      <c:catAx>
        <c:axId val="69663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655215"/>
        <c:crosses val="autoZero"/>
        <c:auto val="1"/>
        <c:lblAlgn val="ctr"/>
        <c:lblOffset val="100"/>
        <c:noMultiLvlLbl val="0"/>
      </c:catAx>
      <c:valAx>
        <c:axId val="69665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63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[web_traffic_2026.xlsx]Category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Traffic</a:t>
            </a:r>
            <a:r>
              <a:rPr lang="en-US" baseline="0"/>
              <a:t> by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'Category Analysis'!$B$19</c:f>
              <c:strCache>
                <c:ptCount val="1"/>
                <c:pt idx="0">
                  <c:v>Total</c:v>
                </c:pt>
              </c:strCache>
            </c:strRef>
          </c:tx>
          <c:spPr>
            <a:solidFill>
              <a:schemeClr val="accent6">
                <a:lumMod val="60000"/>
                <a:lumOff val="40000"/>
              </a:schemeClr>
            </a:solidFill>
            <a:ln>
              <a:noFill/>
            </a:ln>
            <a:effectLst/>
          </c:spPr>
          <c:invertIfNegative val="0"/>
          <c:cat>
            <c:strRef>
              <c:f>'Category Analysis'!$A$20:$A$27</c:f>
              <c:strCache>
                <c:ptCount val="7"/>
                <c:pt idx="0">
                  <c:v>Search</c:v>
                </c:pt>
                <c:pt idx="1">
                  <c:v>Social</c:v>
                </c:pt>
                <c:pt idx="2">
                  <c:v>Finance</c:v>
                </c:pt>
                <c:pt idx="3">
                  <c:v>News</c:v>
                </c:pt>
                <c:pt idx="4">
                  <c:v>Streaming</c:v>
                </c:pt>
                <c:pt idx="5">
                  <c:v>E-commerce</c:v>
                </c:pt>
                <c:pt idx="6">
                  <c:v>Tech</c:v>
                </c:pt>
              </c:strCache>
            </c:strRef>
          </c:cat>
          <c:val>
            <c:numRef>
              <c:f>'Category Analysis'!$B$20:$B$27</c:f>
              <c:numCache>
                <c:formatCode>0</c:formatCode>
                <c:ptCount val="7"/>
                <c:pt idx="0">
                  <c:v>13940507154</c:v>
                </c:pt>
                <c:pt idx="1">
                  <c:v>11810682482</c:v>
                </c:pt>
                <c:pt idx="2">
                  <c:v>10554953065</c:v>
                </c:pt>
                <c:pt idx="3">
                  <c:v>10369181827</c:v>
                </c:pt>
                <c:pt idx="4">
                  <c:v>10132988790</c:v>
                </c:pt>
                <c:pt idx="5">
                  <c:v>9914194608</c:v>
                </c:pt>
                <c:pt idx="6">
                  <c:v>9038603644</c:v>
                </c:pt>
              </c:numCache>
            </c:numRef>
          </c:val>
          <c:extLst>
            <c:ext xmlns:c16="http://schemas.microsoft.com/office/drawing/2014/chart" uri="{C3380CC4-5D6E-409C-BE32-E72D297353CC}">
              <c16:uniqueId val="{00000000-152D-4BE9-BD51-4EE49F364363}"/>
            </c:ext>
          </c:extLst>
        </c:ser>
        <c:dLbls>
          <c:showLegendKey val="0"/>
          <c:showVal val="0"/>
          <c:showCatName val="0"/>
          <c:showSerName val="0"/>
          <c:showPercent val="0"/>
          <c:showBubbleSize val="0"/>
        </c:dLbls>
        <c:gapWidth val="150"/>
        <c:overlap val="100"/>
        <c:axId val="1257443759"/>
        <c:axId val="1257437039"/>
      </c:barChart>
      <c:catAx>
        <c:axId val="1257443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37039"/>
        <c:crosses val="autoZero"/>
        <c:auto val="1"/>
        <c:lblAlgn val="ctr"/>
        <c:lblOffset val="100"/>
        <c:noMultiLvlLbl val="0"/>
      </c:catAx>
      <c:valAx>
        <c:axId val="12574370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4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[web_traffic_2026.xlsx]Category Analysis!PivotTable2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Bounce Rate By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Analysis'!$N$2</c:f>
              <c:strCache>
                <c:ptCount val="1"/>
                <c:pt idx="0">
                  <c:v>Total</c:v>
                </c:pt>
              </c:strCache>
            </c:strRef>
          </c:tx>
          <c:spPr>
            <a:solidFill>
              <a:schemeClr val="accent6">
                <a:lumMod val="60000"/>
                <a:lumOff val="40000"/>
              </a:schemeClr>
            </a:solidFill>
            <a:ln>
              <a:noFill/>
            </a:ln>
            <a:effectLst/>
          </c:spPr>
          <c:invertIfNegative val="0"/>
          <c:cat>
            <c:strRef>
              <c:f>'Category Analysis'!$M$3:$M$10</c:f>
              <c:strCache>
                <c:ptCount val="7"/>
                <c:pt idx="0">
                  <c:v>E-commerce</c:v>
                </c:pt>
                <c:pt idx="1">
                  <c:v>Finance</c:v>
                </c:pt>
                <c:pt idx="2">
                  <c:v>Tech</c:v>
                </c:pt>
                <c:pt idx="3">
                  <c:v>Social</c:v>
                </c:pt>
                <c:pt idx="4">
                  <c:v>News</c:v>
                </c:pt>
                <c:pt idx="5">
                  <c:v>Search</c:v>
                </c:pt>
                <c:pt idx="6">
                  <c:v>Streaming</c:v>
                </c:pt>
              </c:strCache>
            </c:strRef>
          </c:cat>
          <c:val>
            <c:numRef>
              <c:f>'Category Analysis'!$N$3:$N$10</c:f>
              <c:numCache>
                <c:formatCode>General</c:formatCode>
                <c:ptCount val="7"/>
                <c:pt idx="0">
                  <c:v>45.604075829383902</c:v>
                </c:pt>
                <c:pt idx="1">
                  <c:v>45.57231884057974</c:v>
                </c:pt>
                <c:pt idx="2">
                  <c:v>45.286060606060623</c:v>
                </c:pt>
                <c:pt idx="3">
                  <c:v>45.15979591836733</c:v>
                </c:pt>
                <c:pt idx="4">
                  <c:v>44.996809523809553</c:v>
                </c:pt>
                <c:pt idx="5">
                  <c:v>42.056431095406374</c:v>
                </c:pt>
                <c:pt idx="6">
                  <c:v>24.663435897435907</c:v>
                </c:pt>
              </c:numCache>
            </c:numRef>
          </c:val>
          <c:extLst>
            <c:ext xmlns:c16="http://schemas.microsoft.com/office/drawing/2014/chart" uri="{C3380CC4-5D6E-409C-BE32-E72D297353CC}">
              <c16:uniqueId val="{00000000-7D59-4283-873A-34BC11C819AE}"/>
            </c:ext>
          </c:extLst>
        </c:ser>
        <c:dLbls>
          <c:showLegendKey val="0"/>
          <c:showVal val="0"/>
          <c:showCatName val="0"/>
          <c:showSerName val="0"/>
          <c:showPercent val="0"/>
          <c:showBubbleSize val="0"/>
        </c:dLbls>
        <c:gapWidth val="219"/>
        <c:overlap val="-27"/>
        <c:axId val="1257457679"/>
        <c:axId val="1257459599"/>
      </c:barChart>
      <c:catAx>
        <c:axId val="125745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59599"/>
        <c:crosses val="autoZero"/>
        <c:auto val="1"/>
        <c:lblAlgn val="ctr"/>
        <c:lblOffset val="100"/>
        <c:noMultiLvlLbl val="0"/>
      </c:catAx>
      <c:valAx>
        <c:axId val="1257459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5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[web_traffic_2026.xlsx]Category Analysis!PivotTable3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Avg Session Duration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Analysis'!$N$20</c:f>
              <c:strCache>
                <c:ptCount val="1"/>
                <c:pt idx="0">
                  <c:v>Total</c:v>
                </c:pt>
              </c:strCache>
            </c:strRef>
          </c:tx>
          <c:spPr>
            <a:solidFill>
              <a:schemeClr val="accent6">
                <a:lumMod val="60000"/>
                <a:lumOff val="40000"/>
              </a:schemeClr>
            </a:solidFill>
            <a:ln>
              <a:noFill/>
            </a:ln>
            <a:effectLst/>
          </c:spPr>
          <c:invertIfNegative val="0"/>
          <c:cat>
            <c:strRef>
              <c:f>'Category Analysis'!$M$21:$M$28</c:f>
              <c:strCache>
                <c:ptCount val="7"/>
                <c:pt idx="0">
                  <c:v>Streaming</c:v>
                </c:pt>
                <c:pt idx="1">
                  <c:v>Tech</c:v>
                </c:pt>
                <c:pt idx="2">
                  <c:v>Finance</c:v>
                </c:pt>
                <c:pt idx="3">
                  <c:v>E-commerce</c:v>
                </c:pt>
                <c:pt idx="4">
                  <c:v>News</c:v>
                </c:pt>
                <c:pt idx="5">
                  <c:v>Social</c:v>
                </c:pt>
                <c:pt idx="6">
                  <c:v>Search</c:v>
                </c:pt>
              </c:strCache>
            </c:strRef>
          </c:cat>
          <c:val>
            <c:numRef>
              <c:f>'Category Analysis'!$N$21:$N$28</c:f>
              <c:numCache>
                <c:formatCode>General</c:formatCode>
                <c:ptCount val="7"/>
                <c:pt idx="0">
                  <c:v>24.541538461538451</c:v>
                </c:pt>
                <c:pt idx="1">
                  <c:v>6.1105050505050542</c:v>
                </c:pt>
                <c:pt idx="2">
                  <c:v>5.9381642512077288</c:v>
                </c:pt>
                <c:pt idx="3">
                  <c:v>5.9145497630331789</c:v>
                </c:pt>
                <c:pt idx="4">
                  <c:v>5.8828095238095273</c:v>
                </c:pt>
                <c:pt idx="5">
                  <c:v>5.867755102040821</c:v>
                </c:pt>
                <c:pt idx="6">
                  <c:v>3.2919787985865732</c:v>
                </c:pt>
              </c:numCache>
            </c:numRef>
          </c:val>
          <c:extLst>
            <c:ext xmlns:c16="http://schemas.microsoft.com/office/drawing/2014/chart" uri="{C3380CC4-5D6E-409C-BE32-E72D297353CC}">
              <c16:uniqueId val="{00000000-EF05-4022-80AA-8A1E2343CCFB}"/>
            </c:ext>
          </c:extLst>
        </c:ser>
        <c:dLbls>
          <c:showLegendKey val="0"/>
          <c:showVal val="0"/>
          <c:showCatName val="0"/>
          <c:showSerName val="0"/>
          <c:showPercent val="0"/>
          <c:showBubbleSize val="0"/>
        </c:dLbls>
        <c:gapWidth val="182"/>
        <c:axId val="1257460079"/>
        <c:axId val="1257461039"/>
      </c:barChart>
      <c:catAx>
        <c:axId val="1257460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61039"/>
        <c:crosses val="autoZero"/>
        <c:auto val="1"/>
        <c:lblAlgn val="ctr"/>
        <c:lblOffset val="100"/>
        <c:noMultiLvlLbl val="0"/>
      </c:catAx>
      <c:valAx>
        <c:axId val="1257461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6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[web_traffic_2026.xlsx]Category Analysis!PivotTable4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Stickiness Index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Analysis'!$B$35</c:f>
              <c:strCache>
                <c:ptCount val="1"/>
                <c:pt idx="0">
                  <c:v>Total</c:v>
                </c:pt>
              </c:strCache>
            </c:strRef>
          </c:tx>
          <c:spPr>
            <a:solidFill>
              <a:schemeClr val="accent6">
                <a:lumMod val="60000"/>
                <a:lumOff val="40000"/>
              </a:schemeClr>
            </a:solidFill>
            <a:ln>
              <a:noFill/>
            </a:ln>
            <a:effectLst/>
          </c:spPr>
          <c:invertIfNegative val="0"/>
          <c:cat>
            <c:strRef>
              <c:f>'Category Analysis'!$A$36:$A$43</c:f>
              <c:strCache>
                <c:ptCount val="7"/>
                <c:pt idx="0">
                  <c:v>Streaming</c:v>
                </c:pt>
                <c:pt idx="1">
                  <c:v>Tech</c:v>
                </c:pt>
                <c:pt idx="2">
                  <c:v>News</c:v>
                </c:pt>
                <c:pt idx="3">
                  <c:v>Social</c:v>
                </c:pt>
                <c:pt idx="4">
                  <c:v>E-commerce</c:v>
                </c:pt>
                <c:pt idx="5">
                  <c:v>Finance</c:v>
                </c:pt>
                <c:pt idx="6">
                  <c:v>Search</c:v>
                </c:pt>
              </c:strCache>
            </c:strRef>
          </c:cat>
          <c:val>
            <c:numRef>
              <c:f>'Category Analysis'!$B$36:$B$43</c:f>
              <c:numCache>
                <c:formatCode>0.00</c:formatCode>
                <c:ptCount val="7"/>
                <c:pt idx="0">
                  <c:v>114.42435897435898</c:v>
                </c:pt>
                <c:pt idx="1">
                  <c:v>14.038181818181814</c:v>
                </c:pt>
                <c:pt idx="2">
                  <c:v>13.866142857142858</c:v>
                </c:pt>
                <c:pt idx="3">
                  <c:v>13.439846938775519</c:v>
                </c:pt>
                <c:pt idx="4">
                  <c:v>13.392843601895729</c:v>
                </c:pt>
                <c:pt idx="5">
                  <c:v>13.380966183574882</c:v>
                </c:pt>
                <c:pt idx="6">
                  <c:v>9.711802120141348</c:v>
                </c:pt>
              </c:numCache>
            </c:numRef>
          </c:val>
          <c:extLst>
            <c:ext xmlns:c16="http://schemas.microsoft.com/office/drawing/2014/chart" uri="{C3380CC4-5D6E-409C-BE32-E72D297353CC}">
              <c16:uniqueId val="{00000000-F319-4C79-B854-CF578EA33A06}"/>
            </c:ext>
          </c:extLst>
        </c:ser>
        <c:dLbls>
          <c:showLegendKey val="0"/>
          <c:showVal val="0"/>
          <c:showCatName val="0"/>
          <c:showSerName val="0"/>
          <c:showPercent val="0"/>
          <c:showBubbleSize val="0"/>
        </c:dLbls>
        <c:gapWidth val="182"/>
        <c:axId val="1257468239"/>
        <c:axId val="1257452399"/>
      </c:barChart>
      <c:catAx>
        <c:axId val="1257468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52399"/>
        <c:crosses val="autoZero"/>
        <c:auto val="1"/>
        <c:lblAlgn val="ctr"/>
        <c:lblOffset val="100"/>
        <c:noMultiLvlLbl val="0"/>
      </c:catAx>
      <c:valAx>
        <c:axId val="1257452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6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[web_traffic_2026.xlsx]Category Analysis!PivotTable5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Engagement Score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Analysis'!$N$37</c:f>
              <c:strCache>
                <c:ptCount val="1"/>
                <c:pt idx="0">
                  <c:v>Total</c:v>
                </c:pt>
              </c:strCache>
            </c:strRef>
          </c:tx>
          <c:spPr>
            <a:solidFill>
              <a:schemeClr val="accent6">
                <a:lumMod val="60000"/>
                <a:lumOff val="40000"/>
              </a:schemeClr>
            </a:solidFill>
            <a:ln>
              <a:noFill/>
            </a:ln>
            <a:effectLst/>
          </c:spPr>
          <c:invertIfNegative val="0"/>
          <c:cat>
            <c:strRef>
              <c:f>'Category Analysis'!$M$38:$M$45</c:f>
              <c:strCache>
                <c:ptCount val="7"/>
                <c:pt idx="0">
                  <c:v>Streaming</c:v>
                </c:pt>
                <c:pt idx="1">
                  <c:v>News</c:v>
                </c:pt>
                <c:pt idx="2">
                  <c:v>Tech</c:v>
                </c:pt>
                <c:pt idx="3">
                  <c:v>Social</c:v>
                </c:pt>
                <c:pt idx="4">
                  <c:v>Finance</c:v>
                </c:pt>
                <c:pt idx="5">
                  <c:v>E-commerce</c:v>
                </c:pt>
                <c:pt idx="6">
                  <c:v>Search</c:v>
                </c:pt>
              </c:strCache>
            </c:strRef>
          </c:cat>
          <c:val>
            <c:numRef>
              <c:f>'Category Analysis'!$N$38:$N$45</c:f>
              <c:numCache>
                <c:formatCode>0.00</c:formatCode>
                <c:ptCount val="7"/>
                <c:pt idx="0">
                  <c:v>94.882974358974337</c:v>
                </c:pt>
                <c:pt idx="1">
                  <c:v>34.437238095238087</c:v>
                </c:pt>
                <c:pt idx="2">
                  <c:v>34.378535353535355</c:v>
                </c:pt>
                <c:pt idx="3">
                  <c:v>34.142602040816328</c:v>
                </c:pt>
                <c:pt idx="4">
                  <c:v>33.906956521739112</c:v>
                </c:pt>
                <c:pt idx="5">
                  <c:v>33.896540284360206</c:v>
                </c:pt>
                <c:pt idx="6">
                  <c:v>33.830176678445198</c:v>
                </c:pt>
              </c:numCache>
            </c:numRef>
          </c:val>
          <c:extLst>
            <c:ext xmlns:c16="http://schemas.microsoft.com/office/drawing/2014/chart" uri="{C3380CC4-5D6E-409C-BE32-E72D297353CC}">
              <c16:uniqueId val="{00000000-CF55-421D-BA2A-F6782BAEDDDC}"/>
            </c:ext>
          </c:extLst>
        </c:ser>
        <c:dLbls>
          <c:showLegendKey val="0"/>
          <c:showVal val="0"/>
          <c:showCatName val="0"/>
          <c:showSerName val="0"/>
          <c:showPercent val="0"/>
          <c:showBubbleSize val="0"/>
        </c:dLbls>
        <c:gapWidth val="182"/>
        <c:axId val="1257476399"/>
        <c:axId val="1257476879"/>
      </c:barChart>
      <c:catAx>
        <c:axId val="125747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76879"/>
        <c:crosses val="autoZero"/>
        <c:auto val="1"/>
        <c:lblAlgn val="ctr"/>
        <c:lblOffset val="100"/>
        <c:noMultiLvlLbl val="0"/>
      </c:catAx>
      <c:valAx>
        <c:axId val="12574768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7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[web_traffic_2026.xlsx]Market Analysis!PivotTable6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Global Rank by Market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'Market Analysis'!$B$3</c:f>
              <c:strCache>
                <c:ptCount val="1"/>
                <c:pt idx="0">
                  <c:v>Total</c:v>
                </c:pt>
              </c:strCache>
            </c:strRef>
          </c:tx>
          <c:spPr>
            <a:solidFill>
              <a:schemeClr val="accent2">
                <a:lumMod val="60000"/>
                <a:lumOff val="40000"/>
              </a:schemeClr>
            </a:solidFill>
            <a:ln>
              <a:noFill/>
            </a:ln>
            <a:effectLst/>
          </c:spPr>
          <c:invertIfNegative val="0"/>
          <c:cat>
            <c:strRef>
              <c:f>'Market Analysis'!$A$4:$A$10</c:f>
              <c:strCache>
                <c:ptCount val="6"/>
                <c:pt idx="0">
                  <c:v>BR</c:v>
                </c:pt>
                <c:pt idx="1">
                  <c:v>DE</c:v>
                </c:pt>
                <c:pt idx="2">
                  <c:v>GB</c:v>
                </c:pt>
                <c:pt idx="3">
                  <c:v>IN</c:v>
                </c:pt>
                <c:pt idx="4">
                  <c:v>JP</c:v>
                </c:pt>
                <c:pt idx="5">
                  <c:v>US</c:v>
                </c:pt>
              </c:strCache>
            </c:strRef>
          </c:cat>
          <c:val>
            <c:numRef>
              <c:f>'Market Analysis'!$B$4:$B$10</c:f>
              <c:numCache>
                <c:formatCode>General</c:formatCode>
                <c:ptCount val="6"/>
                <c:pt idx="0">
                  <c:v>761.17200000000003</c:v>
                </c:pt>
                <c:pt idx="1">
                  <c:v>764.20168067226894</c:v>
                </c:pt>
                <c:pt idx="2">
                  <c:v>732.42173913043473</c:v>
                </c:pt>
                <c:pt idx="3">
                  <c:v>734.31877729257644</c:v>
                </c:pt>
                <c:pt idx="4">
                  <c:v>773.24230769230769</c:v>
                </c:pt>
                <c:pt idx="5">
                  <c:v>736.92150170648461</c:v>
                </c:pt>
              </c:numCache>
            </c:numRef>
          </c:val>
          <c:extLst>
            <c:ext xmlns:c16="http://schemas.microsoft.com/office/drawing/2014/chart" uri="{C3380CC4-5D6E-409C-BE32-E72D297353CC}">
              <c16:uniqueId val="{00000000-BAB6-44A5-A941-37AF5B1E0505}"/>
            </c:ext>
          </c:extLst>
        </c:ser>
        <c:dLbls>
          <c:showLegendKey val="0"/>
          <c:showVal val="0"/>
          <c:showCatName val="0"/>
          <c:showSerName val="0"/>
          <c:showPercent val="0"/>
          <c:showBubbleSize val="0"/>
        </c:dLbls>
        <c:gapWidth val="219"/>
        <c:axId val="1257470639"/>
        <c:axId val="1257473999"/>
      </c:barChart>
      <c:catAx>
        <c:axId val="125747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73999"/>
        <c:crosses val="autoZero"/>
        <c:auto val="1"/>
        <c:lblAlgn val="ctr"/>
        <c:lblOffset val="100"/>
        <c:noMultiLvlLbl val="0"/>
      </c:catAx>
      <c:valAx>
        <c:axId val="1257473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7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[web_traffic_2026.xlsx]Market 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Visits by Market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'Market Analysis'!$B$20</c:f>
              <c:strCache>
                <c:ptCount val="1"/>
                <c:pt idx="0">
                  <c:v>Total</c:v>
                </c:pt>
              </c:strCache>
            </c:strRef>
          </c:tx>
          <c:spPr>
            <a:solidFill>
              <a:schemeClr val="accent2">
                <a:lumMod val="60000"/>
                <a:lumOff val="40000"/>
              </a:schemeClr>
            </a:solidFill>
            <a:ln>
              <a:noFill/>
            </a:ln>
            <a:effectLst/>
          </c:spPr>
          <c:invertIfNegative val="0"/>
          <c:cat>
            <c:strRef>
              <c:f>'Market Analysis'!$A$21:$A$27</c:f>
              <c:strCache>
                <c:ptCount val="6"/>
                <c:pt idx="0">
                  <c:v>BR</c:v>
                </c:pt>
                <c:pt idx="1">
                  <c:v>DE</c:v>
                </c:pt>
                <c:pt idx="2">
                  <c:v>GB</c:v>
                </c:pt>
                <c:pt idx="3">
                  <c:v>IN</c:v>
                </c:pt>
                <c:pt idx="4">
                  <c:v>JP</c:v>
                </c:pt>
                <c:pt idx="5">
                  <c:v>US</c:v>
                </c:pt>
              </c:strCache>
            </c:strRef>
          </c:cat>
          <c:val>
            <c:numRef>
              <c:f>'Market Analysis'!$B$21:$B$27</c:f>
              <c:numCache>
                <c:formatCode>0</c:formatCode>
                <c:ptCount val="6"/>
                <c:pt idx="0">
                  <c:v>51083492.840000004</c:v>
                </c:pt>
                <c:pt idx="1">
                  <c:v>51970340.294117644</c:v>
                </c:pt>
                <c:pt idx="2">
                  <c:v>50869992.039130434</c:v>
                </c:pt>
                <c:pt idx="3">
                  <c:v>54336023.458515286</c:v>
                </c:pt>
                <c:pt idx="4">
                  <c:v>46762960.553846151</c:v>
                </c:pt>
                <c:pt idx="5">
                  <c:v>48873310.87030717</c:v>
                </c:pt>
              </c:numCache>
            </c:numRef>
          </c:val>
          <c:extLst>
            <c:ext xmlns:c16="http://schemas.microsoft.com/office/drawing/2014/chart" uri="{C3380CC4-5D6E-409C-BE32-E72D297353CC}">
              <c16:uniqueId val="{00000000-1980-4D49-90D3-DE137F4C6154}"/>
            </c:ext>
          </c:extLst>
        </c:ser>
        <c:dLbls>
          <c:showLegendKey val="0"/>
          <c:showVal val="0"/>
          <c:showCatName val="0"/>
          <c:showSerName val="0"/>
          <c:showPercent val="0"/>
          <c:showBubbleSize val="0"/>
        </c:dLbls>
        <c:gapWidth val="219"/>
        <c:axId val="1257436079"/>
        <c:axId val="1257419759"/>
      </c:barChart>
      <c:catAx>
        <c:axId val="125743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19759"/>
        <c:crosses val="autoZero"/>
        <c:auto val="1"/>
        <c:lblAlgn val="ctr"/>
        <c:lblOffset val="100"/>
        <c:noMultiLvlLbl val="0"/>
      </c:catAx>
      <c:valAx>
        <c:axId val="12574197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3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[web_traffic_2026.xlsx]Market Analysis!PivotTable8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Bounce Rate by Market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 Analysis'!$N$2</c:f>
              <c:strCache>
                <c:ptCount val="1"/>
                <c:pt idx="0">
                  <c:v>Total</c:v>
                </c:pt>
              </c:strCache>
            </c:strRef>
          </c:tx>
          <c:spPr>
            <a:solidFill>
              <a:schemeClr val="accent2">
                <a:lumMod val="60000"/>
                <a:lumOff val="40000"/>
              </a:schemeClr>
            </a:solidFill>
            <a:ln>
              <a:noFill/>
            </a:ln>
            <a:effectLst/>
          </c:spPr>
          <c:invertIfNegative val="0"/>
          <c:cat>
            <c:strRef>
              <c:f>'Market Analysis'!$M$3:$M$9</c:f>
              <c:strCache>
                <c:ptCount val="6"/>
                <c:pt idx="0">
                  <c:v>BR</c:v>
                </c:pt>
                <c:pt idx="1">
                  <c:v>DE</c:v>
                </c:pt>
                <c:pt idx="2">
                  <c:v>GB</c:v>
                </c:pt>
                <c:pt idx="3">
                  <c:v>IN</c:v>
                </c:pt>
                <c:pt idx="4">
                  <c:v>JP</c:v>
                </c:pt>
                <c:pt idx="5">
                  <c:v>US</c:v>
                </c:pt>
              </c:strCache>
            </c:strRef>
          </c:cat>
          <c:val>
            <c:numRef>
              <c:f>'Market Analysis'!$N$3:$N$9</c:f>
              <c:numCache>
                <c:formatCode>0.00"%"</c:formatCode>
                <c:ptCount val="6"/>
                <c:pt idx="0">
                  <c:v>41.089320000000015</c:v>
                </c:pt>
                <c:pt idx="1">
                  <c:v>42.697226890756291</c:v>
                </c:pt>
                <c:pt idx="2">
                  <c:v>41.797782608695634</c:v>
                </c:pt>
                <c:pt idx="3">
                  <c:v>41.824323144104824</c:v>
                </c:pt>
                <c:pt idx="4">
                  <c:v>41.663423076923053</c:v>
                </c:pt>
                <c:pt idx="5">
                  <c:v>42.923344709897613</c:v>
                </c:pt>
              </c:numCache>
            </c:numRef>
          </c:val>
          <c:extLst>
            <c:ext xmlns:c16="http://schemas.microsoft.com/office/drawing/2014/chart" uri="{C3380CC4-5D6E-409C-BE32-E72D297353CC}">
              <c16:uniqueId val="{00000000-B2E0-4749-81B8-E4B1008D4D63}"/>
            </c:ext>
          </c:extLst>
        </c:ser>
        <c:dLbls>
          <c:showLegendKey val="0"/>
          <c:showVal val="0"/>
          <c:showCatName val="0"/>
          <c:showSerName val="0"/>
          <c:showPercent val="0"/>
          <c:showBubbleSize val="0"/>
        </c:dLbls>
        <c:gapWidth val="219"/>
        <c:overlap val="-27"/>
        <c:axId val="1257450959"/>
        <c:axId val="1257455759"/>
      </c:barChart>
      <c:catAx>
        <c:axId val="125745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55759"/>
        <c:crosses val="autoZero"/>
        <c:auto val="1"/>
        <c:lblAlgn val="ctr"/>
        <c:lblOffset val="100"/>
        <c:noMultiLvlLbl val="0"/>
      </c:catAx>
      <c:valAx>
        <c:axId val="1257455759"/>
        <c:scaling>
          <c:orientation val="minMax"/>
        </c:scaling>
        <c:delete val="0"/>
        <c:axPos val="l"/>
        <c:majorGridlines>
          <c:spPr>
            <a:ln w="9525" cap="flat" cmpd="sng" algn="ctr">
              <a:solidFill>
                <a:schemeClr val="tx1">
                  <a:lumMod val="15000"/>
                  <a:lumOff val="85000"/>
                </a:schemeClr>
              </a:solidFill>
              <a:round/>
            </a:ln>
            <a:effectLst/>
          </c:spPr>
        </c:majorGridlines>
        <c:numFmt formatCode="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5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[web_traffic_2026.xlsx]Market Analysis!PivotTable9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Session Duration by Market</a:t>
            </a:r>
            <a:endParaRPr lang="en-IN"/>
          </a:p>
        </c:rich>
      </c:tx>
      <c:layout>
        <c:manualLayout>
          <c:xMode val="edge"/>
          <c:yMode val="edge"/>
          <c:x val="0.292354111986001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'Market Analysis'!$N$22</c:f>
              <c:strCache>
                <c:ptCount val="1"/>
                <c:pt idx="0">
                  <c:v>Total</c:v>
                </c:pt>
              </c:strCache>
            </c:strRef>
          </c:tx>
          <c:spPr>
            <a:solidFill>
              <a:schemeClr val="accent2">
                <a:lumMod val="60000"/>
                <a:lumOff val="40000"/>
              </a:schemeClr>
            </a:solidFill>
            <a:ln>
              <a:noFill/>
            </a:ln>
            <a:effectLst/>
          </c:spPr>
          <c:invertIfNegative val="0"/>
          <c:cat>
            <c:strRef>
              <c:f>'Market Analysis'!$M$23:$M$29</c:f>
              <c:strCache>
                <c:ptCount val="6"/>
                <c:pt idx="0">
                  <c:v>BR</c:v>
                </c:pt>
                <c:pt idx="1">
                  <c:v>DE</c:v>
                </c:pt>
                <c:pt idx="2">
                  <c:v>GB</c:v>
                </c:pt>
                <c:pt idx="3">
                  <c:v>IN</c:v>
                </c:pt>
                <c:pt idx="4">
                  <c:v>JP</c:v>
                </c:pt>
                <c:pt idx="5">
                  <c:v>US</c:v>
                </c:pt>
              </c:strCache>
            </c:strRef>
          </c:cat>
          <c:val>
            <c:numRef>
              <c:f>'Market Analysis'!$N$23:$N$29</c:f>
              <c:numCache>
                <c:formatCode>0.00</c:formatCode>
                <c:ptCount val="6"/>
                <c:pt idx="0">
                  <c:v>8.3013599999999972</c:v>
                </c:pt>
                <c:pt idx="1">
                  <c:v>6.7930672268907637</c:v>
                </c:pt>
                <c:pt idx="2">
                  <c:v>7.8017826086956603</c:v>
                </c:pt>
                <c:pt idx="3">
                  <c:v>8.2979912663755417</c:v>
                </c:pt>
                <c:pt idx="4">
                  <c:v>8.0673461538461524</c:v>
                </c:pt>
                <c:pt idx="5">
                  <c:v>7.8686006825938613</c:v>
                </c:pt>
              </c:numCache>
            </c:numRef>
          </c:val>
          <c:extLst>
            <c:ext xmlns:c16="http://schemas.microsoft.com/office/drawing/2014/chart" uri="{C3380CC4-5D6E-409C-BE32-E72D297353CC}">
              <c16:uniqueId val="{00000000-A181-4BBC-BCBC-4062F514A3A7}"/>
            </c:ext>
          </c:extLst>
        </c:ser>
        <c:dLbls>
          <c:showLegendKey val="0"/>
          <c:showVal val="0"/>
          <c:showCatName val="0"/>
          <c:showSerName val="0"/>
          <c:showPercent val="0"/>
          <c:showBubbleSize val="0"/>
        </c:dLbls>
        <c:gapWidth val="182"/>
        <c:axId val="1257474479"/>
        <c:axId val="1257474959"/>
      </c:barChart>
      <c:catAx>
        <c:axId val="1257474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74959"/>
        <c:crosses val="autoZero"/>
        <c:auto val="1"/>
        <c:lblAlgn val="ctr"/>
        <c:lblOffset val="100"/>
        <c:noMultiLvlLbl val="0"/>
      </c:catAx>
      <c:valAx>
        <c:axId val="125747495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7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[web_traffic_2026.xlsx]Market Analysis!PivotTable10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Stickiest Market</a:t>
            </a:r>
            <a:endParaRPr lang="en-IN"/>
          </a:p>
        </c:rich>
      </c:tx>
      <c:layout>
        <c:manualLayout>
          <c:xMode val="edge"/>
          <c:yMode val="edge"/>
          <c:x val="0.3718333333333334"/>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'Market Analysis'!$B$37</c:f>
              <c:strCache>
                <c:ptCount val="1"/>
                <c:pt idx="0">
                  <c:v>Total</c:v>
                </c:pt>
              </c:strCache>
            </c:strRef>
          </c:tx>
          <c:spPr>
            <a:solidFill>
              <a:schemeClr val="accent2">
                <a:lumMod val="60000"/>
                <a:lumOff val="40000"/>
              </a:schemeClr>
            </a:solidFill>
            <a:ln>
              <a:noFill/>
            </a:ln>
            <a:effectLst/>
          </c:spPr>
          <c:invertIfNegative val="0"/>
          <c:cat>
            <c:strRef>
              <c:f>'Market Analysis'!$A$38:$A$44</c:f>
              <c:strCache>
                <c:ptCount val="6"/>
                <c:pt idx="0">
                  <c:v>BR</c:v>
                </c:pt>
                <c:pt idx="1">
                  <c:v>DE</c:v>
                </c:pt>
                <c:pt idx="2">
                  <c:v>GB</c:v>
                </c:pt>
                <c:pt idx="3">
                  <c:v>IN</c:v>
                </c:pt>
                <c:pt idx="4">
                  <c:v>JP</c:v>
                </c:pt>
                <c:pt idx="5">
                  <c:v>US</c:v>
                </c:pt>
              </c:strCache>
            </c:strRef>
          </c:cat>
          <c:val>
            <c:numRef>
              <c:f>'Market Analysis'!$B$38:$B$44</c:f>
              <c:numCache>
                <c:formatCode>General</c:formatCode>
                <c:ptCount val="6"/>
                <c:pt idx="0">
                  <c:v>28.13288</c:v>
                </c:pt>
                <c:pt idx="1">
                  <c:v>20.961008403361358</c:v>
                </c:pt>
                <c:pt idx="2">
                  <c:v>26.305521739130437</c:v>
                </c:pt>
                <c:pt idx="3">
                  <c:v>27.511266375545844</c:v>
                </c:pt>
                <c:pt idx="4">
                  <c:v>27.221038461538487</c:v>
                </c:pt>
                <c:pt idx="5">
                  <c:v>25.709351535836205</c:v>
                </c:pt>
              </c:numCache>
            </c:numRef>
          </c:val>
          <c:extLst>
            <c:ext xmlns:c16="http://schemas.microsoft.com/office/drawing/2014/chart" uri="{C3380CC4-5D6E-409C-BE32-E72D297353CC}">
              <c16:uniqueId val="{00000000-A0A1-4A05-B271-38CC115A1EB6}"/>
            </c:ext>
          </c:extLst>
        </c:ser>
        <c:dLbls>
          <c:showLegendKey val="0"/>
          <c:showVal val="0"/>
          <c:showCatName val="0"/>
          <c:showSerName val="0"/>
          <c:showPercent val="0"/>
          <c:showBubbleSize val="0"/>
        </c:dLbls>
        <c:gapWidth val="182"/>
        <c:axId val="1257440879"/>
        <c:axId val="1257424559"/>
      </c:barChart>
      <c:catAx>
        <c:axId val="1257440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24559"/>
        <c:crosses val="autoZero"/>
        <c:auto val="1"/>
        <c:lblAlgn val="ctr"/>
        <c:lblOffset val="100"/>
        <c:noMultiLvlLbl val="0"/>
      </c:catAx>
      <c:valAx>
        <c:axId val="1257424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4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[web_traffic_2026.xlsx]Market Analysis!PivotTable11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Most Engaged Market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 Analysis'!$N$37</c:f>
              <c:strCache>
                <c:ptCount val="1"/>
                <c:pt idx="0">
                  <c:v>Total</c:v>
                </c:pt>
              </c:strCache>
            </c:strRef>
          </c:tx>
          <c:spPr>
            <a:solidFill>
              <a:schemeClr val="accent2">
                <a:lumMod val="60000"/>
                <a:lumOff val="40000"/>
              </a:schemeClr>
            </a:solidFill>
            <a:ln>
              <a:noFill/>
            </a:ln>
            <a:effectLst/>
          </c:spPr>
          <c:invertIfNegative val="0"/>
          <c:cat>
            <c:strRef>
              <c:f>'Market Analysis'!$M$38:$M$44</c:f>
              <c:strCache>
                <c:ptCount val="6"/>
                <c:pt idx="0">
                  <c:v>BR</c:v>
                </c:pt>
                <c:pt idx="1">
                  <c:v>DE</c:v>
                </c:pt>
                <c:pt idx="2">
                  <c:v>GB</c:v>
                </c:pt>
                <c:pt idx="3">
                  <c:v>IN</c:v>
                </c:pt>
                <c:pt idx="4">
                  <c:v>JP</c:v>
                </c:pt>
                <c:pt idx="5">
                  <c:v>US</c:v>
                </c:pt>
              </c:strCache>
            </c:strRef>
          </c:cat>
          <c:val>
            <c:numRef>
              <c:f>'Market Analysis'!$N$38:$N$44</c:f>
              <c:numCache>
                <c:formatCode>General</c:formatCode>
                <c:ptCount val="6"/>
                <c:pt idx="0">
                  <c:v>43.524159999999981</c:v>
                </c:pt>
                <c:pt idx="1">
                  <c:v>39.134117647058822</c:v>
                </c:pt>
                <c:pt idx="2">
                  <c:v>42.25626086956521</c:v>
                </c:pt>
                <c:pt idx="3">
                  <c:v>42.846244541484722</c:v>
                </c:pt>
                <c:pt idx="4">
                  <c:v>42.781384615384624</c:v>
                </c:pt>
                <c:pt idx="5">
                  <c:v>41.395563139931724</c:v>
                </c:pt>
              </c:numCache>
            </c:numRef>
          </c:val>
          <c:extLst>
            <c:ext xmlns:c16="http://schemas.microsoft.com/office/drawing/2014/chart" uri="{C3380CC4-5D6E-409C-BE32-E72D297353CC}">
              <c16:uniqueId val="{00000000-4A20-40A5-B725-AF7BCDD7BBBC}"/>
            </c:ext>
          </c:extLst>
        </c:ser>
        <c:dLbls>
          <c:showLegendKey val="0"/>
          <c:showVal val="0"/>
          <c:showCatName val="0"/>
          <c:showSerName val="0"/>
          <c:showPercent val="0"/>
          <c:showBubbleSize val="0"/>
        </c:dLbls>
        <c:gapWidth val="219"/>
        <c:overlap val="-27"/>
        <c:axId val="696645135"/>
        <c:axId val="696628815"/>
      </c:barChart>
      <c:catAx>
        <c:axId val="69664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628815"/>
        <c:crosses val="autoZero"/>
        <c:auto val="1"/>
        <c:lblAlgn val="ctr"/>
        <c:lblOffset val="100"/>
        <c:noMultiLvlLbl val="0"/>
      </c:catAx>
      <c:valAx>
        <c:axId val="696628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64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[web_traffic_2026.xlsx]Tier Analysis!PivotTable12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Avg Global Rank by Traffic Tier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B17E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'Tier Analysis'!$B$3</c:f>
              <c:strCache>
                <c:ptCount val="1"/>
                <c:pt idx="0">
                  <c:v>Total</c:v>
                </c:pt>
              </c:strCache>
            </c:strRef>
          </c:tx>
          <c:spPr>
            <a:solidFill>
              <a:srgbClr val="B17ED8"/>
            </a:solidFill>
            <a:ln>
              <a:noFill/>
            </a:ln>
            <a:effectLst/>
          </c:spPr>
          <c:invertIfNegative val="0"/>
          <c:cat>
            <c:strRef>
              <c:f>'Tier Analysis'!$A$4:$A$8</c:f>
              <c:strCache>
                <c:ptCount val="4"/>
                <c:pt idx="0">
                  <c:v>Bronze</c:v>
                </c:pt>
                <c:pt idx="1">
                  <c:v>Gold</c:v>
                </c:pt>
                <c:pt idx="2">
                  <c:v>Platinum</c:v>
                </c:pt>
                <c:pt idx="3">
                  <c:v>Sliver</c:v>
                </c:pt>
              </c:strCache>
            </c:strRef>
          </c:cat>
          <c:val>
            <c:numRef>
              <c:f>'Tier Analysis'!$B$4:$B$8</c:f>
              <c:numCache>
                <c:formatCode>General</c:formatCode>
                <c:ptCount val="4"/>
                <c:pt idx="0">
                  <c:v>1233.4835164835165</c:v>
                </c:pt>
                <c:pt idx="1">
                  <c:v>582.52291105121299</c:v>
                </c:pt>
                <c:pt idx="2">
                  <c:v>196.93817204301075</c:v>
                </c:pt>
                <c:pt idx="3">
                  <c:v>985.71246819338421</c:v>
                </c:pt>
              </c:numCache>
            </c:numRef>
          </c:val>
          <c:extLst>
            <c:ext xmlns:c16="http://schemas.microsoft.com/office/drawing/2014/chart" uri="{C3380CC4-5D6E-409C-BE32-E72D297353CC}">
              <c16:uniqueId val="{00000000-088D-4AA7-9DB4-984E0851683B}"/>
            </c:ext>
          </c:extLst>
        </c:ser>
        <c:dLbls>
          <c:showLegendKey val="0"/>
          <c:showVal val="0"/>
          <c:showCatName val="0"/>
          <c:showSerName val="0"/>
          <c:showPercent val="0"/>
          <c:showBubbleSize val="0"/>
        </c:dLbls>
        <c:gapWidth val="219"/>
        <c:overlap val="-27"/>
        <c:axId val="1257447119"/>
        <c:axId val="1257448079"/>
      </c:barChart>
      <c:catAx>
        <c:axId val="125744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48079"/>
        <c:crosses val="autoZero"/>
        <c:auto val="1"/>
        <c:lblAlgn val="ctr"/>
        <c:lblOffset val="100"/>
        <c:noMultiLvlLbl val="0"/>
      </c:catAx>
      <c:valAx>
        <c:axId val="125744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4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[web_traffic_2026.xlsx]Tier Analysis!PivotTable13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Traffic Share by Tier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'Tier Analysis'!$B$20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D5-4869-99A0-AA71EDEF5A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D5-4869-99A0-AA71EDEF5A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D5-4869-99A0-AA71EDEF5A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D5-4869-99A0-AA71EDEF5A7D}"/>
              </c:ext>
            </c:extLst>
          </c:dPt>
          <c:cat>
            <c:strRef>
              <c:f>'Tier Analysis'!$A$21:$A$25</c:f>
              <c:strCache>
                <c:ptCount val="4"/>
                <c:pt idx="0">
                  <c:v>Bronze</c:v>
                </c:pt>
                <c:pt idx="1">
                  <c:v>Gold</c:v>
                </c:pt>
                <c:pt idx="2">
                  <c:v>Platinum</c:v>
                </c:pt>
                <c:pt idx="3">
                  <c:v>Sliver</c:v>
                </c:pt>
              </c:strCache>
            </c:strRef>
          </c:cat>
          <c:val>
            <c:numRef>
              <c:f>'Tier Analysis'!$B$21:$B$25</c:f>
              <c:numCache>
                <c:formatCode>0.00"%"</c:formatCode>
                <c:ptCount val="4"/>
                <c:pt idx="0">
                  <c:v>9566452096</c:v>
                </c:pt>
                <c:pt idx="1">
                  <c:v>16028548579</c:v>
                </c:pt>
                <c:pt idx="2">
                  <c:v>37159155560</c:v>
                </c:pt>
                <c:pt idx="3">
                  <c:v>13006955335</c:v>
                </c:pt>
              </c:numCache>
            </c:numRef>
          </c:val>
          <c:extLst>
            <c:ext xmlns:c16="http://schemas.microsoft.com/office/drawing/2014/chart" uri="{C3380CC4-5D6E-409C-BE32-E72D297353CC}">
              <c16:uniqueId val="{00000000-E170-4408-89D4-60B83D769C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[web_traffic_2026.xlsx]Tier Analysis!PivotTable14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Bounce Rate by Traffic Tier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B17E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'Tier Analysis'!$N$3</c:f>
              <c:strCache>
                <c:ptCount val="1"/>
                <c:pt idx="0">
                  <c:v>Total</c:v>
                </c:pt>
              </c:strCache>
            </c:strRef>
          </c:tx>
          <c:spPr>
            <a:solidFill>
              <a:srgbClr val="B17ED8"/>
            </a:solidFill>
            <a:ln>
              <a:noFill/>
            </a:ln>
            <a:effectLst/>
          </c:spPr>
          <c:invertIfNegative val="0"/>
          <c:cat>
            <c:strRef>
              <c:f>'Tier Analysis'!$M$4:$M$8</c:f>
              <c:strCache>
                <c:ptCount val="4"/>
                <c:pt idx="0">
                  <c:v>Bronze</c:v>
                </c:pt>
                <c:pt idx="1">
                  <c:v>Gold</c:v>
                </c:pt>
                <c:pt idx="2">
                  <c:v>Platinum</c:v>
                </c:pt>
                <c:pt idx="3">
                  <c:v>Sliver</c:v>
                </c:pt>
              </c:strCache>
            </c:strRef>
          </c:cat>
          <c:val>
            <c:numRef>
              <c:f>'Tier Analysis'!$N$4:$N$8</c:f>
              <c:numCache>
                <c:formatCode>General</c:formatCode>
                <c:ptCount val="4"/>
                <c:pt idx="0">
                  <c:v>41.963901098901097</c:v>
                </c:pt>
                <c:pt idx="1">
                  <c:v>41.998463611859862</c:v>
                </c:pt>
                <c:pt idx="2">
                  <c:v>41.291908602150514</c:v>
                </c:pt>
                <c:pt idx="3">
                  <c:v>42.793078880407094</c:v>
                </c:pt>
              </c:numCache>
            </c:numRef>
          </c:val>
          <c:extLst>
            <c:ext xmlns:c16="http://schemas.microsoft.com/office/drawing/2014/chart" uri="{C3380CC4-5D6E-409C-BE32-E72D297353CC}">
              <c16:uniqueId val="{00000000-5C69-4A4E-88AF-47F485B84A19}"/>
            </c:ext>
          </c:extLst>
        </c:ser>
        <c:dLbls>
          <c:showLegendKey val="0"/>
          <c:showVal val="0"/>
          <c:showCatName val="0"/>
          <c:showSerName val="0"/>
          <c:showPercent val="0"/>
          <c:showBubbleSize val="0"/>
        </c:dLbls>
        <c:gapWidth val="219"/>
        <c:overlap val="-27"/>
        <c:axId val="994423759"/>
        <c:axId val="994424239"/>
      </c:barChart>
      <c:catAx>
        <c:axId val="99442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24239"/>
        <c:crosses val="autoZero"/>
        <c:auto val="1"/>
        <c:lblAlgn val="ctr"/>
        <c:lblOffset val="100"/>
        <c:noMultiLvlLbl val="0"/>
      </c:catAx>
      <c:valAx>
        <c:axId val="994424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2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[web_traffic_2026.xlsx]Tier Analysis!PivotTable15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Session Duration by Traffic Tier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B17E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'Tier Analysis'!$N$22</c:f>
              <c:strCache>
                <c:ptCount val="1"/>
                <c:pt idx="0">
                  <c:v>Total</c:v>
                </c:pt>
              </c:strCache>
            </c:strRef>
          </c:tx>
          <c:spPr>
            <a:solidFill>
              <a:srgbClr val="B17ED8"/>
            </a:solidFill>
            <a:ln>
              <a:noFill/>
            </a:ln>
            <a:effectLst/>
          </c:spPr>
          <c:invertIfNegative val="0"/>
          <c:cat>
            <c:strRef>
              <c:f>'Tier Analysis'!$M$23:$M$27</c:f>
              <c:strCache>
                <c:ptCount val="4"/>
                <c:pt idx="0">
                  <c:v>Bronze</c:v>
                </c:pt>
                <c:pt idx="1">
                  <c:v>Gold</c:v>
                </c:pt>
                <c:pt idx="2">
                  <c:v>Platinum</c:v>
                </c:pt>
                <c:pt idx="3">
                  <c:v>Sliver</c:v>
                </c:pt>
              </c:strCache>
            </c:strRef>
          </c:cat>
          <c:val>
            <c:numRef>
              <c:f>'Tier Analysis'!$N$23:$N$27</c:f>
              <c:numCache>
                <c:formatCode>General</c:formatCode>
                <c:ptCount val="4"/>
                <c:pt idx="0">
                  <c:v>7.0014560439560434</c:v>
                </c:pt>
                <c:pt idx="1">
                  <c:v>8.0352291105121321</c:v>
                </c:pt>
                <c:pt idx="2">
                  <c:v>8.5108333333333359</c:v>
                </c:pt>
                <c:pt idx="3">
                  <c:v>7.873078880407121</c:v>
                </c:pt>
              </c:numCache>
            </c:numRef>
          </c:val>
          <c:extLst>
            <c:ext xmlns:c16="http://schemas.microsoft.com/office/drawing/2014/chart" uri="{C3380CC4-5D6E-409C-BE32-E72D297353CC}">
              <c16:uniqueId val="{00000000-75CE-4A10-B2A4-DBB2A88BAD42}"/>
            </c:ext>
          </c:extLst>
        </c:ser>
        <c:dLbls>
          <c:showLegendKey val="0"/>
          <c:showVal val="0"/>
          <c:showCatName val="0"/>
          <c:showSerName val="0"/>
          <c:showPercent val="0"/>
          <c:showBubbleSize val="0"/>
        </c:dLbls>
        <c:gapWidth val="182"/>
        <c:axId val="692044719"/>
        <c:axId val="692046159"/>
      </c:barChart>
      <c:catAx>
        <c:axId val="692044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046159"/>
        <c:crosses val="autoZero"/>
        <c:auto val="1"/>
        <c:lblAlgn val="ctr"/>
        <c:lblOffset val="100"/>
        <c:noMultiLvlLbl val="0"/>
      </c:catAx>
      <c:valAx>
        <c:axId val="692046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04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[web_traffic_2026.xlsx]Tier Analysis!PivotTable16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Stickiness by Traffic Tier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B17E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'Tier Analysis'!$B$36</c:f>
              <c:strCache>
                <c:ptCount val="1"/>
                <c:pt idx="0">
                  <c:v>Total</c:v>
                </c:pt>
              </c:strCache>
            </c:strRef>
          </c:tx>
          <c:spPr>
            <a:solidFill>
              <a:srgbClr val="B17ED8"/>
            </a:solidFill>
            <a:ln>
              <a:noFill/>
            </a:ln>
            <a:effectLst/>
          </c:spPr>
          <c:invertIfNegative val="0"/>
          <c:cat>
            <c:strRef>
              <c:f>'Tier Analysis'!$A$37:$A$41</c:f>
              <c:strCache>
                <c:ptCount val="4"/>
                <c:pt idx="0">
                  <c:v>Bronze</c:v>
                </c:pt>
                <c:pt idx="1">
                  <c:v>Gold</c:v>
                </c:pt>
                <c:pt idx="2">
                  <c:v>Platinum</c:v>
                </c:pt>
                <c:pt idx="3">
                  <c:v>Sliver</c:v>
                </c:pt>
              </c:strCache>
            </c:strRef>
          </c:cat>
          <c:val>
            <c:numRef>
              <c:f>'Tier Analysis'!$B$37:$B$41</c:f>
              <c:numCache>
                <c:formatCode>General</c:formatCode>
                <c:ptCount val="4"/>
                <c:pt idx="0">
                  <c:v>22.19230769230769</c:v>
                </c:pt>
                <c:pt idx="1">
                  <c:v>26.988194070080844</c:v>
                </c:pt>
                <c:pt idx="2">
                  <c:v>29.139623655914004</c:v>
                </c:pt>
                <c:pt idx="3">
                  <c:v>25.577709923664131</c:v>
                </c:pt>
              </c:numCache>
            </c:numRef>
          </c:val>
          <c:extLst>
            <c:ext xmlns:c16="http://schemas.microsoft.com/office/drawing/2014/chart" uri="{C3380CC4-5D6E-409C-BE32-E72D297353CC}">
              <c16:uniqueId val="{00000000-45EF-4E05-8226-0D5903361A2B}"/>
            </c:ext>
          </c:extLst>
        </c:ser>
        <c:dLbls>
          <c:showLegendKey val="0"/>
          <c:showVal val="0"/>
          <c:showCatName val="0"/>
          <c:showSerName val="0"/>
          <c:showPercent val="0"/>
          <c:showBubbleSize val="0"/>
        </c:dLbls>
        <c:gapWidth val="182"/>
        <c:axId val="1398946911"/>
        <c:axId val="1398956031"/>
      </c:barChart>
      <c:catAx>
        <c:axId val="1398946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956031"/>
        <c:crosses val="autoZero"/>
        <c:auto val="1"/>
        <c:lblAlgn val="ctr"/>
        <c:lblOffset val="100"/>
        <c:noMultiLvlLbl val="0"/>
      </c:catAx>
      <c:valAx>
        <c:axId val="1398956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94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[web_traffic_2026.xlsx]Tier Analysis!PivotTable17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Engagement Score by Traffic Tier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B17E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'Tier Analysis'!$N$35</c:f>
              <c:strCache>
                <c:ptCount val="1"/>
                <c:pt idx="0">
                  <c:v>Total</c:v>
                </c:pt>
              </c:strCache>
            </c:strRef>
          </c:tx>
          <c:spPr>
            <a:solidFill>
              <a:srgbClr val="B17ED8"/>
            </a:solidFill>
            <a:ln>
              <a:noFill/>
            </a:ln>
            <a:effectLst/>
          </c:spPr>
          <c:invertIfNegative val="0"/>
          <c:cat>
            <c:strRef>
              <c:f>'Tier Analysis'!$M$36:$M$40</c:f>
              <c:strCache>
                <c:ptCount val="4"/>
                <c:pt idx="0">
                  <c:v>Bronze</c:v>
                </c:pt>
                <c:pt idx="1">
                  <c:v>Gold</c:v>
                </c:pt>
                <c:pt idx="2">
                  <c:v>Platinum</c:v>
                </c:pt>
                <c:pt idx="3">
                  <c:v>Sliver</c:v>
                </c:pt>
              </c:strCache>
            </c:strRef>
          </c:cat>
          <c:val>
            <c:numRef>
              <c:f>'Tier Analysis'!$N$36:$N$40</c:f>
              <c:numCache>
                <c:formatCode>General</c:formatCode>
                <c:ptCount val="4"/>
                <c:pt idx="0">
                  <c:v>40.11675824175822</c:v>
                </c:pt>
                <c:pt idx="1">
                  <c:v>42.497412398921874</c:v>
                </c:pt>
                <c:pt idx="2">
                  <c:v>43.926182795698899</c:v>
                </c:pt>
                <c:pt idx="3">
                  <c:v>41.394834605597936</c:v>
                </c:pt>
              </c:numCache>
            </c:numRef>
          </c:val>
          <c:extLst>
            <c:ext xmlns:c16="http://schemas.microsoft.com/office/drawing/2014/chart" uri="{C3380CC4-5D6E-409C-BE32-E72D297353CC}">
              <c16:uniqueId val="{00000000-BDB3-462B-B8AA-C098616CEA8B}"/>
            </c:ext>
          </c:extLst>
        </c:ser>
        <c:dLbls>
          <c:showLegendKey val="0"/>
          <c:showVal val="0"/>
          <c:showCatName val="0"/>
          <c:showSerName val="0"/>
          <c:showPercent val="0"/>
          <c:showBubbleSize val="0"/>
        </c:dLbls>
        <c:gapWidth val="219"/>
        <c:overlap val="-27"/>
        <c:axId val="1398920991"/>
        <c:axId val="1398918111"/>
      </c:barChart>
      <c:catAx>
        <c:axId val="139892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918111"/>
        <c:crosses val="autoZero"/>
        <c:auto val="1"/>
        <c:lblAlgn val="ctr"/>
        <c:lblOffset val="100"/>
        <c:noMultiLvlLbl val="0"/>
      </c:catAx>
      <c:valAx>
        <c:axId val="139891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92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[web_traffic_2026.xlsx]Domain Analysis!PivotTable2</c:name>
    <c:fmtId val="29"/>
  </c:pivotSource>
  <c:chart>
    <c:title>
      <c:tx>
        <c:rich>
          <a:bodyPr rot="0" spcFirstLastPara="1" vertOverflow="ellipsis" vert="horz" wrap="square" anchor="ctr" anchorCtr="1"/>
          <a:lstStyle/>
          <a:p>
            <a:pPr algn="ctr" rtl="0">
              <a:defRPr lang="en-IN" sz="1800" b="1" i="1" u="none" strike="noStrike" kern="1200" spc="0" baseline="0">
                <a:solidFill>
                  <a:srgbClr val="FF0000"/>
                </a:solidFill>
                <a:latin typeface="+mn-lt"/>
                <a:ea typeface="+mn-ea"/>
                <a:cs typeface="+mn-cs"/>
              </a:defRPr>
            </a:pPr>
            <a:r>
              <a:rPr lang="en-IN" sz="1800" b="1" i="1" u="none" strike="noStrike" kern="1200" spc="0" baseline="0">
                <a:solidFill>
                  <a:srgbClr val="FF0000"/>
                </a:solidFill>
                <a:latin typeface="+mn-lt"/>
                <a:ea typeface="+mn-ea"/>
                <a:cs typeface="+mn-cs"/>
              </a:rPr>
              <a:t>Top 10 Most Visited Websites </a:t>
            </a:r>
          </a:p>
        </c:rich>
      </c:tx>
      <c:overlay val="0"/>
      <c:spPr>
        <a:noFill/>
        <a:ln>
          <a:noFill/>
        </a:ln>
        <a:effectLst/>
      </c:spPr>
      <c:txPr>
        <a:bodyPr rot="0" spcFirstLastPara="1" vertOverflow="ellipsis" vert="horz" wrap="square" anchor="ctr" anchorCtr="1"/>
        <a:lstStyle/>
        <a:p>
          <a:pPr algn="ctr" rtl="0">
            <a:defRPr lang="en-IN" sz="18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'Domain Analysis'!$B$20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'Domain Analysis'!$A$21:$A$31</c:f>
              <c:strCache>
                <c:ptCount val="10"/>
                <c:pt idx="0">
                  <c:v>akamai.net</c:v>
                </c:pt>
                <c:pt idx="1">
                  <c:v>apple.com</c:v>
                </c:pt>
                <c:pt idx="2">
                  <c:v>cloudflare.com</c:v>
                </c:pt>
                <c:pt idx="3">
                  <c:v>dzen.ru</c:v>
                </c:pt>
                <c:pt idx="4">
                  <c:v>facebook.com</c:v>
                </c:pt>
                <c:pt idx="5">
                  <c:v>google.com</c:v>
                </c:pt>
                <c:pt idx="6">
                  <c:v>googleapis.com</c:v>
                </c:pt>
                <c:pt idx="7">
                  <c:v>gtld-servers.net</c:v>
                </c:pt>
                <c:pt idx="8">
                  <c:v>mail.ru</c:v>
                </c:pt>
                <c:pt idx="9">
                  <c:v>microsoft.com</c:v>
                </c:pt>
              </c:strCache>
            </c:strRef>
          </c:cat>
          <c:val>
            <c:numRef>
              <c:f>'Domain Analysis'!$B$21:$B$31</c:f>
              <c:numCache>
                <c:formatCode>0.00,,"M"</c:formatCode>
                <c:ptCount val="10"/>
                <c:pt idx="0">
                  <c:v>307122589</c:v>
                </c:pt>
                <c:pt idx="1">
                  <c:v>415012900</c:v>
                </c:pt>
                <c:pt idx="2">
                  <c:v>334143655</c:v>
                </c:pt>
                <c:pt idx="3">
                  <c:v>346164172</c:v>
                </c:pt>
                <c:pt idx="4">
                  <c:v>589445551</c:v>
                </c:pt>
                <c:pt idx="5">
                  <c:v>996572612</c:v>
                </c:pt>
                <c:pt idx="6">
                  <c:v>376941229</c:v>
                </c:pt>
                <c:pt idx="7">
                  <c:v>635529412</c:v>
                </c:pt>
                <c:pt idx="8">
                  <c:v>402317681</c:v>
                </c:pt>
                <c:pt idx="9">
                  <c:v>525892610</c:v>
                </c:pt>
              </c:numCache>
            </c:numRef>
          </c:val>
          <c:extLst>
            <c:ext xmlns:c16="http://schemas.microsoft.com/office/drawing/2014/chart" uri="{C3380CC4-5D6E-409C-BE32-E72D297353CC}">
              <c16:uniqueId val="{00000000-9AC8-4787-BC28-4C24551E852F}"/>
            </c:ext>
          </c:extLst>
        </c:ser>
        <c:dLbls>
          <c:dLblPos val="outEnd"/>
          <c:showLegendKey val="0"/>
          <c:showVal val="1"/>
          <c:showCatName val="0"/>
          <c:showSerName val="0"/>
          <c:showPercent val="0"/>
          <c:showBubbleSize val="0"/>
        </c:dLbls>
        <c:gapWidth val="219"/>
        <c:axId val="634341072"/>
        <c:axId val="634339632"/>
      </c:barChart>
      <c:catAx>
        <c:axId val="63434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bg1">
                    <a:lumMod val="50000"/>
                  </a:schemeClr>
                </a:solidFill>
                <a:latin typeface="+mn-lt"/>
                <a:ea typeface="+mn-ea"/>
                <a:cs typeface="+mn-cs"/>
              </a:defRPr>
            </a:pPr>
            <a:endParaRPr lang="en-US"/>
          </a:p>
        </c:txPr>
        <c:crossAx val="634339632"/>
        <c:crosses val="autoZero"/>
        <c:auto val="1"/>
        <c:lblAlgn val="ctr"/>
        <c:lblOffset val="100"/>
        <c:noMultiLvlLbl val="0"/>
      </c:catAx>
      <c:valAx>
        <c:axId val="634339632"/>
        <c:scaling>
          <c:orientation val="minMax"/>
        </c:scaling>
        <c:delete val="1"/>
        <c:axPos val="b"/>
        <c:numFmt formatCode="0.00,,&quot;M&quot;" sourceLinked="1"/>
        <c:majorTickMark val="none"/>
        <c:minorTickMark val="none"/>
        <c:tickLblPos val="nextTo"/>
        <c:crossAx val="63434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[web_traffic_2026.xlsx]Market Analysis!PivotTable8</c:name>
    <c:fmtId val="9"/>
  </c:pivotSource>
  <c:chart>
    <c:title>
      <c:tx>
        <c:rich>
          <a:bodyPr rot="0" spcFirstLastPara="1" vertOverflow="ellipsis" vert="horz" wrap="square" anchor="ctr" anchorCtr="1"/>
          <a:lstStyle/>
          <a:p>
            <a:pPr algn="ctr" rtl="0">
              <a:defRPr lang="en-IN" sz="1800" b="1" i="1" u="none" strike="noStrike" kern="1200" spc="0" baseline="0">
                <a:solidFill>
                  <a:srgbClr val="FF0000"/>
                </a:solidFill>
                <a:latin typeface="+mn-lt"/>
                <a:ea typeface="+mn-ea"/>
                <a:cs typeface="+mn-cs"/>
              </a:defRPr>
            </a:pPr>
            <a:r>
              <a:rPr lang="en-IN" sz="1800" b="1" i="1" u="none" strike="noStrike" kern="1200" spc="0" baseline="0">
                <a:solidFill>
                  <a:srgbClr val="FF0000"/>
                </a:solidFill>
                <a:latin typeface="+mn-lt"/>
                <a:ea typeface="+mn-ea"/>
                <a:cs typeface="+mn-cs"/>
              </a:rPr>
              <a:t>Bounce Rate by Market</a:t>
            </a:r>
          </a:p>
        </c:rich>
      </c:tx>
      <c:overlay val="0"/>
      <c:spPr>
        <a:noFill/>
        <a:ln>
          <a:noFill/>
        </a:ln>
        <a:effectLst/>
      </c:spPr>
      <c:txPr>
        <a:bodyPr rot="0" spcFirstLastPara="1" vertOverflow="ellipsis" vert="horz" wrap="square" anchor="ctr" anchorCtr="1"/>
        <a:lstStyle/>
        <a:p>
          <a:pPr algn="ctr" rtl="0">
            <a:defRPr lang="en-IN" sz="1800" b="1" i="1"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 Analysis'!$N$2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 Analysis'!$M$3:$M$9</c:f>
              <c:strCache>
                <c:ptCount val="6"/>
                <c:pt idx="0">
                  <c:v>BR</c:v>
                </c:pt>
                <c:pt idx="1">
                  <c:v>DE</c:v>
                </c:pt>
                <c:pt idx="2">
                  <c:v>GB</c:v>
                </c:pt>
                <c:pt idx="3">
                  <c:v>IN</c:v>
                </c:pt>
                <c:pt idx="4">
                  <c:v>JP</c:v>
                </c:pt>
                <c:pt idx="5">
                  <c:v>US</c:v>
                </c:pt>
              </c:strCache>
            </c:strRef>
          </c:cat>
          <c:val>
            <c:numRef>
              <c:f>'Market Analysis'!$N$3:$N$9</c:f>
              <c:numCache>
                <c:formatCode>0.00"%"</c:formatCode>
                <c:ptCount val="6"/>
                <c:pt idx="0">
                  <c:v>41.089320000000015</c:v>
                </c:pt>
                <c:pt idx="1">
                  <c:v>42.697226890756291</c:v>
                </c:pt>
                <c:pt idx="2">
                  <c:v>41.797782608695634</c:v>
                </c:pt>
                <c:pt idx="3">
                  <c:v>41.824323144104824</c:v>
                </c:pt>
                <c:pt idx="4">
                  <c:v>41.663423076923053</c:v>
                </c:pt>
                <c:pt idx="5">
                  <c:v>42.923344709897613</c:v>
                </c:pt>
              </c:numCache>
            </c:numRef>
          </c:val>
          <c:extLst>
            <c:ext xmlns:c16="http://schemas.microsoft.com/office/drawing/2014/chart" uri="{C3380CC4-5D6E-409C-BE32-E72D297353CC}">
              <c16:uniqueId val="{00000000-754A-4336-8AFA-08CDFB7848A4}"/>
            </c:ext>
          </c:extLst>
        </c:ser>
        <c:dLbls>
          <c:dLblPos val="outEnd"/>
          <c:showLegendKey val="0"/>
          <c:showVal val="1"/>
          <c:showCatName val="0"/>
          <c:showSerName val="0"/>
          <c:showPercent val="0"/>
          <c:showBubbleSize val="0"/>
        </c:dLbls>
        <c:gapWidth val="219"/>
        <c:overlap val="-27"/>
        <c:axId val="1257450959"/>
        <c:axId val="1257455759"/>
      </c:barChart>
      <c:catAx>
        <c:axId val="125745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bg1">
                    <a:lumMod val="50000"/>
                  </a:schemeClr>
                </a:solidFill>
                <a:latin typeface="+mn-lt"/>
                <a:ea typeface="+mn-ea"/>
                <a:cs typeface="+mn-cs"/>
              </a:defRPr>
            </a:pPr>
            <a:endParaRPr lang="en-US"/>
          </a:p>
        </c:txPr>
        <c:crossAx val="1257455759"/>
        <c:crosses val="autoZero"/>
        <c:auto val="1"/>
        <c:lblAlgn val="ctr"/>
        <c:lblOffset val="100"/>
        <c:noMultiLvlLbl val="0"/>
      </c:catAx>
      <c:valAx>
        <c:axId val="1257455759"/>
        <c:scaling>
          <c:orientation val="minMax"/>
        </c:scaling>
        <c:delete val="1"/>
        <c:axPos val="l"/>
        <c:numFmt formatCode="0.00&quot;%&quot;" sourceLinked="1"/>
        <c:majorTickMark val="none"/>
        <c:minorTickMark val="none"/>
        <c:tickLblPos val="nextTo"/>
        <c:crossAx val="125745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[web_traffic_2026.xlsx]Category Analysis!PivotTable5</c:name>
    <c:fmtId val="13"/>
  </c:pivotSource>
  <c:chart>
    <c:title>
      <c:tx>
        <c:rich>
          <a:bodyPr rot="0" spcFirstLastPara="1" vertOverflow="ellipsis" vert="horz" wrap="square" anchor="ctr" anchorCtr="1"/>
          <a:lstStyle/>
          <a:p>
            <a:pPr>
              <a:defRPr sz="1800" b="1" i="1" u="none" strike="noStrike" kern="1200" spc="0" baseline="0">
                <a:solidFill>
                  <a:srgbClr val="FF0000"/>
                </a:solidFill>
                <a:latin typeface="+mn-lt"/>
                <a:ea typeface="+mn-ea"/>
                <a:cs typeface="+mn-cs"/>
              </a:defRPr>
            </a:pPr>
            <a:r>
              <a:rPr lang="en-IN" sz="1800" b="1" i="1" u="none" strike="noStrike" baseline="0">
                <a:solidFill>
                  <a:srgbClr val="FF0000"/>
                </a:solidFill>
              </a:rPr>
              <a:t>Engagement Score by Category</a:t>
            </a:r>
            <a:endParaRPr lang="en-IN" sz="1800" b="1" i="1">
              <a:solidFill>
                <a:srgbClr val="FF0000"/>
              </a:solidFill>
            </a:endParaRPr>
          </a:p>
        </c:rich>
      </c:tx>
      <c:overlay val="0"/>
      <c:spPr>
        <a:noFill/>
        <a:ln>
          <a:noFill/>
        </a:ln>
        <a:effectLst/>
      </c:spPr>
      <c:txPr>
        <a:bodyPr rot="0" spcFirstLastPara="1" vertOverflow="ellipsis" vert="horz" wrap="square" anchor="ctr" anchorCtr="1"/>
        <a:lstStyle/>
        <a:p>
          <a:pPr>
            <a:defRPr sz="1800" b="1" i="1"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Analysis'!$N$37</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Analysis'!$M$38:$M$45</c:f>
              <c:strCache>
                <c:ptCount val="7"/>
                <c:pt idx="0">
                  <c:v>Streaming</c:v>
                </c:pt>
                <c:pt idx="1">
                  <c:v>News</c:v>
                </c:pt>
                <c:pt idx="2">
                  <c:v>Tech</c:v>
                </c:pt>
                <c:pt idx="3">
                  <c:v>Social</c:v>
                </c:pt>
                <c:pt idx="4">
                  <c:v>Finance</c:v>
                </c:pt>
                <c:pt idx="5">
                  <c:v>E-commerce</c:v>
                </c:pt>
                <c:pt idx="6">
                  <c:v>Search</c:v>
                </c:pt>
              </c:strCache>
            </c:strRef>
          </c:cat>
          <c:val>
            <c:numRef>
              <c:f>'Category Analysis'!$N$38:$N$45</c:f>
              <c:numCache>
                <c:formatCode>0.00</c:formatCode>
                <c:ptCount val="7"/>
                <c:pt idx="0">
                  <c:v>94.882974358974337</c:v>
                </c:pt>
                <c:pt idx="1">
                  <c:v>34.437238095238087</c:v>
                </c:pt>
                <c:pt idx="2">
                  <c:v>34.378535353535355</c:v>
                </c:pt>
                <c:pt idx="3">
                  <c:v>34.142602040816328</c:v>
                </c:pt>
                <c:pt idx="4">
                  <c:v>33.906956521739112</c:v>
                </c:pt>
                <c:pt idx="5">
                  <c:v>33.896540284360206</c:v>
                </c:pt>
                <c:pt idx="6">
                  <c:v>33.830176678445198</c:v>
                </c:pt>
              </c:numCache>
            </c:numRef>
          </c:val>
          <c:extLst>
            <c:ext xmlns:c16="http://schemas.microsoft.com/office/drawing/2014/chart" uri="{C3380CC4-5D6E-409C-BE32-E72D297353CC}">
              <c16:uniqueId val="{00000000-7AF5-42B8-9F9B-914F338A6978}"/>
            </c:ext>
          </c:extLst>
        </c:ser>
        <c:dLbls>
          <c:dLblPos val="outEnd"/>
          <c:showLegendKey val="0"/>
          <c:showVal val="1"/>
          <c:showCatName val="0"/>
          <c:showSerName val="0"/>
          <c:showPercent val="0"/>
          <c:showBubbleSize val="0"/>
        </c:dLbls>
        <c:gapWidth val="182"/>
        <c:axId val="1257476399"/>
        <c:axId val="1257476879"/>
      </c:barChart>
      <c:catAx>
        <c:axId val="125747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bg1">
                    <a:lumMod val="50000"/>
                  </a:schemeClr>
                </a:solidFill>
                <a:latin typeface="+mn-lt"/>
                <a:ea typeface="+mn-ea"/>
                <a:cs typeface="+mn-cs"/>
              </a:defRPr>
            </a:pPr>
            <a:endParaRPr lang="en-US"/>
          </a:p>
        </c:txPr>
        <c:crossAx val="1257476879"/>
        <c:crosses val="autoZero"/>
        <c:auto val="1"/>
        <c:lblAlgn val="ctr"/>
        <c:lblOffset val="100"/>
        <c:noMultiLvlLbl val="0"/>
      </c:catAx>
      <c:valAx>
        <c:axId val="1257476879"/>
        <c:scaling>
          <c:orientation val="minMax"/>
        </c:scaling>
        <c:delete val="1"/>
        <c:axPos val="b"/>
        <c:numFmt formatCode="0.00" sourceLinked="1"/>
        <c:majorTickMark val="none"/>
        <c:minorTickMark val="none"/>
        <c:tickLblPos val="nextTo"/>
        <c:crossAx val="125747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[web_traffic_2026.xlsx]Tier Analysis!PivotTable13</c:name>
    <c:fmtId val="12"/>
  </c:pivotSource>
  <c:chart>
    <c:title>
      <c:tx>
        <c:rich>
          <a:bodyPr rot="0" spcFirstLastPara="1" vertOverflow="ellipsis" vert="horz" wrap="square" anchor="ctr" anchorCtr="1"/>
          <a:lstStyle/>
          <a:p>
            <a:pPr algn="ctr" rtl="0">
              <a:defRPr lang="en-IN" sz="1800" b="1" i="1" u="none" strike="noStrike" kern="1200" spc="0" baseline="0">
                <a:solidFill>
                  <a:srgbClr val="FF0000"/>
                </a:solidFill>
                <a:latin typeface="+mn-lt"/>
                <a:ea typeface="+mn-ea"/>
                <a:cs typeface="+mn-cs"/>
              </a:defRPr>
            </a:pPr>
            <a:r>
              <a:rPr lang="en-IN" sz="1800" b="1" i="1" u="none" strike="noStrike" kern="1200" spc="0" baseline="0">
                <a:solidFill>
                  <a:srgbClr val="FF0000"/>
                </a:solidFill>
                <a:latin typeface="+mn-lt"/>
                <a:ea typeface="+mn-ea"/>
                <a:cs typeface="+mn-cs"/>
              </a:rPr>
              <a:t>Traffic Share by Tier</a:t>
            </a:r>
          </a:p>
        </c:rich>
      </c:tx>
      <c:overlay val="0"/>
      <c:spPr>
        <a:noFill/>
        <a:ln>
          <a:noFill/>
        </a:ln>
        <a:effectLst/>
      </c:spPr>
      <c:txPr>
        <a:bodyPr rot="0" spcFirstLastPara="1" vertOverflow="ellipsis" vert="horz" wrap="square" anchor="ctr" anchorCtr="1"/>
        <a:lstStyle/>
        <a:p>
          <a:pPr algn="ctr" rtl="0">
            <a:defRPr lang="en-IN" sz="1800" b="1" i="1"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'Tier Analysis'!$B$20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6B-40D4-8005-0740F76512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6B-40D4-8005-0740F76512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6B-40D4-8005-0740F76512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6B-40D4-8005-0740F765124C}"/>
              </c:ext>
            </c:extLst>
          </c:dPt>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'Tier Analysis'!$A$21:$A$25</c:f>
              <c:strCache>
                <c:ptCount val="4"/>
                <c:pt idx="0">
                  <c:v>Bronze</c:v>
                </c:pt>
                <c:pt idx="1">
                  <c:v>Gold</c:v>
                </c:pt>
                <c:pt idx="2">
                  <c:v>Platinum</c:v>
                </c:pt>
                <c:pt idx="3">
                  <c:v>Sliver</c:v>
                </c:pt>
              </c:strCache>
            </c:strRef>
          </c:cat>
          <c:val>
            <c:numRef>
              <c:f>'Tier Analysis'!$B$21:$B$25</c:f>
              <c:numCache>
                <c:formatCode>0.00"%"</c:formatCode>
                <c:ptCount val="4"/>
                <c:pt idx="0">
                  <c:v>9566452096</c:v>
                </c:pt>
                <c:pt idx="1">
                  <c:v>16028548579</c:v>
                </c:pt>
                <c:pt idx="2">
                  <c:v>37159155560</c:v>
                </c:pt>
                <c:pt idx="3">
                  <c:v>13006955335</c:v>
                </c:pt>
              </c:numCache>
            </c:numRef>
          </c:val>
          <c:extLst>
            <c:ext xmlns:c16="http://schemas.microsoft.com/office/drawing/2014/chart" uri="{C3380CC4-5D6E-409C-BE32-E72D297353CC}">
              <c16:uniqueId val="{00000008-9D6B-40D4-8005-0740F765124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[web_traffic_2026.xlsx]Domain Analysis!PivotTable6</c:name>
    <c:fmtId val="48"/>
  </c:pivotSource>
  <c:chart>
    <c:title>
      <c:tx>
        <c:rich>
          <a:bodyPr rot="0" spcFirstLastPara="1" vertOverflow="ellipsis" vert="horz" wrap="square" anchor="ctr" anchorCtr="1"/>
          <a:lstStyle/>
          <a:p>
            <a:pPr algn="ctr" rtl="0">
              <a:defRPr lang="en-IN" sz="1800" b="1" i="1" u="none" strike="noStrike" kern="1200" spc="0" baseline="0">
                <a:solidFill>
                  <a:srgbClr val="FF0000"/>
                </a:solidFill>
                <a:latin typeface="+mn-lt"/>
                <a:ea typeface="+mn-ea"/>
                <a:cs typeface="+mn-cs"/>
              </a:defRPr>
            </a:pPr>
            <a:r>
              <a:rPr lang="en-IN" sz="1800" b="1" i="1" u="none" strike="noStrike" kern="1200" spc="0" baseline="0">
                <a:solidFill>
                  <a:srgbClr val="FF0000"/>
                </a:solidFill>
                <a:latin typeface="+mn-lt"/>
                <a:ea typeface="+mn-ea"/>
                <a:cs typeface="+mn-cs"/>
              </a:rPr>
              <a:t>Top 10 Most Engaged Website </a:t>
            </a:r>
          </a:p>
        </c:rich>
      </c:tx>
      <c:overlay val="0"/>
      <c:spPr>
        <a:noFill/>
        <a:ln>
          <a:noFill/>
        </a:ln>
        <a:effectLst/>
      </c:spPr>
      <c:txPr>
        <a:bodyPr rot="0" spcFirstLastPara="1" vertOverflow="ellipsis" vert="horz" wrap="square" anchor="ctr" anchorCtr="1"/>
        <a:lstStyle/>
        <a:p>
          <a:pPr algn="ctr" rtl="0">
            <a:defRPr lang="en-IN" sz="1800" b="1" i="1"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'Domain Analysis'!$N$40</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'Domain Analysis'!$M$41:$M$51</c:f>
              <c:strCache>
                <c:ptCount val="10"/>
                <c:pt idx="0">
                  <c:v>amazonvideo.com</c:v>
                </c:pt>
                <c:pt idx="1">
                  <c:v>google.com.hk</c:v>
                </c:pt>
                <c:pt idx="2">
                  <c:v>list-manage.com</c:v>
                </c:pt>
                <c:pt idx="3">
                  <c:v>motherless.com</c:v>
                </c:pt>
                <c:pt idx="4">
                  <c:v>ntppool.org</c:v>
                </c:pt>
                <c:pt idx="5">
                  <c:v>pornhub.com</c:v>
                </c:pt>
                <c:pt idx="6">
                  <c:v>safebrowsing.apple</c:v>
                </c:pt>
                <c:pt idx="7">
                  <c:v>unity3d.com</c:v>
                </c:pt>
                <c:pt idx="8">
                  <c:v>wattpad.com</c:v>
                </c:pt>
                <c:pt idx="9">
                  <c:v>xhamster2.com</c:v>
                </c:pt>
              </c:strCache>
            </c:strRef>
          </c:cat>
          <c:val>
            <c:numRef>
              <c:f>'Domain Analysis'!$N$41:$N$51</c:f>
              <c:numCache>
                <c:formatCode>General</c:formatCode>
                <c:ptCount val="10"/>
                <c:pt idx="0">
                  <c:v>153.44</c:v>
                </c:pt>
                <c:pt idx="1">
                  <c:v>148.63</c:v>
                </c:pt>
                <c:pt idx="2">
                  <c:v>156.83000000000001</c:v>
                </c:pt>
                <c:pt idx="3">
                  <c:v>168.75</c:v>
                </c:pt>
                <c:pt idx="4">
                  <c:v>142.49</c:v>
                </c:pt>
                <c:pt idx="5">
                  <c:v>160.24</c:v>
                </c:pt>
                <c:pt idx="6">
                  <c:v>149.80000000000001</c:v>
                </c:pt>
                <c:pt idx="7">
                  <c:v>145.06</c:v>
                </c:pt>
                <c:pt idx="8">
                  <c:v>141.32</c:v>
                </c:pt>
                <c:pt idx="9">
                  <c:v>169.18</c:v>
                </c:pt>
              </c:numCache>
            </c:numRef>
          </c:val>
          <c:extLst>
            <c:ext xmlns:c16="http://schemas.microsoft.com/office/drawing/2014/chart" uri="{C3380CC4-5D6E-409C-BE32-E72D297353CC}">
              <c16:uniqueId val="{00000000-8BEF-4455-9FC5-3777A61E900F}"/>
            </c:ext>
          </c:extLst>
        </c:ser>
        <c:dLbls>
          <c:dLblPos val="outEnd"/>
          <c:showLegendKey val="0"/>
          <c:showVal val="1"/>
          <c:showCatName val="0"/>
          <c:showSerName val="0"/>
          <c:showPercent val="0"/>
          <c:showBubbleSize val="0"/>
        </c:dLbls>
        <c:gapWidth val="219"/>
        <c:axId val="640851520"/>
        <c:axId val="640853440"/>
      </c:barChart>
      <c:catAx>
        <c:axId val="640851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bg1">
                    <a:lumMod val="50000"/>
                  </a:schemeClr>
                </a:solidFill>
                <a:latin typeface="+mn-lt"/>
                <a:ea typeface="+mn-ea"/>
                <a:cs typeface="+mn-cs"/>
              </a:defRPr>
            </a:pPr>
            <a:endParaRPr lang="en-US"/>
          </a:p>
        </c:txPr>
        <c:crossAx val="640853440"/>
        <c:crosses val="autoZero"/>
        <c:auto val="1"/>
        <c:lblAlgn val="ctr"/>
        <c:lblOffset val="100"/>
        <c:noMultiLvlLbl val="0"/>
      </c:catAx>
      <c:valAx>
        <c:axId val="640853440"/>
        <c:scaling>
          <c:orientation val="minMax"/>
        </c:scaling>
        <c:delete val="1"/>
        <c:axPos val="b"/>
        <c:numFmt formatCode="General" sourceLinked="1"/>
        <c:majorTickMark val="none"/>
        <c:minorTickMark val="none"/>
        <c:tickLblPos val="nextTo"/>
        <c:crossAx val="64085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Traffic By 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Traffic By Category</a:t>
          </a:r>
        </a:p>
      </cx:txPr>
    </cx:title>
    <cx:plotArea>
      <cx:plotAreaRegion>
        <cx:series layoutId="treemap" uniqueId="{7E35A0F3-EBDF-44AF-BBA2-D1EE36D360D3}">
          <cx:tx>
            <cx:txData>
              <cx:f>_xlchart.v1.1</cx:f>
              <cx:v>Sum of monthly_visits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_xlchart.v1.4</cx:f>
      </cx:numDim>
    </cx:data>
  </cx:chartData>
  <cx:chart>
    <cx:title pos="t" align="ctr" overlay="0">
      <cx:tx>
        <cx:txData>
          <cx:v>Monthly visits By Market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Monthly visits By Market </a:t>
          </a:r>
        </a:p>
      </cx:txPr>
    </cx:title>
    <cx:plotArea>
      <cx:plotAreaRegion>
        <cx:series layoutId="treemap" uniqueId="{4F869F92-613F-4888-B6BF-7202BBD77024}">
          <cx:tx>
            <cx:txData>
              <cx:f>_xlchart.v1.3</cx:f>
              <cx:v>Average of monthly_visits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txData>
          <cx:v> Traffic Share By Tier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 Traffic Share By Tier </a:t>
          </a:r>
        </a:p>
      </cx:txPr>
    </cx:title>
    <cx:plotArea>
      <cx:plotAreaRegion>
        <cx:series layoutId="treemap" uniqueId="{51419804-DB69-41A8-A8DA-40D0FDA6FB04}">
          <cx:tx>
            <cx:txData>
              <cx:f>_xlchart.v1.7</cx:f>
              <cx:v>Sum of monthly_visits</cx:v>
            </cx:txData>
          </cx:tx>
          <cx:dataLabels pos="inEnd"/>
          <cx:dataId val="0"/>
          <cx:layoutPr>
            <cx:parentLabelLayout val="overlapping"/>
          </cx:layoutPr>
        </cx:series>
      </cx:plotAreaRegion>
    </cx:plotArea>
    <cx:legend pos="r"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tx>
        <cx:rich>
          <a:bodyPr spcFirstLastPara="1" vertOverflow="ellipsis" horzOverflow="overflow" wrap="square" lIns="0" tIns="0" rIns="0" bIns="0" anchor="ctr" anchorCtr="1"/>
          <a:lstStyle/>
          <a:p>
            <a:pPr algn="ctr" rtl="0">
              <a:defRPr/>
            </a:pPr>
            <a:r>
              <a:rPr lang="en-US" sz="1800" b="1" i="1" u="none" strike="noStrike" kern="1200" spc="0" baseline="0">
                <a:solidFill>
                  <a:srgbClr val="FF0000"/>
                </a:solidFill>
                <a:latin typeface="+mn-lt"/>
                <a:ea typeface="+mn-ea"/>
                <a:cs typeface="+mn-cs"/>
              </a:rPr>
              <a:t>Traffic</a:t>
            </a:r>
            <a:r>
              <a:rPr lang="en-US" sz="1400" b="0" i="0" u="none" strike="noStrike" baseline="0">
                <a:solidFill>
                  <a:sysClr val="windowText" lastClr="000000">
                    <a:lumMod val="65000"/>
                    <a:lumOff val="35000"/>
                  </a:sysClr>
                </a:solidFill>
                <a:latin typeface="Calibri" panose="020F0502020204030204"/>
              </a:rPr>
              <a:t> </a:t>
            </a:r>
            <a:r>
              <a:rPr lang="en-US" sz="1800" b="1" i="1" u="none" strike="noStrike" kern="1200" spc="0" baseline="0">
                <a:solidFill>
                  <a:srgbClr val="FF0000"/>
                </a:solidFill>
                <a:latin typeface="+mn-lt"/>
                <a:ea typeface="+mn-ea"/>
                <a:cs typeface="+mn-cs"/>
              </a:rPr>
              <a:t>By</a:t>
            </a:r>
            <a:r>
              <a:rPr lang="en-US" sz="1400" b="0" i="0" u="none" strike="noStrike" baseline="0">
                <a:solidFill>
                  <a:sysClr val="windowText" lastClr="000000">
                    <a:lumMod val="65000"/>
                    <a:lumOff val="35000"/>
                  </a:sysClr>
                </a:solidFill>
                <a:latin typeface="Calibri" panose="020F0502020204030204"/>
              </a:rPr>
              <a:t> </a:t>
            </a:r>
            <a:r>
              <a:rPr lang="en-US" sz="1800" b="1" i="1" u="none" strike="noStrike" kern="1200" spc="0" baseline="0">
                <a:solidFill>
                  <a:srgbClr val="FF0000"/>
                </a:solidFill>
                <a:latin typeface="+mn-lt"/>
                <a:ea typeface="+mn-ea"/>
                <a:cs typeface="+mn-cs"/>
              </a:rPr>
              <a:t>Category</a:t>
            </a:r>
          </a:p>
        </cx:rich>
      </cx:tx>
    </cx:title>
    <cx:plotArea>
      <cx:plotAreaRegion>
        <cx:series layoutId="treemap" uniqueId="{7E35A0F3-EBDF-44AF-BBA2-D1EE36D360D3}">
          <cx:tx>
            <cx:txData>
              <cx:f>_xlchart.v1.10</cx:f>
              <cx:v>Sum of monthly_visits</cx:v>
            </cx:txData>
          </cx:tx>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withinLinear" id="17">
  <a:schemeClr val="accent4"/>
</cs:colorStyle>
</file>

<file path=xl/charts/colors3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microsoft.com/office/2014/relationships/chartEx" Target="../charts/chartEx1.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7" Type="http://schemas.microsoft.com/office/2014/relationships/chartEx" Target="../charts/chartEx2.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7" Type="http://schemas.microsoft.com/office/2014/relationships/chartEx" Target="../charts/chartEx3.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6" Type="http://schemas.microsoft.com/office/2014/relationships/chartEx" Target="../charts/chartEx4.xml"/><Relationship Id="rId5" Type="http://schemas.openxmlformats.org/officeDocument/2006/relationships/chart" Target="../charts/chart29.xml"/><Relationship Id="rId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2</xdr:col>
      <xdr:colOff>533400</xdr:colOff>
      <xdr:row>0</xdr:row>
      <xdr:rowOff>100012</xdr:rowOff>
    </xdr:from>
    <xdr:to>
      <xdr:col>10</xdr:col>
      <xdr:colOff>228600</xdr:colOff>
      <xdr:row>14</xdr:row>
      <xdr:rowOff>176212</xdr:rowOff>
    </xdr:to>
    <xdr:graphicFrame macro="">
      <xdr:nvGraphicFramePr>
        <xdr:cNvPr id="2" name="Chart 1">
          <a:extLst>
            <a:ext uri="{FF2B5EF4-FFF2-40B4-BE49-F238E27FC236}">
              <a16:creationId xmlns:a16="http://schemas.microsoft.com/office/drawing/2014/main" id="{25B75FE8-E4CD-C1E5-8284-1E562A7C2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390525</xdr:colOff>
      <xdr:row>17</xdr:row>
      <xdr:rowOff>61912</xdr:rowOff>
    </xdr:from>
    <xdr:to>
      <xdr:col>10</xdr:col>
      <xdr:colOff>85725</xdr:colOff>
      <xdr:row>31</xdr:row>
      <xdr:rowOff>138112</xdr:rowOff>
    </xdr:to>
    <xdr:graphicFrame macro="">
      <xdr:nvGraphicFramePr>
        <xdr:cNvPr id="3" name="Chart 2">
          <a:extLst>
            <a:ext uri="{FF2B5EF4-FFF2-40B4-BE49-F238E27FC236}">
              <a16:creationId xmlns:a16="http://schemas.microsoft.com/office/drawing/2014/main" id="{3C685CA6-98D8-76E4-509A-A732FB9972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498285</xdr:colOff>
      <xdr:row>38</xdr:row>
      <xdr:rowOff>43289</xdr:rowOff>
    </xdr:from>
    <xdr:to>
      <xdr:col>10</xdr:col>
      <xdr:colOff>189647</xdr:colOff>
      <xdr:row>52</xdr:row>
      <xdr:rowOff>113801</xdr:rowOff>
    </xdr:to>
    <xdr:graphicFrame macro="">
      <xdr:nvGraphicFramePr>
        <xdr:cNvPr id="4" name="Chart 3">
          <a:extLst>
            <a:ext uri="{FF2B5EF4-FFF2-40B4-BE49-F238E27FC236}">
              <a16:creationId xmlns:a16="http://schemas.microsoft.com/office/drawing/2014/main" id="{D9B80213-4A7E-3421-D956-8DFA855964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295275</xdr:colOff>
      <xdr:row>18</xdr:row>
      <xdr:rowOff>71437</xdr:rowOff>
    </xdr:from>
    <xdr:to>
      <xdr:col>19</xdr:col>
      <xdr:colOff>171450</xdr:colOff>
      <xdr:row>32</xdr:row>
      <xdr:rowOff>147637</xdr:rowOff>
    </xdr:to>
    <xdr:graphicFrame macro="">
      <xdr:nvGraphicFramePr>
        <xdr:cNvPr id="5" name="Chart 4">
          <a:extLst>
            <a:ext uri="{FF2B5EF4-FFF2-40B4-BE49-F238E27FC236}">
              <a16:creationId xmlns:a16="http://schemas.microsoft.com/office/drawing/2014/main" id="{9FBADC95-A0F2-C577-C9A1-1810402DD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730866</xdr:colOff>
      <xdr:row>57</xdr:row>
      <xdr:rowOff>19403</xdr:rowOff>
    </xdr:from>
    <xdr:to>
      <xdr:col>19</xdr:col>
      <xdr:colOff>609173</xdr:colOff>
      <xdr:row>71</xdr:row>
      <xdr:rowOff>95604</xdr:rowOff>
    </xdr:to>
    <xdr:graphicFrame macro="">
      <xdr:nvGraphicFramePr>
        <xdr:cNvPr id="6" name="Chart 5">
          <a:extLst>
            <a:ext uri="{FF2B5EF4-FFF2-40B4-BE49-F238E27FC236}">
              <a16:creationId xmlns:a16="http://schemas.microsoft.com/office/drawing/2014/main" id="{5750FC54-A33F-9D50-0FBA-FCB85E070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381000</xdr:colOff>
      <xdr:row>37</xdr:row>
      <xdr:rowOff>100012</xdr:rowOff>
    </xdr:from>
    <xdr:to>
      <xdr:col>19</xdr:col>
      <xdr:colOff>257175</xdr:colOff>
      <xdr:row>51</xdr:row>
      <xdr:rowOff>176212</xdr:rowOff>
    </xdr:to>
    <xdr:graphicFrame macro="">
      <xdr:nvGraphicFramePr>
        <xdr:cNvPr id="7" name="Chart 6">
          <a:extLst>
            <a:ext uri="{FF2B5EF4-FFF2-40B4-BE49-F238E27FC236}">
              <a16:creationId xmlns:a16="http://schemas.microsoft.com/office/drawing/2014/main" id="{5FD62F4A-E02E-7554-1975-3714432E73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418854</xdr:colOff>
      <xdr:row>1</xdr:row>
      <xdr:rowOff>69361</xdr:rowOff>
    </xdr:from>
    <xdr:to>
      <xdr:col>10</xdr:col>
      <xdr:colOff>106239</xdr:colOff>
      <xdr:row>15</xdr:row>
      <xdr:rowOff>77177</xdr:rowOff>
    </xdr:to>
    <xdr:graphicFrame macro="">
      <xdr:nvGraphicFramePr>
        <xdr:cNvPr id="2" name="Chart 1">
          <a:extLst>
            <a:ext uri="{FF2B5EF4-FFF2-40B4-BE49-F238E27FC236}">
              <a16:creationId xmlns:a16="http://schemas.microsoft.com/office/drawing/2014/main" id="{4938F0D5-3C2F-457C-918D-5113AF70D2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414167</xdr:colOff>
      <xdr:row>16</xdr:row>
      <xdr:rowOff>108176</xdr:rowOff>
    </xdr:from>
    <xdr:to>
      <xdr:col>10</xdr:col>
      <xdr:colOff>314666</xdr:colOff>
      <xdr:row>30</xdr:row>
      <xdr:rowOff>8505</xdr:rowOff>
    </xdr:to>
    <xdr:graphicFrame macro="">
      <xdr:nvGraphicFramePr>
        <xdr:cNvPr id="3" name="Chart 2">
          <a:extLst>
            <a:ext uri="{FF2B5EF4-FFF2-40B4-BE49-F238E27FC236}">
              <a16:creationId xmlns:a16="http://schemas.microsoft.com/office/drawing/2014/main" id="{29799460-7DBF-8F9C-4747-116461D85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273843</xdr:colOff>
      <xdr:row>0</xdr:row>
      <xdr:rowOff>48646</xdr:rowOff>
    </xdr:from>
    <xdr:to>
      <xdr:col>21</xdr:col>
      <xdr:colOff>204107</xdr:colOff>
      <xdr:row>14</xdr:row>
      <xdr:rowOff>42522</xdr:rowOff>
    </xdr:to>
    <xdr:graphicFrame macro="">
      <xdr:nvGraphicFramePr>
        <xdr:cNvPr id="4" name="Chart 3">
          <a:extLst>
            <a:ext uri="{FF2B5EF4-FFF2-40B4-BE49-F238E27FC236}">
              <a16:creationId xmlns:a16="http://schemas.microsoft.com/office/drawing/2014/main" id="{8A4E2C7A-BD97-F957-C5E5-1F8C861B6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256835</xdr:colOff>
      <xdr:row>15</xdr:row>
      <xdr:rowOff>184717</xdr:rowOff>
    </xdr:from>
    <xdr:to>
      <xdr:col>21</xdr:col>
      <xdr:colOff>542585</xdr:colOff>
      <xdr:row>30</xdr:row>
      <xdr:rowOff>121444</xdr:rowOff>
    </xdr:to>
    <xdr:graphicFrame macro="">
      <xdr:nvGraphicFramePr>
        <xdr:cNvPr id="5" name="Chart 4">
          <a:extLst>
            <a:ext uri="{FF2B5EF4-FFF2-40B4-BE49-F238E27FC236}">
              <a16:creationId xmlns:a16="http://schemas.microsoft.com/office/drawing/2014/main" id="{CCB3EBE1-CB5B-01BE-B46A-A7510EB60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443932</xdr:colOff>
      <xdr:row>32</xdr:row>
      <xdr:rowOff>65654</xdr:rowOff>
    </xdr:from>
    <xdr:to>
      <xdr:col>10</xdr:col>
      <xdr:colOff>117361</xdr:colOff>
      <xdr:row>47</xdr:row>
      <xdr:rowOff>2381</xdr:rowOff>
    </xdr:to>
    <xdr:graphicFrame macro="">
      <xdr:nvGraphicFramePr>
        <xdr:cNvPr id="6" name="Chart 5">
          <a:extLst>
            <a:ext uri="{FF2B5EF4-FFF2-40B4-BE49-F238E27FC236}">
              <a16:creationId xmlns:a16="http://schemas.microsoft.com/office/drawing/2014/main" id="{471D1A9B-1275-4480-55B7-349D265455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197303</xdr:colOff>
      <xdr:row>33</xdr:row>
      <xdr:rowOff>176213</xdr:rowOff>
    </xdr:from>
    <xdr:to>
      <xdr:col>21</xdr:col>
      <xdr:colOff>483053</xdr:colOff>
      <xdr:row>48</xdr:row>
      <xdr:rowOff>112940</xdr:rowOff>
    </xdr:to>
    <xdr:graphicFrame macro="">
      <xdr:nvGraphicFramePr>
        <xdr:cNvPr id="7" name="Chart 6">
          <a:extLst>
            <a:ext uri="{FF2B5EF4-FFF2-40B4-BE49-F238E27FC236}">
              <a16:creationId xmlns:a16="http://schemas.microsoft.com/office/drawing/2014/main" id="{9ABCEDB0-EA5C-CF9F-CF55-4A3D86AA55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342418</xdr:colOff>
      <xdr:row>20</xdr:row>
      <xdr:rowOff>45092</xdr:rowOff>
    </xdr:from>
    <xdr:to>
      <xdr:col>26</xdr:col>
      <xdr:colOff>537740</xdr:colOff>
      <xdr:row>34</xdr:row>
      <xdr:rowOff>87533</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10CBF4C-4CD3-1B3B-7C4D-C016FA8396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8706618" y="3855092"/>
              <a:ext cx="4557772" cy="270944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0</xdr:row>
      <xdr:rowOff>80962</xdr:rowOff>
    </xdr:from>
    <xdr:to>
      <xdr:col>10</xdr:col>
      <xdr:colOff>314325</xdr:colOff>
      <xdr:row>14</xdr:row>
      <xdr:rowOff>157162</xdr:rowOff>
    </xdr:to>
    <xdr:graphicFrame macro="">
      <xdr:nvGraphicFramePr>
        <xdr:cNvPr id="2" name="Chart 1">
          <a:extLst>
            <a:ext uri="{FF2B5EF4-FFF2-40B4-BE49-F238E27FC236}">
              <a16:creationId xmlns:a16="http://schemas.microsoft.com/office/drawing/2014/main" id="{5C6CBE23-3E31-C8AC-D54C-869616964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576262</xdr:colOff>
      <xdr:row>16</xdr:row>
      <xdr:rowOff>176212</xdr:rowOff>
    </xdr:from>
    <xdr:to>
      <xdr:col>10</xdr:col>
      <xdr:colOff>271462</xdr:colOff>
      <xdr:row>31</xdr:row>
      <xdr:rowOff>61912</xdr:rowOff>
    </xdr:to>
    <xdr:graphicFrame macro="">
      <xdr:nvGraphicFramePr>
        <xdr:cNvPr id="3" name="Chart 2">
          <a:extLst>
            <a:ext uri="{FF2B5EF4-FFF2-40B4-BE49-F238E27FC236}">
              <a16:creationId xmlns:a16="http://schemas.microsoft.com/office/drawing/2014/main" id="{A186F00C-904D-F87C-5C1B-E534C27477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366712</xdr:colOff>
      <xdr:row>0</xdr:row>
      <xdr:rowOff>42862</xdr:rowOff>
    </xdr:from>
    <xdr:to>
      <xdr:col>22</xdr:col>
      <xdr:colOff>61912</xdr:colOff>
      <xdr:row>14</xdr:row>
      <xdr:rowOff>119062</xdr:rowOff>
    </xdr:to>
    <xdr:graphicFrame macro="">
      <xdr:nvGraphicFramePr>
        <xdr:cNvPr id="4" name="Chart 3">
          <a:extLst>
            <a:ext uri="{FF2B5EF4-FFF2-40B4-BE49-F238E27FC236}">
              <a16:creationId xmlns:a16="http://schemas.microsoft.com/office/drawing/2014/main" id="{7AF931A1-C5B5-62F6-2BE5-9983B0F02C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395287</xdr:colOff>
      <xdr:row>18</xdr:row>
      <xdr:rowOff>33337</xdr:rowOff>
    </xdr:from>
    <xdr:to>
      <xdr:col>22</xdr:col>
      <xdr:colOff>90487</xdr:colOff>
      <xdr:row>32</xdr:row>
      <xdr:rowOff>109537</xdr:rowOff>
    </xdr:to>
    <xdr:graphicFrame macro="">
      <xdr:nvGraphicFramePr>
        <xdr:cNvPr id="5" name="Chart 4">
          <a:extLst>
            <a:ext uri="{FF2B5EF4-FFF2-40B4-BE49-F238E27FC236}">
              <a16:creationId xmlns:a16="http://schemas.microsoft.com/office/drawing/2014/main" id="{C027744E-21DE-42B8-29F6-017310D75E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285750</xdr:colOff>
      <xdr:row>34</xdr:row>
      <xdr:rowOff>128587</xdr:rowOff>
    </xdr:from>
    <xdr:to>
      <xdr:col>9</xdr:col>
      <xdr:colOff>590550</xdr:colOff>
      <xdr:row>49</xdr:row>
      <xdr:rowOff>14287</xdr:rowOff>
    </xdr:to>
    <xdr:graphicFrame macro="">
      <xdr:nvGraphicFramePr>
        <xdr:cNvPr id="6" name="Chart 5">
          <a:extLst>
            <a:ext uri="{FF2B5EF4-FFF2-40B4-BE49-F238E27FC236}">
              <a16:creationId xmlns:a16="http://schemas.microsoft.com/office/drawing/2014/main" id="{52EABC17-15AF-8AAA-B8A2-080E9F378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438150</xdr:colOff>
      <xdr:row>36</xdr:row>
      <xdr:rowOff>14287</xdr:rowOff>
    </xdr:from>
    <xdr:to>
      <xdr:col>22</xdr:col>
      <xdr:colOff>133350</xdr:colOff>
      <xdr:row>50</xdr:row>
      <xdr:rowOff>90487</xdr:rowOff>
    </xdr:to>
    <xdr:graphicFrame macro="">
      <xdr:nvGraphicFramePr>
        <xdr:cNvPr id="7" name="Chart 6">
          <a:extLst>
            <a:ext uri="{FF2B5EF4-FFF2-40B4-BE49-F238E27FC236}">
              <a16:creationId xmlns:a16="http://schemas.microsoft.com/office/drawing/2014/main" id="{DAFED0D2-F313-0BD7-C45E-18E844B271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129885</xdr:colOff>
      <xdr:row>2</xdr:row>
      <xdr:rowOff>31173</xdr:rowOff>
    </xdr:from>
    <xdr:to>
      <xdr:col>34</xdr:col>
      <xdr:colOff>458931</xdr:colOff>
      <xdr:row>16</xdr:row>
      <xdr:rowOff>107373</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7E1D67A2-473C-1028-9AA1-5EA623111A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0894385" y="412173"/>
              <a:ext cx="4596246"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xdr:colOff>
      <xdr:row>0</xdr:row>
      <xdr:rowOff>52387</xdr:rowOff>
    </xdr:from>
    <xdr:to>
      <xdr:col>10</xdr:col>
      <xdr:colOff>314325</xdr:colOff>
      <xdr:row>14</xdr:row>
      <xdr:rowOff>128587</xdr:rowOff>
    </xdr:to>
    <xdr:graphicFrame macro="">
      <xdr:nvGraphicFramePr>
        <xdr:cNvPr id="2" name="Chart 1">
          <a:extLst>
            <a:ext uri="{FF2B5EF4-FFF2-40B4-BE49-F238E27FC236}">
              <a16:creationId xmlns:a16="http://schemas.microsoft.com/office/drawing/2014/main" id="{E7C02B19-CA3F-766D-4D39-6850EAAAE9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28575</xdr:colOff>
      <xdr:row>17</xdr:row>
      <xdr:rowOff>14287</xdr:rowOff>
    </xdr:from>
    <xdr:to>
      <xdr:col>10</xdr:col>
      <xdr:colOff>333375</xdr:colOff>
      <xdr:row>31</xdr:row>
      <xdr:rowOff>90487</xdr:rowOff>
    </xdr:to>
    <xdr:graphicFrame macro="">
      <xdr:nvGraphicFramePr>
        <xdr:cNvPr id="3" name="Chart 2">
          <a:extLst>
            <a:ext uri="{FF2B5EF4-FFF2-40B4-BE49-F238E27FC236}">
              <a16:creationId xmlns:a16="http://schemas.microsoft.com/office/drawing/2014/main" id="{39CC50B0-16A6-3A40-068C-495B676BB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157162</xdr:colOff>
      <xdr:row>0</xdr:row>
      <xdr:rowOff>80962</xdr:rowOff>
    </xdr:from>
    <xdr:to>
      <xdr:col>21</xdr:col>
      <xdr:colOff>461962</xdr:colOff>
      <xdr:row>14</xdr:row>
      <xdr:rowOff>157162</xdr:rowOff>
    </xdr:to>
    <xdr:graphicFrame macro="">
      <xdr:nvGraphicFramePr>
        <xdr:cNvPr id="4" name="Chart 3">
          <a:extLst>
            <a:ext uri="{FF2B5EF4-FFF2-40B4-BE49-F238E27FC236}">
              <a16:creationId xmlns:a16="http://schemas.microsoft.com/office/drawing/2014/main" id="{0A619FEC-86A5-0D39-5797-8BB37BBEB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223837</xdr:colOff>
      <xdr:row>16</xdr:row>
      <xdr:rowOff>109537</xdr:rowOff>
    </xdr:from>
    <xdr:to>
      <xdr:col>21</xdr:col>
      <xdr:colOff>528637</xdr:colOff>
      <xdr:row>30</xdr:row>
      <xdr:rowOff>185737</xdr:rowOff>
    </xdr:to>
    <xdr:graphicFrame macro="">
      <xdr:nvGraphicFramePr>
        <xdr:cNvPr id="5" name="Chart 4">
          <a:extLst>
            <a:ext uri="{FF2B5EF4-FFF2-40B4-BE49-F238E27FC236}">
              <a16:creationId xmlns:a16="http://schemas.microsoft.com/office/drawing/2014/main" id="{1187B645-E560-7513-6A49-BC9FB3122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514350</xdr:colOff>
      <xdr:row>33</xdr:row>
      <xdr:rowOff>33337</xdr:rowOff>
    </xdr:from>
    <xdr:to>
      <xdr:col>10</xdr:col>
      <xdr:colOff>209550</xdr:colOff>
      <xdr:row>47</xdr:row>
      <xdr:rowOff>109537</xdr:rowOff>
    </xdr:to>
    <xdr:graphicFrame macro="">
      <xdr:nvGraphicFramePr>
        <xdr:cNvPr id="6" name="Chart 5">
          <a:extLst>
            <a:ext uri="{FF2B5EF4-FFF2-40B4-BE49-F238E27FC236}">
              <a16:creationId xmlns:a16="http://schemas.microsoft.com/office/drawing/2014/main" id="{F9358731-5804-6E8A-9210-934B34C03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314325</xdr:colOff>
      <xdr:row>32</xdr:row>
      <xdr:rowOff>157162</xdr:rowOff>
    </xdr:from>
    <xdr:to>
      <xdr:col>22</xdr:col>
      <xdr:colOff>9525</xdr:colOff>
      <xdr:row>47</xdr:row>
      <xdr:rowOff>42862</xdr:rowOff>
    </xdr:to>
    <xdr:graphicFrame macro="">
      <xdr:nvGraphicFramePr>
        <xdr:cNvPr id="7" name="Chart 6">
          <a:extLst>
            <a:ext uri="{FF2B5EF4-FFF2-40B4-BE49-F238E27FC236}">
              <a16:creationId xmlns:a16="http://schemas.microsoft.com/office/drawing/2014/main" id="{AFF8E497-BBA0-AA17-A4D9-04ED76B016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363428</xdr:colOff>
      <xdr:row>3</xdr:row>
      <xdr:rowOff>1663</xdr:rowOff>
    </xdr:from>
    <xdr:to>
      <xdr:col>34</xdr:col>
      <xdr:colOff>52709</xdr:colOff>
      <xdr:row>17</xdr:row>
      <xdr:rowOff>26077</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C044DE2C-31CB-2E76-6ED7-E03AF08DCE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0346878" y="573163"/>
              <a:ext cx="4566081" cy="269141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219075</xdr:colOff>
      <xdr:row>1</xdr:row>
      <xdr:rowOff>171450</xdr:rowOff>
    </xdr:from>
    <xdr:to>
      <xdr:col>10</xdr:col>
      <xdr:colOff>219075</xdr:colOff>
      <xdr:row>15</xdr:row>
      <xdr:rowOff>28575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AA09686E-26C8-E167-5A9A-F108D19C09D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381875" y="361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742950</xdr:colOff>
      <xdr:row>17</xdr:row>
      <xdr:rowOff>76200</xdr:rowOff>
    </xdr:from>
    <xdr:to>
      <xdr:col>8</xdr:col>
      <xdr:colOff>571500</xdr:colOff>
      <xdr:row>30</xdr:row>
      <xdr:rowOff>123825</xdr:rowOff>
    </xdr:to>
    <mc:AlternateContent xmlns:mc="http://schemas.openxmlformats.org/markup-compatibility/2006" xmlns:a14="http://schemas.microsoft.com/office/drawing/2010/main">
      <mc:Choice Requires="a14">
        <xdr:graphicFrame macro="">
          <xdr:nvGraphicFramePr>
            <xdr:cNvPr id="3" name="primary_market">
              <a:extLst>
                <a:ext uri="{FF2B5EF4-FFF2-40B4-BE49-F238E27FC236}">
                  <a16:creationId xmlns:a16="http://schemas.microsoft.com/office/drawing/2014/main" id="{AB2ADFCD-E2B4-5DD0-06ED-18385AC05B1B}"/>
                </a:ext>
              </a:extLst>
            </xdr:cNvPr>
            <xdr:cNvGraphicFramePr/>
          </xdr:nvGraphicFramePr>
          <xdr:xfrm>
            <a:off x="0" y="0"/>
            <a:ext cx="0" cy="0"/>
          </xdr:xfrm>
          <a:graphic>
            <a:graphicData uri="http://schemas.microsoft.com/office/drawing/2010/slicer">
              <sle:slicer xmlns:sle="http://schemas.microsoft.com/office/drawing/2010/slicer" name="primary_market"/>
            </a:graphicData>
          </a:graphic>
        </xdr:graphicFrame>
      </mc:Choice>
      <mc:Fallback xmlns="">
        <xdr:sp macro="" textlink="">
          <xdr:nvSpPr>
            <xdr:cNvPr id="0" name=""/>
            <xdr:cNvSpPr>
              <a:spLocks noTextEdit="1"/>
            </xdr:cNvSpPr>
          </xdr:nvSpPr>
          <xdr:spPr>
            <a:xfrm>
              <a:off x="6515100" y="3314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447675</xdr:colOff>
      <xdr:row>12</xdr:row>
      <xdr:rowOff>38100</xdr:rowOff>
    </xdr:from>
    <xdr:to>
      <xdr:col>13</xdr:col>
      <xdr:colOff>447675</xdr:colOff>
      <xdr:row>25</xdr:row>
      <xdr:rowOff>85725</xdr:rowOff>
    </xdr:to>
    <mc:AlternateContent xmlns:mc="http://schemas.openxmlformats.org/markup-compatibility/2006" xmlns:a14="http://schemas.microsoft.com/office/drawing/2010/main">
      <mc:Choice Requires="a14">
        <xdr:graphicFrame macro="">
          <xdr:nvGraphicFramePr>
            <xdr:cNvPr id="4" name="traffic_tier">
              <a:extLst>
                <a:ext uri="{FF2B5EF4-FFF2-40B4-BE49-F238E27FC236}">
                  <a16:creationId xmlns:a16="http://schemas.microsoft.com/office/drawing/2014/main" id="{94409150-DC16-2988-5CCF-387CB104C111}"/>
                </a:ext>
              </a:extLst>
            </xdr:cNvPr>
            <xdr:cNvGraphicFramePr/>
          </xdr:nvGraphicFramePr>
          <xdr:xfrm>
            <a:off x="0" y="0"/>
            <a:ext cx="0" cy="0"/>
          </xdr:xfrm>
          <a:graphic>
            <a:graphicData uri="http://schemas.microsoft.com/office/drawing/2010/slicer">
              <sle:slicer xmlns:sle="http://schemas.microsoft.com/office/drawing/2010/slicer" name="traffic_tier"/>
            </a:graphicData>
          </a:graphic>
        </xdr:graphicFrame>
      </mc:Choice>
      <mc:Fallback xmlns="">
        <xdr:sp macro="" textlink="">
          <xdr:nvSpPr>
            <xdr:cNvPr id="0" name=""/>
            <xdr:cNvSpPr>
              <a:spLocks noTextEdit="1"/>
            </xdr:cNvSpPr>
          </xdr:nvSpPr>
          <xdr:spPr>
            <a:xfrm>
              <a:off x="9439275" y="2324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147366</xdr:colOff>
      <xdr:row>3</xdr:row>
      <xdr:rowOff>10073</xdr:rowOff>
    </xdr:from>
    <xdr:to>
      <xdr:col>4</xdr:col>
      <xdr:colOff>195385</xdr:colOff>
      <xdr:row>9</xdr:row>
      <xdr:rowOff>146538</xdr:rowOff>
    </xdr:to>
    <xdr:sp macro="" textlink="">
      <xdr:nvSpPr>
        <xdr:cNvPr id="2" name="Rectangle: Rounded Corners 1">
          <a:extLst>
            <a:ext uri="{FF2B5EF4-FFF2-40B4-BE49-F238E27FC236}">
              <a16:creationId xmlns:a16="http://schemas.microsoft.com/office/drawing/2014/main" id="{AF52AF97-2BBD-C246-FF1B-27A08FCB95B9}"/>
            </a:ext>
          </a:extLst>
        </xdr:cNvPr>
        <xdr:cNvSpPr/>
      </xdr:nvSpPr>
      <xdr:spPr>
        <a:xfrm>
          <a:off x="147366" y="779400"/>
          <a:ext cx="2502538" cy="1308773"/>
        </a:xfrm>
        <a:prstGeom prst="roundRect">
          <a:avLst/>
        </a:prstGeom>
        <a:solidFill>
          <a:srgbClr val="E8F4F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1600" b="1">
              <a:solidFill>
                <a:schemeClr val="tx1"/>
              </a:solidFill>
              <a:latin typeface="Times New Roman" panose="02020603050405020304" pitchFamily="18" charset="0"/>
              <a:cs typeface="Times New Roman" panose="02020603050405020304" pitchFamily="18" charset="0"/>
            </a:rPr>
            <a:t>Total</a:t>
          </a:r>
          <a:r>
            <a:rPr lang="en-IN" sz="1600" b="1" baseline="0">
              <a:solidFill>
                <a:schemeClr val="tx1"/>
              </a:solidFill>
              <a:latin typeface="Times New Roman" panose="02020603050405020304" pitchFamily="18" charset="0"/>
              <a:cs typeface="Times New Roman" panose="02020603050405020304" pitchFamily="18" charset="0"/>
            </a:rPr>
            <a:t> Websites</a:t>
          </a:r>
          <a:endParaRPr lang="en-IN" sz="1600" b="1">
            <a:solidFill>
              <a:schemeClr val="tx1"/>
            </a:solidFill>
            <a:latin typeface="Times New Roman" panose="02020603050405020304" pitchFamily="18" charset="0"/>
            <a:cs typeface="Times New Roman" panose="02020603050405020304" pitchFamily="18" charset="0"/>
          </a:endParaRPr>
        </a:p>
      </xdr:txBody>
    </xdr:sp>
    <xdr:clientData/>
  </xdr:twoCellAnchor>
  <xdr:oneCellAnchor>
    <xdr:from>
      <xdr:col>1</xdr:col>
      <xdr:colOff>323257</xdr:colOff>
      <xdr:row>4</xdr:row>
      <xdr:rowOff>90455</xdr:rowOff>
    </xdr:from>
    <xdr:ext cx="1148101" cy="593304"/>
    <xdr:sp macro="" textlink="'KPI pivot'!$A$2">
      <xdr:nvSpPr>
        <xdr:cNvPr id="6" name="TextBox 5">
          <a:extLst>
            <a:ext uri="{FF2B5EF4-FFF2-40B4-BE49-F238E27FC236}">
              <a16:creationId xmlns:a16="http://schemas.microsoft.com/office/drawing/2014/main" id="{636F65E1-27E9-DC6C-177F-97CED4AA29B0}"/>
            </a:ext>
          </a:extLst>
        </xdr:cNvPr>
        <xdr:cNvSpPr txBox="1"/>
      </xdr:nvSpPr>
      <xdr:spPr>
        <a:xfrm>
          <a:off x="933834" y="1055167"/>
          <a:ext cx="1148101"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37A5898-46F5-46BA-A0F1-0527BF1629FA}" type="TxLink">
            <a:rPr lang="en-US" sz="3200" b="1" i="0" u="none" strike="noStrike">
              <a:solidFill>
                <a:srgbClr val="00B0F0"/>
              </a:solidFill>
              <a:latin typeface="Calibri"/>
              <a:ea typeface="Calibri"/>
              <a:cs typeface="Calibri"/>
            </a:rPr>
            <a:pPr/>
            <a:t>1500</a:t>
          </a:fld>
          <a:endParaRPr lang="en-US" sz="3200" b="1">
            <a:solidFill>
              <a:srgbClr val="00B0F0"/>
            </a:solidFill>
          </a:endParaRPr>
        </a:p>
      </xdr:txBody>
    </xdr:sp>
    <xdr:clientData/>
  </xdr:oneCellAnchor>
  <xdr:twoCellAnchor>
    <xdr:from>
      <xdr:col>4</xdr:col>
      <xdr:colOff>471471</xdr:colOff>
      <xdr:row>3</xdr:row>
      <xdr:rowOff>19905</xdr:rowOff>
    </xdr:from>
    <xdr:to>
      <xdr:col>8</xdr:col>
      <xdr:colOff>244230</xdr:colOff>
      <xdr:row>9</xdr:row>
      <xdr:rowOff>183172</xdr:rowOff>
    </xdr:to>
    <xdr:sp macro="" textlink="">
      <xdr:nvSpPr>
        <xdr:cNvPr id="7" name="Rectangle: Rounded Corners 6">
          <a:extLst>
            <a:ext uri="{FF2B5EF4-FFF2-40B4-BE49-F238E27FC236}">
              <a16:creationId xmlns:a16="http://schemas.microsoft.com/office/drawing/2014/main" id="{1F341F3C-A395-3ABC-1953-EAA9D1A4DE78}"/>
            </a:ext>
          </a:extLst>
        </xdr:cNvPr>
        <xdr:cNvSpPr/>
      </xdr:nvSpPr>
      <xdr:spPr>
        <a:xfrm>
          <a:off x="2925990" y="789232"/>
          <a:ext cx="2215067" cy="1335575"/>
        </a:xfrm>
        <a:prstGeom prst="roundRect">
          <a:avLst>
            <a:gd name="adj" fmla="val 18229"/>
          </a:avLst>
        </a:prstGeom>
        <a:solidFill>
          <a:srgbClr val="E8F4F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1600" b="1">
              <a:solidFill>
                <a:schemeClr val="tx1"/>
              </a:solidFill>
              <a:latin typeface="Times New Roman" panose="02020603050405020304" pitchFamily="18" charset="0"/>
              <a:cs typeface="Times New Roman" panose="02020603050405020304" pitchFamily="18" charset="0"/>
            </a:rPr>
            <a:t>Total</a:t>
          </a:r>
          <a:r>
            <a:rPr lang="en-IN" sz="1600" b="1" baseline="0">
              <a:solidFill>
                <a:schemeClr val="tx1"/>
              </a:solidFill>
              <a:latin typeface="Times New Roman" panose="02020603050405020304" pitchFamily="18" charset="0"/>
              <a:cs typeface="Times New Roman" panose="02020603050405020304" pitchFamily="18" charset="0"/>
            </a:rPr>
            <a:t> Monthly Visits</a:t>
          </a:r>
        </a:p>
      </xdr:txBody>
    </xdr:sp>
    <xdr:clientData/>
  </xdr:twoCellAnchor>
  <xdr:twoCellAnchor>
    <xdr:from>
      <xdr:col>8</xdr:col>
      <xdr:colOff>476025</xdr:colOff>
      <xdr:row>3</xdr:row>
      <xdr:rowOff>36233</xdr:rowOff>
    </xdr:from>
    <xdr:to>
      <xdr:col>12</xdr:col>
      <xdr:colOff>525096</xdr:colOff>
      <xdr:row>9</xdr:row>
      <xdr:rowOff>183172</xdr:rowOff>
    </xdr:to>
    <xdr:sp macro="" textlink="">
      <xdr:nvSpPr>
        <xdr:cNvPr id="8" name="Rectangle: Rounded Corners 7">
          <a:extLst>
            <a:ext uri="{FF2B5EF4-FFF2-40B4-BE49-F238E27FC236}">
              <a16:creationId xmlns:a16="http://schemas.microsoft.com/office/drawing/2014/main" id="{1953BB48-3926-6E81-A49F-CED550042214}"/>
            </a:ext>
          </a:extLst>
        </xdr:cNvPr>
        <xdr:cNvSpPr/>
      </xdr:nvSpPr>
      <xdr:spPr>
        <a:xfrm>
          <a:off x="5372852" y="805560"/>
          <a:ext cx="2491379" cy="1319247"/>
        </a:xfrm>
        <a:prstGeom prst="roundRect">
          <a:avLst>
            <a:gd name="adj" fmla="val 18229"/>
          </a:avLst>
        </a:prstGeom>
        <a:solidFill>
          <a:srgbClr val="E8F4F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1600" b="1" baseline="0">
              <a:solidFill>
                <a:schemeClr val="tx1"/>
              </a:solidFill>
              <a:latin typeface="Times New Roman" panose="02020603050405020304" pitchFamily="18" charset="0"/>
              <a:cs typeface="Times New Roman" panose="02020603050405020304" pitchFamily="18" charset="0"/>
            </a:rPr>
            <a:t>Average bounce Rate</a:t>
          </a:r>
        </a:p>
      </xdr:txBody>
    </xdr:sp>
    <xdr:clientData/>
  </xdr:twoCellAnchor>
  <xdr:twoCellAnchor>
    <xdr:from>
      <xdr:col>13</xdr:col>
      <xdr:colOff>97049</xdr:colOff>
      <xdr:row>3</xdr:row>
      <xdr:rowOff>91028</xdr:rowOff>
    </xdr:from>
    <xdr:to>
      <xdr:col>17</xdr:col>
      <xdr:colOff>183174</xdr:colOff>
      <xdr:row>10</xdr:row>
      <xdr:rowOff>8243</xdr:rowOff>
    </xdr:to>
    <xdr:sp macro="" textlink="">
      <xdr:nvSpPr>
        <xdr:cNvPr id="9" name="Rectangle: Rounded Corners 8">
          <a:extLst>
            <a:ext uri="{FF2B5EF4-FFF2-40B4-BE49-F238E27FC236}">
              <a16:creationId xmlns:a16="http://schemas.microsoft.com/office/drawing/2014/main" id="{52675B58-C635-8F73-B9D2-E12164CD3908}"/>
            </a:ext>
          </a:extLst>
        </xdr:cNvPr>
        <xdr:cNvSpPr/>
      </xdr:nvSpPr>
      <xdr:spPr>
        <a:xfrm>
          <a:off x="8046761" y="860355"/>
          <a:ext cx="2528432" cy="1284907"/>
        </a:xfrm>
        <a:prstGeom prst="roundRect">
          <a:avLst>
            <a:gd name="adj" fmla="val 18229"/>
          </a:avLst>
        </a:prstGeom>
        <a:solidFill>
          <a:srgbClr val="E8F4F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1600" b="1" baseline="0">
              <a:solidFill>
                <a:schemeClr val="tx1"/>
              </a:solidFill>
              <a:latin typeface="Times New Roman" panose="02020603050405020304" pitchFamily="18" charset="0"/>
              <a:cs typeface="Times New Roman" panose="02020603050405020304" pitchFamily="18" charset="0"/>
            </a:rPr>
            <a:t>Average Engagement Score</a:t>
          </a:r>
        </a:p>
      </xdr:txBody>
    </xdr:sp>
    <xdr:clientData/>
  </xdr:twoCellAnchor>
  <xdr:oneCellAnchor>
    <xdr:from>
      <xdr:col>5</xdr:col>
      <xdr:colOff>319321</xdr:colOff>
      <xdr:row>4</xdr:row>
      <xdr:rowOff>91014</xdr:rowOff>
    </xdr:from>
    <xdr:ext cx="1485416" cy="530658"/>
    <xdr:sp macro="" textlink="'KPI pivot'!$F$2">
      <xdr:nvSpPr>
        <xdr:cNvPr id="10" name="TextBox 9">
          <a:extLst>
            <a:ext uri="{FF2B5EF4-FFF2-40B4-BE49-F238E27FC236}">
              <a16:creationId xmlns:a16="http://schemas.microsoft.com/office/drawing/2014/main" id="{9188FA61-C4A2-4AF4-CE5F-0EABF5E2D6CF}"/>
            </a:ext>
          </a:extLst>
        </xdr:cNvPr>
        <xdr:cNvSpPr txBox="1"/>
      </xdr:nvSpPr>
      <xdr:spPr>
        <a:xfrm>
          <a:off x="3389880" y="1118711"/>
          <a:ext cx="148541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34EC472-AF9F-4E70-91D9-52BECA5B1C33}" type="TxLink">
            <a:rPr lang="en-US" sz="2800" b="1" i="0" u="none" strike="noStrike">
              <a:solidFill>
                <a:srgbClr val="FF66FF"/>
              </a:solidFill>
              <a:latin typeface="Calibri"/>
              <a:ea typeface="Calibri"/>
              <a:cs typeface="Calibri"/>
            </a:rPr>
            <a:pPr/>
            <a:t>75.76B</a:t>
          </a:fld>
          <a:endParaRPr lang="en-IN" sz="2800" b="1">
            <a:solidFill>
              <a:srgbClr val="FF66FF"/>
            </a:solidFill>
          </a:endParaRPr>
        </a:p>
      </xdr:txBody>
    </xdr:sp>
    <xdr:clientData/>
  </xdr:oneCellAnchor>
  <xdr:oneCellAnchor>
    <xdr:from>
      <xdr:col>9</xdr:col>
      <xdr:colOff>549300</xdr:colOff>
      <xdr:row>3</xdr:row>
      <xdr:rowOff>182912</xdr:rowOff>
    </xdr:from>
    <xdr:ext cx="1199131" cy="593304"/>
    <xdr:sp macro="" textlink="'KPI pivot'!$F$10">
      <xdr:nvSpPr>
        <xdr:cNvPr id="11" name="TextBox 10">
          <a:extLst>
            <a:ext uri="{FF2B5EF4-FFF2-40B4-BE49-F238E27FC236}">
              <a16:creationId xmlns:a16="http://schemas.microsoft.com/office/drawing/2014/main" id="{ED57FAEB-8712-F31A-F9E8-CBE58330E680}"/>
            </a:ext>
          </a:extLst>
        </xdr:cNvPr>
        <xdr:cNvSpPr txBox="1"/>
      </xdr:nvSpPr>
      <xdr:spPr>
        <a:xfrm>
          <a:off x="6056704" y="952239"/>
          <a:ext cx="1199131"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4F73448-B418-49FF-BE29-4CEEB5368F9B}" type="TxLink">
            <a:rPr lang="en-US" sz="3200" b="1" i="0" u="none" strike="noStrike">
              <a:solidFill>
                <a:srgbClr val="06D6A0"/>
              </a:solidFill>
              <a:latin typeface="Calibri"/>
              <a:ea typeface="Calibri"/>
              <a:cs typeface="Calibri"/>
            </a:rPr>
            <a:pPr/>
            <a:t>42.02</a:t>
          </a:fld>
          <a:endParaRPr lang="en-IN" sz="3200" b="1">
            <a:solidFill>
              <a:srgbClr val="06D6A0"/>
            </a:solidFill>
          </a:endParaRPr>
        </a:p>
      </xdr:txBody>
    </xdr:sp>
    <xdr:clientData/>
  </xdr:oneCellAnchor>
  <xdr:twoCellAnchor editAs="oneCell">
    <xdr:from>
      <xdr:col>17</xdr:col>
      <xdr:colOff>422048</xdr:colOff>
      <xdr:row>3</xdr:row>
      <xdr:rowOff>72354</xdr:rowOff>
    </xdr:from>
    <xdr:to>
      <xdr:col>22</xdr:col>
      <xdr:colOff>575128</xdr:colOff>
      <xdr:row>10</xdr:row>
      <xdr:rowOff>39106</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5E379B03-AB3E-45FF-9AEB-46FFEFDEF76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803228" y="917832"/>
              <a:ext cx="3203220" cy="1315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14</xdr:col>
      <xdr:colOff>242396</xdr:colOff>
      <xdr:row>4</xdr:row>
      <xdr:rowOff>85961</xdr:rowOff>
    </xdr:from>
    <xdr:ext cx="1199131" cy="593304"/>
    <xdr:sp macro="" textlink="'KPI pivot'!$F$19">
      <xdr:nvSpPr>
        <xdr:cNvPr id="12" name="TextBox 11">
          <a:extLst>
            <a:ext uri="{FF2B5EF4-FFF2-40B4-BE49-F238E27FC236}">
              <a16:creationId xmlns:a16="http://schemas.microsoft.com/office/drawing/2014/main" id="{41CCB7BF-68F8-971C-5B58-4A793A2BB314}"/>
            </a:ext>
          </a:extLst>
        </xdr:cNvPr>
        <xdr:cNvSpPr txBox="1"/>
      </xdr:nvSpPr>
      <xdr:spPr>
        <a:xfrm>
          <a:off x="8802684" y="1050673"/>
          <a:ext cx="1199131"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FF9492F-F9B9-4B9A-B189-528963C8CD54}" type="TxLink">
            <a:rPr lang="en-US" sz="3200" b="1" i="0" u="none" strike="noStrike">
              <a:solidFill>
                <a:srgbClr val="FF6600"/>
              </a:solidFill>
              <a:latin typeface="Calibri"/>
              <a:ea typeface="Calibri"/>
              <a:cs typeface="Calibri"/>
            </a:rPr>
            <a:pPr/>
            <a:t>41.99</a:t>
          </a:fld>
          <a:endParaRPr lang="en-IN" sz="3200" b="1">
            <a:solidFill>
              <a:srgbClr val="FF6600"/>
            </a:solidFill>
          </a:endParaRPr>
        </a:p>
      </xdr:txBody>
    </xdr:sp>
    <xdr:clientData/>
  </xdr:oneCellAnchor>
  <xdr:twoCellAnchor>
    <xdr:from>
      <xdr:col>15</xdr:col>
      <xdr:colOff>262427</xdr:colOff>
      <xdr:row>10</xdr:row>
      <xdr:rowOff>158750</xdr:rowOff>
    </xdr:from>
    <xdr:to>
      <xdr:col>23</xdr:col>
      <xdr:colOff>300790</xdr:colOff>
      <xdr:row>45</xdr:row>
      <xdr:rowOff>95249</xdr:rowOff>
    </xdr:to>
    <xdr:graphicFrame macro="">
      <xdr:nvGraphicFramePr>
        <xdr:cNvPr id="16" name="Chart 15">
          <a:extLst>
            <a:ext uri="{FF2B5EF4-FFF2-40B4-BE49-F238E27FC236}">
              <a16:creationId xmlns:a16="http://schemas.microsoft.com/office/drawing/2014/main" id="{B81C4CE5-E3D3-472A-A17D-BE6F380D5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121828</xdr:colOff>
      <xdr:row>29</xdr:row>
      <xdr:rowOff>20542</xdr:rowOff>
    </xdr:from>
    <xdr:to>
      <xdr:col>7</xdr:col>
      <xdr:colOff>179390</xdr:colOff>
      <xdr:row>45</xdr:row>
      <xdr:rowOff>83344</xdr:rowOff>
    </xdr:to>
    <xdr:graphicFrame macro="">
      <xdr:nvGraphicFramePr>
        <xdr:cNvPr id="18" name="Chart 17">
          <a:extLst>
            <a:ext uri="{FF2B5EF4-FFF2-40B4-BE49-F238E27FC236}">
              <a16:creationId xmlns:a16="http://schemas.microsoft.com/office/drawing/2014/main" id="{6E96A9DE-669B-42AB-A9B7-8D7C1405A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126429</xdr:colOff>
      <xdr:row>10</xdr:row>
      <xdr:rowOff>182771</xdr:rowOff>
    </xdr:from>
    <xdr:to>
      <xdr:col>7</xdr:col>
      <xdr:colOff>183991</xdr:colOff>
      <xdr:row>27</xdr:row>
      <xdr:rowOff>184271</xdr:rowOff>
    </xdr:to>
    <xdr:graphicFrame macro="">
      <xdr:nvGraphicFramePr>
        <xdr:cNvPr id="19" name="Chart 18">
          <a:extLst>
            <a:ext uri="{FF2B5EF4-FFF2-40B4-BE49-F238E27FC236}">
              <a16:creationId xmlns:a16="http://schemas.microsoft.com/office/drawing/2014/main" id="{7351C252-EEBB-4583-8E06-F1C79EF2E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349298</xdr:colOff>
      <xdr:row>29</xdr:row>
      <xdr:rowOff>24422</xdr:rowOff>
    </xdr:from>
    <xdr:to>
      <xdr:col>15</xdr:col>
      <xdr:colOff>70113</xdr:colOff>
      <xdr:row>45</xdr:row>
      <xdr:rowOff>111125</xdr:rowOff>
    </xdr:to>
    <xdr:graphicFrame macro="">
      <xdr:nvGraphicFramePr>
        <xdr:cNvPr id="20" name="Chart 19">
          <a:extLst>
            <a:ext uri="{FF2B5EF4-FFF2-40B4-BE49-F238E27FC236}">
              <a16:creationId xmlns:a16="http://schemas.microsoft.com/office/drawing/2014/main" id="{1D271E16-E140-40C5-A759-EDF4754AE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0</xdr:colOff>
      <xdr:row>10</xdr:row>
      <xdr:rowOff>134327</xdr:rowOff>
    </xdr:from>
    <xdr:to>
      <xdr:col>31</xdr:col>
      <xdr:colOff>488782</xdr:colOff>
      <xdr:row>45</xdr:row>
      <xdr:rowOff>59530</xdr:rowOff>
    </xdr:to>
    <xdr:graphicFrame macro="">
      <xdr:nvGraphicFramePr>
        <xdr:cNvPr id="21" name="Chart 20">
          <a:extLst>
            <a:ext uri="{FF2B5EF4-FFF2-40B4-BE49-F238E27FC236}">
              <a16:creationId xmlns:a16="http://schemas.microsoft.com/office/drawing/2014/main" id="{B660DC65-9AAA-4AF6-9281-0022BA1A9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268654</xdr:colOff>
      <xdr:row>10</xdr:row>
      <xdr:rowOff>170963</xdr:rowOff>
    </xdr:from>
    <xdr:to>
      <xdr:col>14</xdr:col>
      <xdr:colOff>564981</xdr:colOff>
      <xdr:row>28</xdr:row>
      <xdr:rowOff>0</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9D68B887-94E7-4687-A57C-FA18D498D4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545379" y="2352188"/>
              <a:ext cx="4563527" cy="32580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23</xdr:col>
      <xdr:colOff>134326</xdr:colOff>
      <xdr:row>3</xdr:row>
      <xdr:rowOff>36635</xdr:rowOff>
    </xdr:from>
    <xdr:to>
      <xdr:col>27</xdr:col>
      <xdr:colOff>0</xdr:colOff>
      <xdr:row>10</xdr:row>
      <xdr:rowOff>36634</xdr:rowOff>
    </xdr:to>
    <mc:AlternateContent xmlns:mc="http://schemas.openxmlformats.org/markup-compatibility/2006" xmlns:a14="http://schemas.microsoft.com/office/drawing/2010/main">
      <mc:Choice Requires="a14">
        <xdr:graphicFrame macro="">
          <xdr:nvGraphicFramePr>
            <xdr:cNvPr id="23" name="traffic_tier 1">
              <a:extLst>
                <a:ext uri="{FF2B5EF4-FFF2-40B4-BE49-F238E27FC236}">
                  <a16:creationId xmlns:a16="http://schemas.microsoft.com/office/drawing/2014/main" id="{5A89E290-7226-4791-9590-DF8675ABFA09}"/>
                </a:ext>
              </a:extLst>
            </xdr:cNvPr>
            <xdr:cNvGraphicFramePr/>
          </xdr:nvGraphicFramePr>
          <xdr:xfrm>
            <a:off x="0" y="0"/>
            <a:ext cx="0" cy="0"/>
          </xdr:xfrm>
          <a:graphic>
            <a:graphicData uri="http://schemas.microsoft.com/office/drawing/2010/slicer">
              <sle:slicer xmlns:sle="http://schemas.microsoft.com/office/drawing/2010/slicer" name="traffic_tier 1"/>
            </a:graphicData>
          </a:graphic>
        </xdr:graphicFrame>
      </mc:Choice>
      <mc:Fallback xmlns="">
        <xdr:sp macro="" textlink="">
          <xdr:nvSpPr>
            <xdr:cNvPr id="0" name=""/>
            <xdr:cNvSpPr>
              <a:spLocks noTextEdit="1"/>
            </xdr:cNvSpPr>
          </xdr:nvSpPr>
          <xdr:spPr>
            <a:xfrm>
              <a:off x="14175674" y="882113"/>
              <a:ext cx="2305787" cy="1348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187993</xdr:colOff>
      <xdr:row>3</xdr:row>
      <xdr:rowOff>61057</xdr:rowOff>
    </xdr:from>
    <xdr:to>
      <xdr:col>31</xdr:col>
      <xdr:colOff>413586</xdr:colOff>
      <xdr:row>10</xdr:row>
      <xdr:rowOff>24422</xdr:rowOff>
    </xdr:to>
    <mc:AlternateContent xmlns:mc="http://schemas.openxmlformats.org/markup-compatibility/2006" xmlns:a14="http://schemas.microsoft.com/office/drawing/2010/main">
      <mc:Choice Requires="a14">
        <xdr:graphicFrame macro="">
          <xdr:nvGraphicFramePr>
            <xdr:cNvPr id="25" name="primary_market 1">
              <a:extLst>
                <a:ext uri="{FF2B5EF4-FFF2-40B4-BE49-F238E27FC236}">
                  <a16:creationId xmlns:a16="http://schemas.microsoft.com/office/drawing/2014/main" id="{53CF0E6A-6C6D-4693-8787-29781CAFE107}"/>
                </a:ext>
              </a:extLst>
            </xdr:cNvPr>
            <xdr:cNvGraphicFramePr/>
          </xdr:nvGraphicFramePr>
          <xdr:xfrm>
            <a:off x="0" y="0"/>
            <a:ext cx="0" cy="0"/>
          </xdr:xfrm>
          <a:graphic>
            <a:graphicData uri="http://schemas.microsoft.com/office/drawing/2010/slicer">
              <sle:slicer xmlns:sle="http://schemas.microsoft.com/office/drawing/2010/slicer" name="primary_market 1"/>
            </a:graphicData>
          </a:graphic>
        </xdr:graphicFrame>
      </mc:Choice>
      <mc:Fallback xmlns="">
        <xdr:sp macro="" textlink="">
          <xdr:nvSpPr>
            <xdr:cNvPr id="0" name=""/>
            <xdr:cNvSpPr>
              <a:spLocks noTextEdit="1"/>
            </xdr:cNvSpPr>
          </xdr:nvSpPr>
          <xdr:spPr>
            <a:xfrm>
              <a:off x="16669454" y="906535"/>
              <a:ext cx="2665705" cy="1311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hayanithi A" refreshedDate="46142.519648842594" createdVersion="8" refreshedVersion="8" minRefreshableVersion="3" recordCount="1500" xr:uid="{5A38C6DB-F56F-4BD0-ADE4-82C8D504D32D}">
  <cacheSource type="worksheet">
    <worksheetSource ref="A1:L1501" sheet=" web traffic_2026 "/>
  </cacheSource>
  <cacheFields count="12">
    <cacheField name="global_rank" numFmtId="0">
      <sharedItems containsSemiMixedTypes="0" containsString="0" containsNumber="1" containsInteger="1" minValue="1" maxValue="1500" count="15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sharedItems>
    </cacheField>
    <cacheField name="domain" numFmtId="0">
      <sharedItems count="1500">
        <s v="google.com"/>
        <s v="gtld-servers.net"/>
        <s v="microsoft.com"/>
        <s v="facebook.com"/>
        <s v="mail.ru"/>
        <s v="cloudflare.com"/>
        <s v="googleapis.com"/>
        <s v="apple.com"/>
        <s v="youtube.com"/>
        <s v="amazonaws.com"/>
        <s v="instagram.com"/>
        <s v="dzen.ru"/>
        <s v="gstatic.com"/>
        <s v="akamai.net"/>
        <s v="office.com"/>
        <s v="twitter.com"/>
        <s v="googlevideo.com"/>
        <s v="live.com"/>
        <s v="linkedin.com"/>
        <s v="fbcdn.net"/>
        <s v="googletagmanager.com"/>
        <s v="akadns.net"/>
        <s v="akamaiedge.net"/>
        <s v="amazon.com"/>
        <s v="workers.dev"/>
        <s v="microsoftonline.com"/>
        <s v="azure.com"/>
        <s v="googleusercontent.com"/>
        <s v="wikipedia.org"/>
        <s v="windowsupdate.com"/>
        <s v="github.com"/>
        <s v="doubleclick.net"/>
        <s v="domaincontrol.com"/>
        <s v="bing.com"/>
        <s v="digicert.com"/>
        <s v="whatsapp.net"/>
        <s v="netflix.com"/>
        <s v="fastly.net"/>
        <s v="apple-dns.net"/>
        <s v="office.net"/>
        <s v="wordpress.org"/>
        <s v="aaplimg.com"/>
        <s v="appsflyersdk.com"/>
        <s v="e2ro.com"/>
        <s v="youtu.be"/>
        <s v="icloud.com"/>
        <s v="sharepoint.com"/>
        <s v="pinterest.com"/>
        <s v="trafficmanager.net"/>
        <s v="ripn.net"/>
        <s v="whatsapp.com"/>
        <s v="yahoo.com"/>
        <s v="akam.net"/>
        <s v="windows.net"/>
        <s v="googlesyndication.com"/>
        <s v="goo.gl"/>
        <s v="skype.com"/>
        <s v="x.com"/>
        <s v="msn.com"/>
        <s v="gandi.net"/>
        <s v="spotify.com"/>
        <s v="pv-cdn.net"/>
        <s v="cloudfront.net"/>
        <s v="ntp.org"/>
        <s v="tiktok.com"/>
        <s v="vimeo.com"/>
        <s v="tiktokcdn.com"/>
        <s v="adobe.com"/>
        <s v="cloudflare.net"/>
        <s v="roblox.com"/>
        <s v="gvt2.com"/>
        <s v="gvt1.com"/>
        <s v="googledomains.com"/>
        <s v="yandex.net"/>
        <s v="ytimg.com"/>
        <s v="tiktokv.com"/>
        <s v="nic.ru"/>
        <s v="wa.me"/>
        <s v="zoom.us"/>
        <s v="google-analytics.com"/>
        <s v="office365.com"/>
        <s v="qq.com"/>
        <s v="cloudflare-dns.com"/>
        <s v="edgekey.net"/>
        <s v="nginx.org"/>
        <s v="opera.com"/>
        <s v="yandex.ru"/>
        <s v="root-servers.net"/>
        <s v="samsung.com"/>
        <s v="bit.ly"/>
        <s v="vedcdnlb.com"/>
        <s v="baidu.com"/>
        <s v="edgesuite.net"/>
        <s v="nginx.com"/>
        <s v="wordpress.com"/>
        <s v="okcdn.ru"/>
        <s v="ui.com"/>
        <s v="sentry.io"/>
        <s v="unity3d.com"/>
        <s v="windows.com"/>
        <s v="t-msedge.net"/>
        <s v="mozilla.org"/>
        <s v="intuit.com"/>
        <s v="reddit.com"/>
        <s v="a2z.com"/>
        <s v="googleadservices.com"/>
        <s v="paypal.com"/>
        <s v="cdninstagram.com"/>
        <s v="vk.com"/>
        <s v="blogspot.com"/>
        <s v="discord.gg"/>
        <s v="t.me"/>
        <s v="europa.eu"/>
        <s v="snapchat.com"/>
        <s v="bytefcdn-oversea.com"/>
        <s v="dns.google"/>
        <s v="epicgames.com"/>
        <s v="ax-msedge.net"/>
        <s v="dnsowl.com"/>
        <s v="app-measurement.com"/>
        <s v="amazon-adsystem.com"/>
        <s v="github.io"/>
        <s v="apache.org"/>
        <s v="cloud.microsoft"/>
        <s v="amazon.dev"/>
        <s v="gravatar.com"/>
        <s v="outlook.com"/>
        <s v="dropbox.com"/>
        <s v="pki.goog"/>
        <s v="amazonvideo.com"/>
        <s v="msftncsi.com"/>
        <s v="vecdnlb.com"/>
        <s v="trbcdn.net"/>
        <s v="steamserver.net"/>
        <s v="app-analytics-services.com"/>
        <s v="xiaomi.com"/>
        <s v="mulesoft.com"/>
        <s v="criteo.com"/>
        <s v="wac-msedge.net"/>
        <s v="one.one"/>
        <s v="archive.org"/>
        <s v="nih.gov"/>
        <s v="applovin.com"/>
        <s v="b-cdn.net"/>
        <s v="0xrpc.io"/>
        <s v="forms.gle"/>
        <s v="registrar-servers.com"/>
        <s v="miit.gov.cn"/>
        <s v="f5.com"/>
        <s v="tumblr.com"/>
        <s v="kaspersky.com"/>
        <s v="msftconnecttest.com"/>
        <s v="ggpht.com"/>
        <s v="nytimes.com"/>
        <s v="cdn77.org"/>
        <s v="spo-msedge.net"/>
        <s v="reg.ru"/>
        <s v="3gppnetwork.org"/>
        <s v="tiktokcdn-us.com"/>
        <s v="aliyuncs.com"/>
        <s v="chatgpt.com"/>
        <s v="cncdn.com"/>
        <s v="aws.dev"/>
        <s v="macromedia.com"/>
        <s v="vkuserphoto.ru"/>
        <s v="discord.com"/>
        <s v="shopify.com"/>
        <s v="telekom.de"/>
        <s v="flickr.com"/>
        <s v="cdn-apple.com"/>
        <s v="godaddy.com"/>
        <s v="adobe.io"/>
        <s v="soundcloud.com"/>
        <s v="userapi.com"/>
        <s v="azurefd.net"/>
        <s v="spov-msedge.net"/>
        <s v="mailinabox.email"/>
        <s v="lencr.org"/>
        <s v="adnxs.com"/>
        <s v="rubiconproject.com"/>
        <s v="medium.com"/>
        <s v="cnn.com"/>
        <s v="vungle.com"/>
        <s v="w3.org"/>
        <s v="example.com"/>
        <s v="avast.com"/>
        <s v="msedge.net"/>
        <s v="azurewebsites.net"/>
        <s v="shifen.com"/>
        <s v="nist.gov"/>
        <s v="taboola.com"/>
        <s v="theguardian.com"/>
        <s v="mts.ru"/>
        <s v="ttdns2.com"/>
        <s v="miui.com"/>
        <s v="webex.com"/>
        <s v="playstation.net"/>
        <s v="nflxso.net"/>
        <s v="creativecommons.org"/>
        <s v="forbes.com"/>
        <s v="nominetdns.uk"/>
        <s v="adtrafficquality.google"/>
        <s v="t.co"/>
        <s v="pubmatic.com"/>
        <s v="twitch.tv"/>
        <s v="azureedge.net"/>
        <s v="ozon.ru"/>
        <s v="wildberries.ru"/>
        <s v="bbc.com"/>
        <s v="myfritz.net"/>
        <s v="bbc.co.uk"/>
        <s v="uber.com"/>
        <s v="sourceforge.net"/>
        <s v="sciencedirect.com"/>
        <s v="oracle.com"/>
        <s v="mangosip.ru"/>
        <s v="researchgate.net"/>
        <s v="mit.edu"/>
        <s v="ubuntu.com"/>
        <s v="weather.com"/>
        <s v="gmail.com"/>
        <s v="salesforce.com"/>
        <s v="canva.com"/>
        <s v="cpanel.net"/>
        <s v="cisco.com"/>
        <s v="doi.org"/>
        <s v="adsrvr.org"/>
        <s v="ebay.com"/>
        <s v="comcast.net"/>
        <s v="demdex.net"/>
        <s v="wsdvs.com"/>
        <s v="roku.com"/>
        <s v="android.com"/>
        <s v="akamaized.net"/>
        <s v="alibabadns.com"/>
        <s v="youtube-nocookie.com"/>
        <s v="imdb.com"/>
        <s v="scorecardresearch.com"/>
        <s v="static.microsoft"/>
        <s v="jomodns.com"/>
        <s v="dual-s-msedge.net"/>
        <s v="casalemedia.com"/>
        <s v="edgecdn.ru"/>
        <s v="meraki.com"/>
        <s v="linktr.ee"/>
        <s v="wixsite.com"/>
        <s v="prudential.com"/>
        <s v="ksyuncdn.com"/>
        <s v="rocket-cdn.com"/>
        <s v="hubspot.com"/>
        <s v="who.int"/>
        <s v="ttvnw.net"/>
        <s v="nr-data.net"/>
        <s v="booking.com"/>
        <s v="yandex.com"/>
        <s v="cdngslb.com"/>
        <s v="omtrdc.net"/>
        <s v="samsungqbe.com"/>
        <s v="hp.com"/>
        <s v="stripe.com"/>
        <s v="doubleverify.com"/>
        <s v="inmobi.com"/>
        <s v="harvard.edu"/>
        <s v="launchpad.net"/>
        <s v="dns-parking.com"/>
        <s v="moe.video"/>
        <s v="mozilla.com"/>
        <s v="openai.com"/>
        <s v="drom.ru"/>
        <s v="wikimedia.org"/>
        <s v="hichina.com"/>
        <s v="tinyurl.com"/>
        <s v="shalltry.com"/>
        <s v="samsungcloud.com"/>
        <s v="appsflyer.com"/>
        <s v="media-amazon.com"/>
        <s v="fastly-edge.com"/>
        <s v="mtgglobals.com"/>
        <s v="ea.com"/>
        <s v="openx.net"/>
        <s v="ok.ru"/>
        <s v="mikrotik.com"/>
        <s v="mzstatic.com"/>
        <s v="grammarly.com"/>
        <s v="googleblog.com"/>
        <s v="heytapmobile.com"/>
        <s v="dnsmadeeasy.com"/>
        <s v="amazon.co.uk"/>
        <s v="reuters.com"/>
        <s v="springer.com"/>
        <s v="dropcatch.com"/>
        <s v="alibaba.com"/>
        <s v="www.gov.uk"/>
        <s v="byteoversea.net"/>
        <s v="etsy.com"/>
        <s v="ibm.com"/>
        <s v="ampproject.org"/>
        <s v="3lift.com"/>
        <s v="steampowered.com"/>
        <s v="launchdarkly.com"/>
        <s v="media.net"/>
        <s v="jsdelivr.net"/>
        <s v="autodesk.com"/>
        <s v="php.net"/>
        <s v="bilibili.com"/>
        <s v="forter.com"/>
        <s v="ivi.ru"/>
        <s v="capcutapi.com"/>
        <s v="tradingview.com"/>
        <s v="weebly.com"/>
        <s v="kaspersky-labs.com"/>
        <s v="ezvizlife.com"/>
        <s v="kwai-pro.com"/>
        <s v="slack.com"/>
        <s v="nature.com"/>
        <s v="name-services.com"/>
        <s v="wiley.com"/>
        <s v="debian.org"/>
        <s v="issuu.com"/>
        <s v="crashlytics.com"/>
        <s v="cloudflareinsights.com"/>
        <s v="alidns.com"/>
        <s v="opendns.com"/>
        <s v="douyincdn.com"/>
        <s v="adriver.ru"/>
        <s v="smartadserver.com"/>
        <s v="whecloud.com"/>
        <s v="weibo.com"/>
        <s v="washingtonpost.com"/>
        <s v="vedsalb.com"/>
        <s v="checkpoint.com"/>
        <s v="clarity.ms"/>
        <s v="cdc.gov"/>
        <s v="wyzecam.com"/>
        <s v="akamaihd.net"/>
        <s v="tiktokv.us"/>
        <s v="wsj.com"/>
        <s v="myshopify.com"/>
        <s v="inner-active.mobi"/>
        <s v="mi.com"/>
        <s v="naver.com"/>
        <s v="gnu.org"/>
        <s v="bamgrid.com"/>
        <s v="un.org"/>
        <s v="allawnos.com"/>
        <s v="dailymail.co.uk"/>
        <s v="wbx2.com"/>
        <s v="cdnbuild.net"/>
        <s v="samsungcloudsolution.com"/>
        <s v="ln-msedge.net"/>
        <s v="live-video.net"/>
        <s v="go.com"/>
        <s v="sc-cdn.net"/>
        <s v="bloomberg.com"/>
        <s v="xboxlive.com"/>
        <s v="vk.ru"/>
        <s v="myhuaweicloud.com"/>
        <s v="aliyun.com"/>
        <s v="telegraph.co.uk"/>
        <s v="rzone.de"/>
        <s v="cloudns.net"/>
        <s v="stanford.edu"/>
        <s v="nvidia.com"/>
        <s v="dailymotion.com"/>
        <s v="avsxappcaptiveportal.com"/>
        <s v="pages.dev"/>
        <s v="tp-link.com"/>
        <s v="ibyteimg.com"/>
        <s v="vkuser.net"/>
        <s v="heytapdl.com"/>
        <s v="mynetname.net"/>
        <s v="dell.com"/>
        <s v="adsafeprotected.com"/>
        <s v="netflix.net"/>
        <s v="scdn.co"/>
        <s v="cookielaw.org"/>
        <s v="facebook.net"/>
        <s v="aiv-delivery.net"/>
        <s v="vivoglobal.com"/>
        <s v="easebar.com"/>
        <s v="afternic.com"/>
        <s v="espn.com"/>
        <s v="temu.com"/>
        <s v="sc-gw.com"/>
        <s v="merkle.io"/>
        <s v="plesk.com"/>
        <s v="kwaipros.com"/>
        <s v="aliexpress.com"/>
        <s v="netangels.ru"/>
        <s v="ngenix.net"/>
        <s v="unsplash.com"/>
        <s v="telegram.org"/>
        <s v="discord.media"/>
        <s v="nasa.gov"/>
        <s v="tiktokcdn-eu.com"/>
        <s v="globo.com"/>
        <s v="indeed.com"/>
        <s v="amazonalexa.com"/>
        <s v="duckduckgo.com"/>
        <s v="businessinsider.com"/>
        <s v="google.com.br"/>
        <s v="nstld.com"/>
        <s v="expireddomains.com"/>
        <s v="wp.com"/>
        <s v="independent.co.uk"/>
        <s v="cornell.edu"/>
        <s v="ipv4only.arpa"/>
        <s v="sfx.ms"/>
        <s v="huawei.com"/>
        <s v="aliyuncsslbintl.com"/>
        <s v="trustpilot.com"/>
        <s v="amazon.de"/>
        <s v="avcdn.net"/>
        <s v="telegram.me"/>
        <s v="tiktokv.eu"/>
        <s v="cookiedatabase.org"/>
        <s v="msidentity.com"/>
        <s v="adobe.net"/>
        <s v="pangle.io"/>
        <s v="taobao.com"/>
        <s v="163.com"/>
        <s v="steamcommunity.com"/>
        <s v="statista.com"/>
        <s v="xcal.tv"/>
        <s v="calendly.com"/>
        <s v="imcmdb.net"/>
        <s v="quora.com"/>
        <s v="firetvcaptiveportal.com"/>
        <s v="aol.com"/>
        <s v="pixabay.com"/>
        <s v="hostgator.com"/>
        <s v="aiv-cdn.net"/>
        <s v="teamviewer.com"/>
        <s v="duolingo.com"/>
        <s v="ipify.org"/>
        <s v="cnbc.com"/>
        <s v="gamepass.com"/>
        <s v="wswebcdn.com"/>
        <s v="telecid.ru"/>
        <s v="list-manage.com"/>
        <s v="ietf.org"/>
        <s v="crpt.ru"/>
        <s v="zendesk.com"/>
        <s v="walmart.com"/>
        <s v="goodreads.com"/>
        <s v="nflxvideo.net"/>
        <s v="addtoany.com"/>
        <s v="online-metrix.net"/>
        <s v="oxylabs.io"/>
        <s v="branch.io"/>
        <s v="beian.gov.cn"/>
        <s v="foxnews.com"/>
        <s v="rbxcdn.com"/>
        <s v="sberbank.ru"/>
        <s v="cdnvideo.ru"/>
        <s v="line.me"/>
        <s v="gosuslugi.ru"/>
        <s v="giphy.com"/>
        <s v="staples.com"/>
        <s v="slideshare.net"/>
        <s v="gitlab.com"/>
        <s v="imgsmail.ru"/>
        <s v="mediatek.com"/>
        <s v="byteglb.com"/>
        <s v="yahoo.co.jp"/>
        <s v="npr.org"/>
        <s v="nflximg.com"/>
        <s v="g.page"/>
        <s v="speedtest.net"/>
        <s v="notamedia.ru"/>
        <s v="kwai.net"/>
        <s v="cdn20.com"/>
        <s v="worldnic.com"/>
        <s v="eventbrite.com"/>
        <s v="supercell.com"/>
        <s v="elasticbeanstalk.com"/>
        <s v="a-msedge.net"/>
        <s v="amplitude.com"/>
        <s v="mcafee.com"/>
        <s v="google.de"/>
        <s v="namebrightdns.com"/>
        <s v="tbcache.com"/>
        <s v="hcaptcha.com"/>
        <s v="wired.com"/>
        <s v="amzn.to"/>
        <s v="mysql.com"/>
        <s v="alicdn.com"/>
        <s v="name.com"/>
        <s v="nease.net"/>
        <s v="okta.com"/>
        <s v="myqcloud.com"/>
        <s v="icloud-content.com"/>
        <s v="2mdn.net"/>
        <s v="telekom.net"/>
        <s v="scribd.com"/>
        <s v="shein.com"/>
        <s v="indiatimes.com"/>
        <s v="my.com"/>
        <s v="behance.net"/>
        <s v="uol.com.br"/>
        <s v="360yield.com"/>
        <s v="akamaitech.net"/>
        <s v="qlivecdn.com"/>
        <s v="sophos.com"/>
        <s v="stackoverflow.com"/>
        <s v="ys7.com"/>
        <s v="firefox.com"/>
        <s v="netease.com"/>
        <s v="tm-azurefd.net"/>
        <s v="safebrowsing.apple"/>
        <s v="svc.ms"/>
        <s v="run.app"/>
        <s v="sohu.com"/>
        <s v="bsky.app"/>
        <s v="time.com"/>
        <s v="gandi-ns.fr"/>
        <s v="visualstudio.com"/>
        <s v="t-online.de"/>
        <s v="paloaltonetworks.com"/>
        <s v="consultant.ru"/>
        <s v="amazon.co.jp"/>
        <s v="tencent-cloud.net"/>
        <s v="usatoday.com"/>
        <s v="wb.ru"/>
        <s v="ft.com"/>
        <s v="blogger.com"/>
        <s v="docker.com"/>
        <s v="deviantart.com"/>
        <s v="xiaomi.net"/>
        <s v="xhamster.com"/>
        <s v="rutube.ru"/>
        <s v="ya.ru"/>
        <s v="gcdn.co"/>
        <s v="intel.com"/>
        <s v="jquery.com"/>
        <s v="rlcdn.com"/>
        <s v="azure-dns.com"/>
        <s v="dnspod.net"/>
        <s v="timeweb.ru"/>
        <s v="capcut.com"/>
        <s v="tplinkcloud.com"/>
        <s v="eset.com"/>
        <s v="markmonitor.com"/>
        <s v="sharethrough.com"/>
        <s v="fast.com"/>
        <s v="tripadvisor.com"/>
        <s v="dynatrace.com"/>
        <s v="2gis.com"/>
        <s v="rakuten.co.jp"/>
        <s v="google.com.hk"/>
        <s v="hotjar.com"/>
        <s v="trendmicro.com"/>
        <s v="awswaf.com"/>
        <s v="awsglobalaccelerator.com"/>
        <s v="oup.com"/>
        <s v="t-mobile.com"/>
        <s v="yahoodns.net"/>
        <s v="braze.com"/>
        <s v="bidswitch.net"/>
        <s v="target.com"/>
        <s v="onetrust.com"/>
        <s v="sina.com.cn"/>
        <s v="uk.com"/>
        <s v="berkeley.edu"/>
        <s v="rt.ru"/>
        <s v="noaa.gov"/>
        <s v="adobedtm.com"/>
        <s v="wix.com"/>
        <s v="ovh.net"/>
        <s v="tandfonline.com"/>
        <s v="playstation.com"/>
        <s v="googlezip.net"/>
        <s v="duckdns.org"/>
        <s v="atlassian.com"/>
        <s v="tiktokrow-cdn.com"/>
        <s v="ca.gov"/>
        <s v="britannica.com"/>
        <s v="loc.gov"/>
        <s v="digitalocean.com"/>
        <s v="quickconnect.to"/>
        <s v="shopee.com.br"/>
        <s v="intercom.io"/>
        <s v="360safe.com"/>
        <s v="eye4.cn"/>
        <s v="aboutads.info"/>
        <s v="arxiv.org"/>
        <s v="licdn.com"/>
        <s v="optimizely.com"/>
        <s v="id5-sync.com"/>
        <s v="spaceweb.pro"/>
        <s v="comcast.com"/>
        <s v="yelp.com"/>
        <s v="substack.com"/>
        <s v="free.fr"/>
        <s v="samsungapps.com"/>
        <s v="venmo.com"/>
        <s v="squarespace.com"/>
        <s v="ikea.com"/>
        <s v="nic.network"/>
        <s v="accuweather.com"/>
        <s v="dreamhost.com"/>
        <s v="ieee.org"/>
        <s v="googletagservices.com"/>
        <s v="cnet.com"/>
        <s v="surveymonkey.com"/>
        <s v="verisign.com"/>
        <s v="mega.co.nz"/>
        <s v="ip-api.com"/>
        <s v="hath.network"/>
        <s v="fandom.com"/>
        <s v="grammarly.io"/>
        <s v="typekit.net"/>
        <s v="twimg.com"/>
        <s v="jotform.com"/>
        <s v="brave.com"/>
        <s v="fontawesome.com"/>
        <s v="live.net"/>
        <s v="stackadapt.com"/>
        <s v="force.com"/>
        <s v="lijit.com"/>
        <s v="atlassian.net"/>
        <s v="russianpost.ru"/>
        <s v="imgur.com"/>
        <s v="typeform.com"/>
        <s v="hicloud.com"/>
        <s v="avito.ru"/>
        <s v="nike.com"/>
        <s v="conviva.com"/>
        <s v="cbsnews.com"/>
        <s v="newrelic.com"/>
        <s v="bx-msedge.net"/>
        <s v="yieldmo.com"/>
        <s v="smaato.net"/>
        <s v="arubanetworks.com"/>
        <s v="b-msedge.net"/>
        <s v="g.co"/>
        <s v="deepl.com"/>
        <s v="ipinfo.io"/>
        <s v="edgecastdns.net"/>
        <s v="shutterstock.com"/>
        <s v="viber.com"/>
        <s v="ted.com"/>
        <s v="amazon.fr"/>
        <s v="agkn.com"/>
        <s v="amazontrust.com"/>
        <s v="redhat.com"/>
        <s v="elpais.com"/>
        <s v="wattpad.com"/>
        <s v="vidaahub.com"/>
        <s v="marriott.com"/>
        <s v="githubusercontent.com"/>
        <s v="he.net"/>
        <s v="pendo.io"/>
        <s v="nintendo.com"/>
        <s v="tapad.com"/>
        <s v="ups.com"/>
        <s v="wbbasket.ru"/>
        <s v="bluehost.com"/>
        <s v="outbrain.com"/>
        <s v="1rx.io"/>
        <s v="dotomi.com"/>
        <s v="amazon.ca"/>
        <s v="techcrunch.com"/>
        <s v="google.co.uk"/>
        <s v="pinimg.com"/>
        <s v="withgoogle.com"/>
        <s v="volcfcdndvs.com"/>
        <s v="rackspace.net"/>
        <s v="service.gov.uk"/>
        <s v="impervadns.net"/>
        <s v="crwdcntrl.net"/>
        <s v="geobasket.ru"/>
        <s v="mdpi.com"/>
        <s v="klaviyo.com"/>
        <s v="cambridge.org"/>
        <s v="omnitagjs.com"/>
        <s v="hihonorcloud.com"/>
        <s v="sentinelone.net"/>
        <s v="quantserve.com"/>
        <s v="dns-shop.ru"/>
        <s v="bdydns.com"/>
        <s v="publicnode.com"/>
        <s v="pvp.net"/>
        <s v="wp.pl"/>
        <s v="appcenter.ms"/>
        <s v="bidr.io"/>
        <s v="tiktokpangle.us"/>
        <s v="unesco.org"/>
        <s v="spiegel.de"/>
        <s v="rackspace.com"/>
        <s v="lemonde.fr"/>
        <s v="anydesk.com"/>
        <s v="ozone.ru"/>
        <s v="fb.com"/>
        <s v="aniview.com"/>
        <s v="nel.goog"/>
        <s v="browser-intake-datadoghq.com"/>
        <s v="mailchimp.com"/>
        <s v="liadm.com"/>
        <s v="liftoff.io"/>
        <s v="steamstatic.com"/>
        <s v="telephony.goog"/>
        <s v="asus.com"/>
        <s v="onelink.me"/>
        <s v="kontur.ru"/>
        <s v="riotgames.com"/>
        <s v="freepik.com"/>
        <s v="360.cn"/>
        <s v="mediafire.com"/>
        <s v="samsungacr.com"/>
        <s v="gumgum.com"/>
        <s v="xvideos.com"/>
        <s v="ring.com"/>
        <s v="dns.cn"/>
        <s v="sagepub.com"/>
        <s v="oraclecloud.com"/>
        <s v="bugsnag.com"/>
        <s v="dbankcloud.ru"/>
        <s v="adobedc.net"/>
        <s v="xiaohongshu.com"/>
        <s v="bytefcdn-ttpus.com"/>
        <s v="hostgator.com.br"/>
        <s v="afilias-nst.info"/>
        <s v="creativecdn.com"/>
        <s v="amazon.in"/>
        <s v="homedepot.com"/>
        <s v="tencent.com"/>
        <s v="vkontakte.ru"/>
        <s v="chinamobile.com"/>
        <s v="adform.net"/>
        <s v="bytedns1.com"/>
        <s v="bitrix24.ru"/>
        <s v="shopee.co.id"/>
        <s v="allaboutcookies.org"/>
        <s v="amazon.es"/>
        <s v="mixpanel.com"/>
        <s v="erome.com"/>
        <s v="google.cn"/>
        <s v="33across.com"/>
        <s v="cursor.sh"/>
        <s v="no-ip.com"/>
        <s v="lenovo.com"/>
        <s v="lgtvcommon.com"/>
        <s v="appspot.com"/>
        <s v="ovscdns.com"/>
        <s v="zillow.com"/>
        <s v="networkadvertising.org"/>
        <s v="dbankcloud.com"/>
        <s v="box.com"/>
        <s v="a-mo.net"/>
        <s v="amazon.it"/>
        <s v="singular.net"/>
        <s v="fiverr.com"/>
        <s v="cdn-vk.ru"/>
        <s v="enacdn.net"/>
        <s v="zenecn.net"/>
        <s v="me.com"/>
        <s v="zoho.com"/>
        <s v="bytefcdn-ttpeu.com"/>
        <s v="criteo.net"/>
        <s v="prnewswire.com"/>
        <s v="imrworldwide.com"/>
        <s v="myspace.com"/>
        <s v="stripchat.com"/>
        <s v="turn.com"/>
        <s v="people.com"/>
        <s v="bandcamp.com"/>
        <s v="theverge.com"/>
        <s v="miwifi.com"/>
        <s v="clever.com"/>
        <s v="life360.com"/>
        <s v="discordapp.com"/>
        <s v="nikkei.com"/>
        <s v="xerox.com"/>
        <s v="latimes.com"/>
        <s v="disqus.com"/>
        <s v="ks-cdn.com"/>
        <s v="xbox.com"/>
        <s v="teads.tv"/>
        <s v="hbr.org"/>
        <s v="bunnyinfra.net"/>
        <s v="investopedia.com"/>
        <s v="rakuten.com"/>
        <s v="seznam.cz"/>
        <s v="fda.gov"/>
        <s v="python.org"/>
        <s v="ameblo.jp"/>
        <s v="datadoghq.com"/>
        <s v="cloudinary.com"/>
        <s v="recaptcha.net"/>
        <s v="maricopa.gov"/>
        <s v="primevideo.com"/>
        <s v="onlinepbx.ru"/>
        <s v="unpkg.com"/>
        <s v="exp-tas.com"/>
        <s v="washington.edu"/>
        <s v="welt.de"/>
        <s v="threads.com"/>
        <s v="yellowblue.io"/>
        <s v="bestbuy.com"/>
        <s v="mayoclinic.org"/>
        <s v="vivo.com.cn"/>
        <s v="pornhub.com"/>
        <s v="disneyplus.com"/>
        <s v="usps.com"/>
        <s v="apnews.com"/>
        <s v="usgovcloudapi.net"/>
        <s v="adjust.com"/>
        <s v="llamarpc.com"/>
        <s v="afilias-nst.org"/>
        <s v="gtld.biz"/>
        <s v="rbc.ru"/>
        <s v="onetag-sys.com"/>
        <s v="academia.edu"/>
        <s v="synology.com"/>
        <s v="allegro.pl"/>
        <s v="lefigaro.fr"/>
        <s v="spotifycdn.com"/>
        <s v="everesttech.net"/>
        <s v="tenor.com"/>
        <s v="ssl-images-amazon.com"/>
        <s v="trueconf.net"/>
        <s v="zoom.com"/>
        <s v="nbcnews.com"/>
        <s v="azure-devices.net"/>
        <s v="livejournal.com"/>
        <s v="pccc.com"/>
        <s v="websitewelcome.com"/>
        <s v="fwmrm.net"/>
        <s v="themeforest.net"/>
        <s v="flashtalking.com"/>
        <s v="moloco.com"/>
        <s v="webmd.com"/>
        <s v="adblockplus.org"/>
        <s v="mckinsey.com"/>
        <s v="agoda.com"/>
        <s v="shopifysvc.com"/>
        <s v="onlyfans.com"/>
        <s v="classlink.com"/>
        <s v="go-mpulse.net"/>
        <s v="nic.io"/>
        <s v="ci-servers.net"/>
        <s v="salesforceliveagent.com"/>
        <s v="selectel.ru"/>
        <s v="pexels.com"/>
        <s v="ubnt.com"/>
        <s v="figma.com"/>
        <s v="qualtrics.com"/>
        <s v="ui-dns.com"/>
        <s v="playrix.com"/>
        <s v="healthline.com"/>
        <s v="bild.de"/>
        <s v="ci-servers.org"/>
        <s v="rayjump.com"/>
        <s v="iso.org"/>
        <s v="nintendo.net"/>
        <s v="sedo.com"/>
        <s v="linode.com"/>
        <s v="globalsign.com"/>
        <s v="tplinknbu.com"/>
        <s v="princeton.edu"/>
        <s v="hindustantimes.com"/>
        <s v="docker.io"/>
        <s v="usda.gov"/>
        <s v="kunluncan.com"/>
        <s v="openstreetmap.org"/>
        <s v="amazon.com.br"/>
        <s v="bankofamerica.com"/>
        <s v="chess.com"/>
        <s v="wps.com"/>
        <s v="discogs.com"/>
        <s v="ebay.co.uk"/>
        <s v="nypost.com"/>
        <s v="lowes.com"/>
        <s v="eu-1-id5-sync.com"/>
        <s v="nationalgeographic.com"/>
        <s v="genius.com"/>
        <s v="vtwenty.com"/>
        <s v="kick.com"/>
        <s v="att.com"/>
        <s v="samsungosp.com"/>
        <s v="opera-api.com"/>
        <s v="onet.pl"/>
        <s v="worldbank.org"/>
        <s v="unrulymedia.com"/>
        <s v="megafon.ru"/>
        <s v="prodregistryv2.org"/>
        <s v="mailchi.mp"/>
        <s v="redd.it"/>
        <s v="sportradar.com"/>
        <s v="otto.de"/>
        <s v="jetbrains.com"/>
        <s v="biblegateway.com"/>
        <s v="theatlantic.com"/>
        <s v="yandexcloud.net"/>
        <s v="hm.com"/>
        <s v="deloitte.com"/>
        <s v="chaturbate.com"/>
        <s v="alipaydns.com"/>
        <s v="cloudsink.net"/>
        <s v="nextlgsdp.com"/>
        <s v="warnerbros.com"/>
        <s v="btloader.com"/>
        <s v="whitehouse.gov"/>
        <s v="rambler.ru"/>
        <s v="adgrx.com"/>
        <s v="youku.com"/>
        <s v="smilewanted.com"/>
        <s v="utorrent.com"/>
        <s v="arcgis.com"/>
        <s v="www.gov.br"/>
        <s v="frontiersin.org"/>
        <s v="goskope.com"/>
        <s v="huffpost.com"/>
        <s v="character.ai"/>
        <s v="patreon.com"/>
        <s v="samsungcloudsolution.net"/>
        <s v="netgear.com"/>
        <s v="change.org"/>
        <s v="smartthings.com"/>
        <s v="kleinanzeigen.de"/>
        <s v="shopeemobile.com"/>
        <s v="seedtag.com"/>
        <s v="bytefcdn.com"/>
        <s v="gdemoideti.ru"/>
        <s v="immedia-semi.com"/>
        <s v="gkdionis.ru"/>
        <s v="repubblica.it"/>
        <s v="leiniao.com"/>
        <s v="kslawin.com"/>
        <s v="buzzfeed.com"/>
        <s v="epa.gov"/>
        <s v="mercadolivre.com.br"/>
        <s v="cdnhwc1.com"/>
        <s v="ebay.de"/>
        <s v="daum.net"/>
        <s v="herokuapp.com"/>
        <s v="crazygames.com"/>
        <s v="pbs.org"/>
        <s v="kueezrtb.com"/>
        <s v="epicgames.dev"/>
        <s v="fbsbx.com"/>
        <s v="squarespacedns.com"/>
        <s v="jd.com"/>
        <s v="thenai.org"/>
        <s v="airbnb.com"/>
        <s v="tiktokw.us"/>
        <s v="readthedocs.io"/>
        <s v="vegalb.com"/>
        <s v="news.com.au"/>
        <s v="quizlet.com"/>
        <s v="corriere.it"/>
        <s v="caiway.net"/>
        <s v="weforum.org"/>
        <s v="nexusmods.com"/>
        <s v="pikabu.ru"/>
        <s v="mercadolibre.com.ar"/>
        <s v="amazon.com.au"/>
        <s v="coupang.com"/>
        <s v="dbankcloud.cn"/>
        <s v="onesignal.com"/>
        <s v="dfn.nl"/>
        <s v="microsoftpersonalcontent.com"/>
        <s v="ad-delivery.net"/>
        <s v="richaudience.com"/>
        <s v="caixa.gov.br"/>
        <s v="kwai.com"/>
        <s v="xnxx.com"/>
        <s v="poki.com"/>
        <s v="costco.com"/>
        <s v="newsweek.com"/>
        <s v="webhostbox.net"/>
        <s v="umbrella.com"/>
        <s v="agora.io"/>
        <s v="magazineluiza.com.br"/>
        <s v="binance.com"/>
        <s v="kickstarter.com"/>
        <s v="umich.edu"/>
        <s v="split.io"/>
        <s v="lge.com"/>
        <s v="focus.de"/>
        <s v="iiko.it"/>
        <s v="tsyndicate.com"/>
        <s v="fidelity.com"/>
        <s v="bidmachine.io"/>
        <s v="kwcdn.com"/>
        <s v="1drv.com"/>
        <s v="pixiv.net"/>
        <s v="heytapmobi.com"/>
        <s v="4dex.io"/>
        <s v="google.co.jp"/>
        <s v="yandex.com.tr"/>
        <s v="ovscdns.net"/>
        <s v="sofascore.com"/>
        <s v="garmin.com"/>
        <s v="bol.com"/>
        <s v="columbia.edu"/>
        <s v="service-now.com"/>
        <s v="samsungelectronics.com"/>
        <s v="mihanwebhost.com"/>
        <s v="superhosting.bg"/>
        <s v="yximgs.com"/>
        <s v="macys.com"/>
        <s v="skroutz.gr"/>
        <s v="leparisien.fr"/>
        <s v="ancestry.com"/>
        <s v="liftoff-creatives.io"/>
        <s v="zdnscloud.com"/>
        <s v="faphouse.com"/>
        <s v="orderbox-dns.com"/>
        <s v="easy4ipcloud.com"/>
        <s v="zijieapi.com"/>
        <s v="state.gov"/>
        <s v="note.com"/>
        <s v="1c.ru"/>
        <s v="flipkart.com"/>
        <s v="merriam-webster.com"/>
        <s v="youronlinechoices.com"/>
        <s v="letterboxd.com"/>
        <s v="attn.tv"/>
        <s v="cbc.ca"/>
        <s v="ecosia.org"/>
        <s v="infobae.com"/>
        <s v="webempresa.eu"/>
        <s v="google.fr"/>
        <s v="amazon.com.mx"/>
        <s v="wpguardian.com"/>
        <s v="tendawifi.com"/>
        <s v="olx.com.br"/>
        <s v="msftauth.net"/>
        <s v="wpguardian.io"/>
        <s v="fbpigeon.com"/>
        <s v="app-analytics-services-att.com"/>
        <s v="cdnhwc2.com"/>
        <s v="tubi.io"/>
        <s v="abc.es"/>
        <s v="hepsiburada.com"/>
        <s v="edna.ru"/>
        <s v="vk-analytics.ru"/>
        <s v="it.com"/>
        <s v="ubi.com"/>
        <s v="dribbble.com"/>
        <s v="marca.com"/>
        <s v="onedrive.com"/>
        <s v="i18n-pglstatp.com"/>
        <s v="skyhigh.cloud"/>
        <s v="ouest-france.fr"/>
        <s v="huffingtonpost.com"/>
        <s v="sapo.pt"/>
        <s v="as.com"/>
        <s v="bitdefender.net"/>
        <s v="incapdns.net"/>
        <s v="ameba.jp"/>
        <s v="bfmtv.com"/>
        <s v="yandex.kz"/>
        <s v="hilton.com"/>
        <s v="alphonso.tv"/>
        <s v="terra.com.br"/>
        <s v="theconversation.com"/>
        <s v="xhcdn.com"/>
        <s v="trendyol.com"/>
        <s v="statcounter.com"/>
        <s v="kohls.com"/>
        <s v="ilovepdf.com"/>
        <s v="meethue.com"/>
        <s v="pandora.com"/>
        <s v="tinkoff.ru"/>
        <s v="cspserver.net"/>
        <s v="xing.com"/>
        <s v="rtbcdn.ru"/>
        <s v="kaspi.kz"/>
        <s v="cdek.ru"/>
        <s v="dnse0.com"/>
        <s v="savvis.net"/>
        <s v="ttlivecdn.com"/>
        <s v="odoo.com"/>
        <s v="afafb.com"/>
        <s v="uchi.ru"/>
        <s v="businesswire.com"/>
        <s v="gsmarena.com"/>
        <s v="moneycontrol.com"/>
        <s v="rapid7.com"/>
        <s v="inkuai.com"/>
        <s v="uniqlo.com"/>
        <s v="jimdo.com"/>
        <s v="mythad.com"/>
        <s v="ox.ac.uk"/>
        <s v="amagi.tv"/>
        <s v="nexthink.cloud"/>
        <s v="notion.so"/>
        <s v="samsungcloud.tv"/>
        <s v="lgtvsdp.com"/>
        <s v="mercadolibre.com.mx"/>
        <s v="segment.io"/>
        <s v="n-tv.de"/>
        <s v="abovedomains.com"/>
        <s v="wise.com"/>
        <s v="fortune.com"/>
        <s v="leboncoin.fr"/>
        <s v="google.ca"/>
        <s v="xhscdn.com"/>
        <s v="idnes.cz"/>
        <s v="elmundo.es"/>
        <s v="economist.com"/>
        <s v="ctdns.cn"/>
        <s v="coursera.org"/>
        <s v="firebaseio.com"/>
        <s v="sahibinden.com"/>
        <s v="docomo.ne.jp"/>
        <s v="tnaflix.com"/>
        <s v="franceinfo.fr"/>
        <s v="yale.edu"/>
        <s v="mozgcp.net"/>
        <s v="vivo.com"/>
        <s v="ultimate-guitar.com"/>
        <s v="google.es"/>
        <s v="gismeteo.ru"/>
        <s v="biomedcentral.com"/>
        <s v="eporner.com"/>
        <s v="ddns.net"/>
        <s v="hik-connect.com"/>
        <s v="dyndns.org"/>
        <s v="rustdesk.com"/>
        <s v="jstor.org"/>
        <s v="lanacion.com.ar"/>
        <s v="plos.org"/>
        <s v="byteoversea.com"/>
        <s v="cookpad.com"/>
        <s v="dafont.com"/>
        <s v="psychologytoday.com"/>
        <s v="apa.org"/>
        <s v="tabelog.com"/>
        <s v="phncdn.com"/>
        <s v="nsone.net"/>
        <s v="herokudns.com"/>
        <s v="gofundme.com"/>
        <s v="aftonbladet.se"/>
        <s v="zhihu.com"/>
        <s v="archiveofourown.org"/>
        <s v="t-bank-app.ru"/>
        <s v="hwcdn.ru"/>
        <s v="hltv.org"/>
        <s v="espncricinfo.com"/>
        <s v="plex.tv"/>
        <s v="indilogic.com"/>
        <s v="aparat.com"/>
        <s v="ad.nl"/>
        <s v="flashscore.com"/>
        <s v="parklogic.com"/>
        <s v="bet365.com"/>
        <s v="olx.pl"/>
        <s v="amazon.com.tr"/>
        <s v="nhentai.net"/>
        <s v="instructure.com"/>
        <s v="meitu.com"/>
        <s v="trello.com"/>
        <s v="wordwall.net"/>
        <s v="deezer.com"/>
        <s v="pusher.com"/>
        <s v="att.net"/>
        <s v="nu.nl"/>
        <s v="mmechocaptiveportal.com"/>
        <s v="jw.org"/>
        <s v="w3schools.com"/>
        <s v="lequipe.fr"/>
        <s v="vnexpress.net"/>
        <s v="vg.no"/>
        <s v="elconfidencial.com"/>
        <s v="rule34.xxx"/>
        <s v="furaffinity.net"/>
        <s v="tradplusad.com"/>
        <s v="mgslb.com"/>
        <s v="dmm.co.jp"/>
        <s v="usnews.com"/>
        <s v="susercontent.com"/>
        <s v="eu.com"/>
        <s v="digitaloceanspaces.com"/>
        <s v="elcorteingles.es"/>
        <s v="pornpics.com"/>
        <s v="rightmove.co.uk"/>
        <s v="remove.bg"/>
        <s v="abc.net.au"/>
        <s v="itmedia.co.jp"/>
        <s v="janitorai.com"/>
        <s v="spankbang.com"/>
        <s v="contentsquare.net"/>
        <s v="xhamster.desi"/>
        <s v="marksandspencer.com"/>
        <s v="lichess.org"/>
        <s v="severstal.com"/>
        <s v="savefrom.net"/>
        <s v="oecd.org"/>
        <s v="cnnbrasil.com.br"/>
        <s v="finn.no"/>
        <s v="youporn.com"/>
        <s v="lwsdns.com"/>
        <s v="vkuseraudio.net"/>
        <s v="ixl.com"/>
        <s v="jcpenney.com"/>
        <s v="tabor.ru"/>
        <s v="icanhazip.com"/>
        <s v="spamhaus.org"/>
        <s v="dhl.com"/>
        <s v="blooket.com"/>
        <s v="psu.edu"/>
        <s v="wayground.com"/>
        <s v="adaether.com"/>
        <s v="acesso.gov.br"/>
        <s v="xhamster44.desi"/>
        <s v="fb.me"/>
        <s v="mango.com"/>
        <s v="gazzetta.it"/>
        <s v="yimg.com"/>
        <s v="gtm-a2b2.com"/>
        <s v="prom.ua"/>
        <s v="redtube.com"/>
        <s v="cdiscount.com"/>
        <s v="tgju.org"/>
        <s v="argos.co.uk"/>
        <s v="sportybet.com"/>
        <s v="namu.wiki"/>
        <s v="buydomains.com"/>
        <s v="makemytrip.com"/>
        <s v="indiamart.com"/>
        <s v="leroymerlin.fr"/>
        <s v="riotcdn.net"/>
        <s v="fanfiction.net"/>
        <s v="idealista.com"/>
        <s v="fetlife.com"/>
        <s v="company-target.com"/>
        <s v="alipay.com"/>
        <s v="txnhh.com"/>
        <s v="ultradns.com"/>
        <s v="hotpepper.jp"/>
        <s v="merkur.de"/>
        <s v="palmplaystore.com"/>
        <s v="ebay.it"/>
        <s v="hln.be"/>
        <s v="stackexchange.com"/>
        <s v="google.it"/>
        <s v="allocine.fr"/>
        <s v="akismet.com"/>
        <s v="livescore.com"/>
        <s v="upenn.edu"/>
        <s v="overwolf.com"/>
        <s v="marktplaats.nl"/>
        <s v="litnet.com"/>
        <s v="divar.ir"/>
        <s v="myntra.com"/>
        <s v="usercontent.goog"/>
        <s v="actu.fr"/>
        <s v="contextweb.com"/>
        <s v="lc.chat"/>
        <s v="norton.com"/>
        <s v="emag.ro"/>
        <s v="rings.solutions"/>
        <s v="ceneo.pl"/>
        <s v="e621.net"/>
        <s v="calculator.net"/>
        <s v="noodlemagazine.com"/>
        <s v="admanmedia.com"/>
        <s v="igamecj.com"/>
        <s v="zemanta.com"/>
        <s v="medallia.com"/>
        <s v="dcinside.com"/>
        <s v="bilibili.tv"/>
        <s v="cricbuzz.com"/>
        <s v="mydramalist.com"/>
        <s v="vivox.com"/>
        <s v="xhamster2.com"/>
        <s v="ucla.edu"/>
        <s v="jusbrasil.com.br"/>
        <s v="boyfriendtv.com"/>
        <s v="tvn24.pl"/>
        <s v="futbin.com"/>
        <s v="bmj.com"/>
        <s v="funpay.com"/>
        <s v="naukri.com"/>
        <s v="coolmathgames.com"/>
        <s v="rfihub.com"/>
        <s v="dlsite.com"/>
        <s v="va.gov"/>
        <s v="xgroovy.com"/>
        <s v="zdnet.com"/>
        <s v="justdial.com"/>
        <s v="cam4.com"/>
        <s v="sun.com"/>
        <s v="donmai.us"/>
        <s v="ap4r.com"/>
        <s v="dw.com"/>
        <s v="metropoles.com"/>
        <s v="mangabuff.ru"/>
        <s v="gcash.com"/>
        <s v="translate.goog"/>
        <s v="youjizz.com"/>
        <s v="turkiye.gov.tr"/>
        <s v="videy.co"/>
        <s v="xhamster19.com"/>
        <s v="thisvid.com"/>
        <s v="wiktionary.org"/>
        <s v="aternos.org"/>
        <s v="novinky.cz"/>
        <s v="fdown.net"/>
        <s v="pornone.com"/>
        <s v="nesine.com"/>
        <s v="fmkorea.com"/>
        <s v="uci.edu"/>
        <s v="gst.gov.in"/>
        <s v="starfall.com"/>
        <s v="cardgames.io"/>
        <s v="ey43.com"/>
        <s v="irs.gov"/>
        <s v="subito.it"/>
        <s v="mbga.jp"/>
        <s v="cronista.com"/>
        <s v="digikala.com"/>
        <s v="asuracomic.net"/>
        <s v="aznude.com"/>
        <s v="e-volution.ai"/>
        <s v="haberler.com"/>
        <s v="dantri.com.vn"/>
        <s v="imagefap.com"/>
        <s v="xhopen.com"/>
        <s v="xhaccess.com"/>
        <s v="toyhou.se"/>
        <s v="fapello.com"/>
        <s v="hitomi.la"/>
        <s v="hianime.to"/>
        <s v="missav.ws"/>
        <s v="ntppool.org"/>
        <s v="xnxx.tv"/>
        <s v="e-hentai.org"/>
        <s v="sotwe.com"/>
        <s v="jalan.net"/>
        <s v="stbid.ru"/>
        <s v="xhamster1.desi"/>
        <s v="wikihow.com"/>
        <s v="hollywoodbets.net"/>
        <s v="imhentai.xxx"/>
        <s v="kargo.com"/>
        <s v="ixxx.com"/>
        <s v="moengage.com"/>
        <s v="rule34video.com"/>
        <s v="xvv1deos.com"/>
        <s v="netkeiba.com"/>
        <s v="kemono.cr"/>
        <s v="rainberrytv.com"/>
        <s v="pornhub.org"/>
        <s v="dagbladet.no"/>
        <s v="xxxbp.tv"/>
        <s v="letsencrypt.org"/>
        <s v="xvideos-cdn.com"/>
        <s v="xfinity.com"/>
        <s v="eepurl.com"/>
        <s v="jable.tv"/>
        <s v="bookmyshow.com"/>
        <s v="18comic.vip"/>
        <s v="weathernews.jp"/>
        <s v="suumo.jp"/>
        <s v="karnataka.gov.in"/>
        <s v="boardgamearena.com"/>
        <s v="russianfood.com"/>
        <s v="jagran.com"/>
        <s v="inven.co.kr"/>
        <s v="mercari.com"/>
        <s v="simpcity.cr"/>
        <s v="filmweb.pl"/>
        <s v="action.com"/>
        <s v="uidai.gov.in"/>
        <s v="hugedomains.com"/>
        <s v="ilmeteo.it"/>
        <s v="newyorker.com"/>
        <s v="game8.jp"/>
        <s v="statuspage.io"/>
        <s v="iltalehti.fi"/>
        <s v="youm7.com"/>
        <s v="skysports.com"/>
        <s v="idealista.it"/>
        <s v="xvideos.es"/>
        <s v="syosetu.com"/>
        <s v="cqloud.com"/>
        <s v="xhsocial.com"/>
        <s v="navitime.co.jp"/>
        <s v="sozcu.com.tr"/>
        <s v="tesla.com"/>
        <s v="varzesh3.com"/>
        <s v="fedex.com"/>
        <s v="24h.com.vn"/>
        <s v="index.hr"/>
        <s v="zozo.jp"/>
        <s v="mediaexpert.pl"/>
        <s v="com.be"/>
        <s v="cityheaven.net"/>
        <s v="blic.rs"/>
        <s v="otomoto.pl"/>
        <s v="ukdevilz.com"/>
        <s v="carsensor.net"/>
        <s v="hdporncomics.com"/>
        <s v="ekstrabladet.dk"/>
        <s v="pornhat.com"/>
        <s v="gelbooru.com"/>
        <s v="ficbook.net"/>
        <s v="missav.live"/>
        <s v="superporn.com"/>
        <s v="ssstik.io"/>
        <s v="betway.co.za"/>
        <s v="zdnscloud.cn"/>
        <s v="bingoplus.com"/>
        <s v="1mg.com"/>
        <s v="indexww.com"/>
        <s v="cootlogix.com"/>
        <s v="testbook.com"/>
        <s v="3bmeteo.com"/>
        <s v="sxyprn.com"/>
        <s v="mangago.me"/>
        <s v="cardekho.com"/>
        <s v="kooora.com"/>
        <s v="luxuretv.com"/>
        <s v="liteapks.com"/>
        <s v="gamewith.jp"/>
        <s v="us.com"/>
        <s v="torob.com"/>
        <s v="cmoa.jp"/>
        <s v="pussyspace.com"/>
        <s v="sexvid.xxx"/>
        <s v="hanime1.me"/>
        <s v="fpo.xxx"/>
        <s v="fuq.com"/>
        <s v="motherless.com"/>
        <s v="eltiempo.es"/>
        <s v="mat6tube.com"/>
        <s v="aniwatchtv.to"/>
        <s v="clickpetroleoegas.com.br"/>
        <s v="xnxx.es"/>
        <s v="xvideos2.com"/>
        <s v="bt.dk"/>
        <s v="myreadingmanga.info"/>
        <s v="cardmarket.com"/>
        <s v="blxrbdn.com"/>
        <s v="faphouse.tv"/>
        <s v="apple-cloudkit.com"/>
        <s v="obqj2.com"/>
        <s v="postgresql.org"/>
        <s v="tokyomotion.net"/>
        <s v="caliente.mx"/>
        <s v="hqporner.com"/>
        <s v="sex-studentki.team"/>
        <s v="bookmark.xxx"/>
        <s v="exhentai.org"/>
        <s v="programme-tv.net"/>
        <s v="porno365.gold"/>
        <s v="admin.ch"/>
        <s v="byteconnect.io"/>
        <s v="kompoz2.com"/>
        <s v="wow.xxx"/>
        <s v="eci.gov.in"/>
        <s v="tycsports.com"/>
        <s v="ntp.br"/>
        <s v="su89-cdn.net"/>
        <s v="sinoptik.ua"/>
        <s v="hdtube.porn"/>
        <s v="wisc.edu"/>
        <s v="xnxx.health"/>
        <s v="ruliweb.com"/>
        <s v="zearn.org"/>
        <s v="yzwtz.com"/>
        <s v="redwap.sex"/>
        <s v="prokerala.com"/>
        <s v="gdz.ru"/>
        <s v="rat.xxx"/>
        <s v="dkitrxmdwoqruvsi.net"/>
        <s v="ptt.cc"/>
        <s v="missav123.com"/>
        <s v="apple.news"/>
        <s v="google.ru"/>
        <s v="supjav.com"/>
        <s v="njuskalo.hr"/>
        <s v="missav.ai"/>
        <s v="goodreturns.in"/>
        <s v="wnacg.com"/>
        <s v="ijavhd.com"/>
        <s v="69shuba.com"/>
        <s v="bato.to"/>
        <s v="carwale.com"/>
        <s v="xnxx-arabic.com"/>
        <s v="moviebox.ph"/>
        <s v="arca.live"/>
        <s v="namasha.com"/>
        <s v="iporntv.net"/>
        <s v="desitales2.com"/>
        <s v="banvenez.com"/>
        <s v="nosv.org"/>
        <s v="fastdl.app"/>
        <s v="trustarc.com"/>
        <s v="qorno.com"/>
        <s v="cam.ac.uk"/>
        <s v="apdcdn.com"/>
        <s v="listcrawler.eu"/>
        <s v="fatalmodel.com"/>
        <s v="snaptik.app"/>
      </sharedItems>
    </cacheField>
    <cacheField name="category" numFmtId="0">
      <sharedItems count="7">
        <s v="Social"/>
        <s v="News"/>
        <s v="Finance"/>
        <s v="Search"/>
        <s v="Streaming"/>
        <s v="Tech"/>
        <s v="E-commerce"/>
      </sharedItems>
    </cacheField>
    <cacheField name="primary_market" numFmtId="0">
      <sharedItems count="6">
        <s v="DE"/>
        <s v="IN"/>
        <s v="BR"/>
        <s v="GB"/>
        <s v="JP"/>
        <s v="US"/>
      </sharedItems>
    </cacheField>
    <cacheField name="monthly_visits" numFmtId="1">
      <sharedItems containsSemiMixedTypes="0" containsString="0" containsNumber="1" containsInteger="1" minValue="20930511" maxValue="996572612" count="1500">
        <n v="996572612"/>
        <n v="635529412"/>
        <n v="525892610"/>
        <n v="589445551"/>
        <n v="402317681"/>
        <n v="334143655"/>
        <n v="376941229"/>
        <n v="415012900"/>
        <n v="296821826"/>
        <n v="263102204"/>
        <n v="252270262"/>
        <n v="346164172"/>
        <n v="249773462"/>
        <n v="307122589"/>
        <n v="216739182"/>
        <n v="211271952"/>
        <n v="236317374"/>
        <n v="273843355"/>
        <n v="207815027"/>
        <n v="191331971"/>
        <n v="202396575"/>
        <n v="185606465"/>
        <n v="222002758"/>
        <n v="176310109"/>
        <n v="200157336"/>
        <n v="161153089"/>
        <n v="167022433"/>
        <n v="221506499"/>
        <n v="213194289"/>
        <n v="212804436"/>
        <n v="145412192"/>
        <n v="175832912"/>
        <n v="142085880"/>
        <n v="180366796"/>
        <n v="191275221"/>
        <n v="169077552"/>
        <n v="147029001"/>
        <n v="149957155"/>
        <n v="149874320"/>
        <n v="176300048"/>
        <n v="148082499"/>
        <n v="166316178"/>
        <n v="132167875"/>
        <n v="145597942"/>
        <n v="147816685"/>
        <n v="159710170"/>
        <n v="151090731"/>
        <n v="172362276"/>
        <n v="123203308"/>
        <n v="143340973"/>
        <n v="121938978"/>
        <n v="134085268"/>
        <n v="158009610"/>
        <n v="109356676"/>
        <n v="159796890"/>
        <n v="149796748"/>
        <n v="136821594"/>
        <n v="124554412"/>
        <n v="143715077"/>
        <n v="146979299"/>
        <n v="106910304"/>
        <n v="123518820"/>
        <n v="137657450"/>
        <n v="144269671"/>
        <n v="125382903"/>
        <n v="104760228"/>
        <n v="133067330"/>
        <n v="116553823"/>
        <n v="114127938"/>
        <n v="138014671"/>
        <n v="119251379"/>
        <n v="127396807"/>
        <n v="96865454"/>
        <n v="110007516"/>
        <n v="105210092"/>
        <n v="102276655"/>
        <n v="101068570"/>
        <n v="92099550"/>
        <n v="134286769"/>
        <n v="93811453"/>
        <n v="89571837"/>
        <n v="99022170"/>
        <n v="94714232"/>
        <n v="105263198"/>
        <n v="107720659"/>
        <n v="93228957"/>
        <n v="114905672"/>
        <n v="96115886"/>
        <n v="87374725"/>
        <n v="126027496"/>
        <n v="107839816"/>
        <n v="115517550"/>
        <n v="103071215"/>
        <n v="116860451"/>
        <n v="110731363"/>
        <n v="81730122"/>
        <n v="108152824"/>
        <n v="82010552"/>
        <n v="104101893"/>
        <n v="111540216"/>
        <n v="108946965"/>
        <n v="81766226"/>
        <n v="98260992"/>
        <n v="102300667"/>
        <n v="90806819"/>
        <n v="100469582"/>
        <n v="113740398"/>
        <n v="107737440"/>
        <n v="102811924"/>
        <n v="105076413"/>
        <n v="87350610"/>
        <n v="85164945"/>
        <n v="94196062"/>
        <n v="102229724"/>
        <n v="82562944"/>
        <n v="84036980"/>
        <n v="87732685"/>
        <n v="106855334"/>
        <n v="102010416"/>
        <n v="100874702"/>
        <n v="90685661"/>
        <n v="74131049"/>
        <n v="93353171"/>
        <n v="99289937"/>
        <n v="93268540"/>
        <n v="87832371"/>
        <n v="97097740"/>
        <n v="96974937"/>
        <n v="75095541"/>
        <n v="93055959"/>
        <n v="73954831"/>
        <n v="102807857"/>
        <n v="97691027"/>
        <n v="98807122"/>
        <n v="101281492"/>
        <n v="94085018"/>
        <n v="75346263"/>
        <n v="100769164"/>
        <n v="93712033"/>
        <n v="93650671"/>
        <n v="94494711"/>
        <n v="73399062"/>
        <n v="82831056"/>
        <n v="94313297"/>
        <n v="67082139"/>
        <n v="73708457"/>
        <n v="88259734"/>
        <n v="80723088"/>
        <n v="89337385"/>
        <n v="90829151"/>
        <n v="70398260"/>
        <n v="94602613"/>
        <n v="91840643"/>
        <n v="69980777"/>
        <n v="92802332"/>
        <n v="93374866"/>
        <n v="79028813"/>
        <n v="84622593"/>
        <n v="77172646"/>
        <n v="75032492"/>
        <n v="86203546"/>
        <n v="70937123"/>
        <n v="86802430"/>
        <n v="82992471"/>
        <n v="85497322"/>
        <n v="88482082"/>
        <n v="84258715"/>
        <n v="66044715"/>
        <n v="67228239"/>
        <n v="72588751"/>
        <n v="74572032"/>
        <n v="66669659"/>
        <n v="90088308"/>
        <n v="89665455"/>
        <n v="74921806"/>
        <n v="87530469"/>
        <n v="77350930"/>
        <n v="71501837"/>
        <n v="79291404"/>
        <n v="71891587"/>
        <n v="86479776"/>
        <n v="79163513"/>
        <n v="72973753"/>
        <n v="63167428"/>
        <n v="83150654"/>
        <n v="65197279"/>
        <n v="67416079"/>
        <n v="63649570"/>
        <n v="62168935"/>
        <n v="75512992"/>
        <n v="84742809"/>
        <n v="67303701"/>
        <n v="59320013"/>
        <n v="68903889"/>
        <n v="61765051"/>
        <n v="62540895"/>
        <n v="73358531"/>
        <n v="79327672"/>
        <n v="73990984"/>
        <n v="69907316"/>
        <n v="74100273"/>
        <n v="77974384"/>
        <n v="75899825"/>
        <n v="56139777"/>
        <n v="69516463"/>
        <n v="57581820"/>
        <n v="80956836"/>
        <n v="63389593"/>
        <n v="74587866"/>
        <n v="75124395"/>
        <n v="80579642"/>
        <n v="67216815"/>
        <n v="59557938"/>
        <n v="78474920"/>
        <n v="73940067"/>
        <n v="77171597"/>
        <n v="68188112"/>
        <n v="57724378"/>
        <n v="56532946"/>
        <n v="72600962"/>
        <n v="54023616"/>
        <n v="74136162"/>
        <n v="72008435"/>
        <n v="70512608"/>
        <n v="74964823"/>
        <n v="61601492"/>
        <n v="54812580"/>
        <n v="75626788"/>
        <n v="53693304"/>
        <n v="62360824"/>
        <n v="78084065"/>
        <n v="74366832"/>
        <n v="58893584"/>
        <n v="57026967"/>
        <n v="66748842"/>
        <n v="75044454"/>
        <n v="66402837"/>
        <n v="63760566"/>
        <n v="71432193"/>
        <n v="76371842"/>
        <n v="70236426"/>
        <n v="52210921"/>
        <n v="61235821"/>
        <n v="51316911"/>
        <n v="67590353"/>
        <n v="54460729"/>
        <n v="61612014"/>
        <n v="56949652"/>
        <n v="72161677"/>
        <n v="62850267"/>
        <n v="65535744"/>
        <n v="50730322"/>
        <n v="54739877"/>
        <n v="62176821"/>
        <n v="64515754"/>
        <n v="71204862"/>
        <n v="70480487"/>
        <n v="71057151"/>
        <n v="73104756"/>
        <n v="51877374"/>
        <n v="62537703"/>
        <n v="66738160"/>
        <n v="70613131"/>
        <n v="68257088"/>
        <n v="58914380"/>
        <n v="66279965"/>
        <n v="56842393"/>
        <n v="68568956"/>
        <n v="68414402"/>
        <n v="70186991"/>
        <n v="55212456"/>
        <n v="51678197"/>
        <n v="57078111"/>
        <n v="61579685"/>
        <n v="59443928"/>
        <n v="63281813"/>
        <n v="57559716"/>
        <n v="52775882"/>
        <n v="64717315"/>
        <n v="66101231"/>
        <n v="50681785"/>
        <n v="51323857"/>
        <n v="69087727"/>
        <n v="67616177"/>
        <n v="48727553"/>
        <n v="58393608"/>
        <n v="59687789"/>
        <n v="54674561"/>
        <n v="49286255"/>
        <n v="66849064"/>
        <n v="53068912"/>
        <n v="52357194"/>
        <n v="61636536"/>
        <n v="62200552"/>
        <n v="66324160"/>
        <n v="47848012"/>
        <n v="61380008"/>
        <n v="55781192"/>
        <n v="59135745"/>
        <n v="67163943"/>
        <n v="51953468"/>
        <n v="57630198"/>
        <n v="58374396"/>
        <n v="67423407"/>
        <n v="60243153"/>
        <n v="66634877"/>
        <n v="46747324"/>
        <n v="48052952"/>
        <n v="60555632"/>
        <n v="61028267"/>
        <n v="53267501"/>
        <n v="51453972"/>
        <n v="61822564"/>
        <n v="62294532"/>
        <n v="55942493"/>
        <n v="48055560"/>
        <n v="53563377"/>
        <n v="59387882"/>
        <n v="54241153"/>
        <n v="61281508"/>
        <n v="66892688"/>
        <n v="54386261"/>
        <n v="48691617"/>
        <n v="53480492"/>
        <n v="64424981"/>
        <n v="62685106"/>
        <n v="66214806"/>
        <n v="49299881"/>
        <n v="50990869"/>
        <n v="60836729"/>
        <n v="48105270"/>
        <n v="55751014"/>
        <n v="57199981"/>
        <n v="49450659"/>
        <n v="54223967"/>
        <n v="57327763"/>
        <n v="58397144"/>
        <n v="55656649"/>
        <n v="56173590"/>
        <n v="58099623"/>
        <n v="64363276"/>
        <n v="58121828"/>
        <n v="47339109"/>
        <n v="47054183"/>
        <n v="49070889"/>
        <n v="46747987"/>
        <n v="43150388"/>
        <n v="47756975"/>
        <n v="43720623"/>
        <n v="50060923"/>
        <n v="44976197"/>
        <n v="51664813"/>
        <n v="53115376"/>
        <n v="56581953"/>
        <n v="49554473"/>
        <n v="62536236"/>
        <n v="58407221"/>
        <n v="55664392"/>
        <n v="50829576"/>
        <n v="49292122"/>
        <n v="60813318"/>
        <n v="59574988"/>
        <n v="51117022"/>
        <n v="47143337"/>
        <n v="55507116"/>
        <n v="52116110"/>
        <n v="49536942"/>
        <n v="54537398"/>
        <n v="60244204"/>
        <n v="47144492"/>
        <n v="43573225"/>
        <n v="56462209"/>
        <n v="58249292"/>
        <n v="50946828"/>
        <n v="51955851"/>
        <n v="53038250"/>
        <n v="58182442"/>
        <n v="46189405"/>
        <n v="42554417"/>
        <n v="47804372"/>
        <n v="54676627"/>
        <n v="53034508"/>
        <n v="44148925"/>
        <n v="46470080"/>
        <n v="43809331"/>
        <n v="45046279"/>
        <n v="51117711"/>
        <n v="59644947"/>
        <n v="42110462"/>
        <n v="54398533"/>
        <n v="46912647"/>
        <n v="54366224"/>
        <n v="42661932"/>
        <n v="51781920"/>
        <n v="54059647"/>
        <n v="56233776"/>
        <n v="59345588"/>
        <n v="50144189"/>
        <n v="55534712"/>
        <n v="42068488"/>
        <n v="46558385"/>
        <n v="42803459"/>
        <n v="49770927"/>
        <n v="44077688"/>
        <n v="52260300"/>
        <n v="43483403"/>
        <n v="43806204"/>
        <n v="41500075"/>
        <n v="39626333"/>
        <n v="57496418"/>
        <n v="44143017"/>
        <n v="52090697"/>
        <n v="56773960"/>
        <n v="48227425"/>
        <n v="43463823"/>
        <n v="42896910"/>
        <n v="48153387"/>
        <n v="44624433"/>
        <n v="43135340"/>
        <n v="52278813"/>
        <n v="53007724"/>
        <n v="44516457"/>
        <n v="51141860"/>
        <n v="55923105"/>
        <n v="52524481"/>
        <n v="48354617"/>
        <n v="54493595"/>
        <n v="39596096"/>
        <n v="47299063"/>
        <n v="47513964"/>
        <n v="44273973"/>
        <n v="40514324"/>
        <n v="40959310"/>
        <n v="45336916"/>
        <n v="55485378"/>
        <n v="50376416"/>
        <n v="41035915"/>
        <n v="41139302"/>
        <n v="47745116"/>
        <n v="40752485"/>
        <n v="49721424"/>
        <n v="54889318"/>
        <n v="42989828"/>
        <n v="48913472"/>
        <n v="50783833"/>
        <n v="48236118"/>
        <n v="55913214"/>
        <n v="56529367"/>
        <n v="38642979"/>
        <n v="53171046"/>
        <n v="51304770"/>
        <n v="54228221"/>
        <n v="46764433"/>
        <n v="55646159"/>
        <n v="40292525"/>
        <n v="42082703"/>
        <n v="43333532"/>
        <n v="51185238"/>
        <n v="54242172"/>
        <n v="45909645"/>
        <n v="42083000"/>
        <n v="44373963"/>
        <n v="53658377"/>
        <n v="47734953"/>
        <n v="42838281"/>
        <n v="46547095"/>
        <n v="51457768"/>
        <n v="40465695"/>
        <n v="43998804"/>
        <n v="51019143"/>
        <n v="41544782"/>
        <n v="51775650"/>
        <n v="46831852"/>
        <n v="46786700"/>
        <n v="46180997"/>
        <n v="47418624"/>
        <n v="43511648"/>
        <n v="37332244"/>
        <n v="53231197"/>
        <n v="39111524"/>
        <n v="42510241"/>
        <n v="51565816"/>
        <n v="42954579"/>
        <n v="40527871"/>
        <n v="48749939"/>
        <n v="40822297"/>
        <n v="42072025"/>
        <n v="48004945"/>
        <n v="53152372"/>
        <n v="43919990"/>
        <n v="36996688"/>
        <n v="45364205"/>
        <n v="45743065"/>
        <n v="53270126"/>
        <n v="53888344"/>
        <n v="47965101"/>
        <n v="52662876"/>
        <n v="46184792"/>
        <n v="38899221"/>
        <n v="41558583"/>
        <n v="39817627"/>
        <n v="53425213"/>
        <n v="46014831"/>
        <n v="49706196"/>
        <n v="45248707"/>
        <n v="38541210"/>
        <n v="45847360"/>
        <n v="52154427"/>
        <n v="46409626"/>
        <n v="45397755"/>
        <n v="36581489"/>
        <n v="40151736"/>
        <n v="48567314"/>
        <n v="37635502"/>
        <n v="41639856"/>
        <n v="47825885"/>
        <n v="48370221"/>
        <n v="40285984"/>
        <n v="44038438"/>
        <n v="46137487"/>
        <n v="49862798"/>
        <n v="38495005"/>
        <n v="42927433"/>
        <n v="50712913"/>
        <n v="40283374"/>
        <n v="50815345"/>
        <n v="36265031"/>
        <n v="48050489"/>
        <n v="45272030"/>
        <n v="41260340"/>
        <n v="40298108"/>
        <n v="43371074"/>
        <n v="40004928"/>
        <n v="45805493"/>
        <n v="41021911"/>
        <n v="37184780"/>
        <n v="43742195"/>
        <n v="45870555"/>
        <n v="39424968"/>
        <n v="41648527"/>
        <n v="45129678"/>
        <n v="45718418"/>
        <n v="46372981"/>
        <n v="42923306"/>
        <n v="46822812"/>
        <n v="36778028"/>
        <n v="46820053"/>
        <n v="34308067"/>
        <n v="41965634"/>
        <n v="38706708"/>
        <n v="49708914"/>
        <n v="45405686"/>
        <n v="46892946"/>
        <n v="37279540"/>
        <n v="47383606"/>
        <n v="36016243"/>
        <n v="46722370"/>
        <n v="36898642"/>
        <n v="48931718"/>
        <n v="43087157"/>
        <n v="35338002"/>
        <n v="43110348"/>
        <n v="46737022"/>
        <n v="49160540"/>
        <n v="48994900"/>
        <n v="45578666"/>
        <n v="43440728"/>
        <n v="41757170"/>
        <n v="39818947"/>
        <n v="36388102"/>
        <n v="44126254"/>
        <n v="44799572"/>
        <n v="47814085"/>
        <n v="44588969"/>
        <n v="41537677"/>
        <n v="35915440"/>
        <n v="37848345"/>
        <n v="46983784"/>
        <n v="39997609"/>
        <n v="42637849"/>
        <n v="39640037"/>
        <n v="44132091"/>
        <n v="41606088"/>
        <n v="41824753"/>
        <n v="42841133"/>
        <n v="38238539"/>
        <n v="42558496"/>
        <n v="49094849"/>
        <n v="46982705"/>
        <n v="35963503"/>
        <n v="42053355"/>
        <n v="39708913"/>
        <n v="33056293"/>
        <n v="34369689"/>
        <n v="44071325"/>
        <n v="45416755"/>
        <n v="41194730"/>
        <n v="44014502"/>
        <n v="43168110"/>
        <n v="33379641"/>
        <n v="48898640"/>
        <n v="36446313"/>
        <n v="36984497"/>
        <n v="46022558"/>
        <n v="48727561"/>
        <n v="34531749"/>
        <n v="40854107"/>
        <n v="38255789"/>
        <n v="36258867"/>
        <n v="48125933"/>
        <n v="36802708"/>
        <n v="34544524"/>
        <n v="38725370"/>
        <n v="32461418"/>
        <n v="40874855"/>
        <n v="39945011"/>
        <n v="37937905"/>
        <n v="37821976"/>
        <n v="39218411"/>
        <n v="41411251"/>
        <n v="39022522"/>
        <n v="40886419"/>
        <n v="33020881"/>
        <n v="35248042"/>
        <n v="40263533"/>
        <n v="43283707"/>
        <n v="35924195"/>
        <n v="36928006"/>
        <n v="34754867"/>
        <n v="45808737"/>
        <n v="40865606"/>
        <n v="41405297"/>
        <n v="45265333"/>
        <n v="38961936"/>
        <n v="40931826"/>
        <n v="43911751"/>
        <n v="31958755"/>
        <n v="37852927"/>
        <n v="41501227"/>
        <n v="35985098"/>
        <n v="46339804"/>
        <n v="32717584"/>
        <n v="36344393"/>
        <n v="38613690"/>
        <n v="46148117"/>
        <n v="35907454"/>
        <n v="43160376"/>
        <n v="42884515"/>
        <n v="38270455"/>
        <n v="44020636"/>
        <n v="34027270"/>
        <n v="44524321"/>
        <n v="43960900"/>
        <n v="46121181"/>
        <n v="39984134"/>
        <n v="32907203"/>
        <n v="39405613"/>
        <n v="40607761"/>
        <n v="32285276"/>
        <n v="31757404"/>
        <n v="33319940"/>
        <n v="44091999"/>
        <n v="36844437"/>
        <n v="39383326"/>
        <n v="45410300"/>
        <n v="41735421"/>
        <n v="42760809"/>
        <n v="44773299"/>
        <n v="37699759"/>
        <n v="32210377"/>
        <n v="32355260"/>
        <n v="31602816"/>
        <n v="37171119"/>
        <n v="43469979"/>
        <n v="38028535"/>
        <n v="32331685"/>
        <n v="45293877"/>
        <n v="30752207"/>
        <n v="36820412"/>
        <n v="40555465"/>
        <n v="39616943"/>
        <n v="39346737"/>
        <n v="38827949"/>
        <n v="41017365"/>
        <n v="40346234"/>
        <n v="39286448"/>
        <n v="43208356"/>
        <n v="32435741"/>
        <n v="35227652"/>
        <n v="35376631"/>
        <n v="34188896"/>
        <n v="41546195"/>
        <n v="44799517"/>
        <n v="39334936"/>
        <n v="40123084"/>
        <n v="38879571"/>
        <n v="35599685"/>
        <n v="37925547"/>
        <n v="30935095"/>
        <n v="37903848"/>
        <n v="35300330"/>
        <n v="39230463"/>
        <n v="38811770"/>
        <n v="39164160"/>
        <n v="37699315"/>
        <n v="31111355"/>
        <n v="44064110"/>
        <n v="35617362"/>
        <n v="34499322"/>
        <n v="37818619"/>
        <n v="39323391"/>
        <n v="33591217"/>
        <n v="36549913"/>
        <n v="40079848"/>
        <n v="43830842"/>
        <n v="32569221"/>
        <n v="41204123"/>
        <n v="32784004"/>
        <n v="37398267"/>
        <n v="38670973"/>
        <n v="30373559"/>
        <n v="42639537"/>
        <n v="31959253"/>
        <n v="34340662"/>
        <n v="37735985"/>
        <n v="40464856"/>
        <n v="36024071"/>
        <n v="40109600"/>
        <n v="43528960"/>
        <n v="32539151"/>
        <n v="43531379"/>
        <n v="31481917"/>
        <n v="37702391"/>
        <n v="38279943"/>
        <n v="31368913"/>
        <n v="42292789"/>
        <n v="31547776"/>
        <n v="31139751"/>
        <n v="32672376"/>
        <n v="35065254"/>
        <n v="35342847"/>
        <n v="35978458"/>
        <n v="37954141"/>
        <n v="34699323"/>
        <n v="41660051"/>
        <n v="32807037"/>
        <n v="31615207"/>
        <n v="36053846"/>
        <n v="38715117"/>
        <n v="38269992"/>
        <n v="34985734"/>
        <n v="37129719"/>
        <n v="33429193"/>
        <n v="41557675"/>
        <n v="37549050"/>
        <n v="35393824"/>
        <n v="30742304"/>
        <n v="32598971"/>
        <n v="39533409"/>
        <n v="32749738"/>
        <n v="36895927"/>
        <n v="33749229"/>
        <n v="29920826"/>
        <n v="40249272"/>
        <n v="29998143"/>
        <n v="39253249"/>
        <n v="41002405"/>
        <n v="32428529"/>
        <n v="31042036"/>
        <n v="39868717"/>
        <n v="38286496"/>
        <n v="39345745"/>
        <n v="32982898"/>
        <n v="34417632"/>
        <n v="38732508"/>
        <n v="28861781"/>
        <n v="37869534"/>
        <n v="38779325"/>
        <n v="33532795"/>
        <n v="42417784"/>
        <n v="29972800"/>
        <n v="38549964"/>
        <n v="39389262"/>
        <n v="29274057"/>
        <n v="32809779"/>
        <n v="42581041"/>
        <n v="40339641"/>
        <n v="32062698"/>
        <n v="34305597"/>
        <n v="36418217"/>
        <n v="34836575"/>
        <n v="32124766"/>
        <n v="35338278"/>
        <n v="40293286"/>
        <n v="39282033"/>
        <n v="34363254"/>
        <n v="35220413"/>
        <n v="41316373"/>
        <n v="31197621"/>
        <n v="30205730"/>
        <n v="28827693"/>
        <n v="39013120"/>
        <n v="38256078"/>
        <n v="32179077"/>
        <n v="31349770"/>
        <n v="39455263"/>
        <n v="34898707"/>
        <n v="39355625"/>
        <n v="29328371"/>
        <n v="39582441"/>
        <n v="32902092"/>
        <n v="30935314"/>
        <n v="32069658"/>
        <n v="28071578"/>
        <n v="35519321"/>
        <n v="31697655"/>
        <n v="40442100"/>
        <n v="31172275"/>
        <n v="40360520"/>
        <n v="36169367"/>
        <n v="31185993"/>
        <n v="29951062"/>
        <n v="41246900"/>
        <n v="30401688"/>
        <n v="29966541"/>
        <n v="38498169"/>
        <n v="37027303"/>
        <n v="37218112"/>
        <n v="39915945"/>
        <n v="38936048"/>
        <n v="28092934"/>
        <n v="31530760"/>
        <n v="37256765"/>
        <n v="40527330"/>
        <n v="30869724"/>
        <n v="36239567"/>
        <n v="27732889"/>
        <n v="41354361"/>
        <n v="32945349"/>
        <n v="31006828"/>
        <n v="36421802"/>
        <n v="39841403"/>
        <n v="39164478"/>
        <n v="30889619"/>
        <n v="35356975"/>
        <n v="32099467"/>
        <n v="30736048"/>
        <n v="31267440"/>
        <n v="35611260"/>
        <n v="35174109"/>
        <n v="33629094"/>
        <n v="39605846"/>
        <n v="38091323"/>
        <n v="37916033"/>
        <n v="31947978"/>
        <n v="33454980"/>
        <n v="32999268"/>
        <n v="34121134"/>
        <n v="38285236"/>
        <n v="32046141"/>
        <n v="39931684"/>
        <n v="34423973"/>
        <n v="35137977"/>
        <n v="39911610"/>
        <n v="29646872"/>
        <n v="40669417"/>
        <n v="29228308"/>
        <n v="32783080"/>
        <n v="36718767"/>
        <n v="31531125"/>
        <n v="35108875"/>
        <n v="39819836"/>
        <n v="28213232"/>
        <n v="32961167"/>
        <n v="29659874"/>
        <n v="30538147"/>
        <n v="32349486"/>
        <n v="37264275"/>
        <n v="31647961"/>
        <n v="35380352"/>
        <n v="30483748"/>
        <n v="40087171"/>
        <n v="39720364"/>
        <n v="28002129"/>
        <n v="31751824"/>
        <n v="30718897"/>
        <n v="32974493"/>
        <n v="31757531"/>
        <n v="27429048"/>
        <n v="33868906"/>
        <n v="28199195"/>
        <n v="36910277"/>
        <n v="31877877"/>
        <n v="28086596"/>
        <n v="34927337"/>
        <n v="33656951"/>
        <n v="27033386"/>
        <n v="39503781"/>
        <n v="32632759"/>
        <n v="27297357"/>
        <n v="30655499"/>
        <n v="27671631"/>
        <n v="37285376"/>
        <n v="31225521"/>
        <n v="29046091"/>
        <n v="30805757"/>
        <n v="34786447"/>
        <n v="29488008"/>
        <n v="27876771"/>
        <n v="29364235"/>
        <n v="28954432"/>
        <n v="35340439"/>
        <n v="39645756"/>
        <n v="31717556"/>
        <n v="39317291"/>
        <n v="32768286"/>
        <n v="36742117"/>
        <n v="38192208"/>
        <n v="31452853"/>
        <n v="39088294"/>
        <n v="29071297"/>
        <n v="36174804"/>
        <n v="26376434"/>
        <n v="39315228"/>
        <n v="35030281"/>
        <n v="29947101"/>
        <n v="27370917"/>
        <n v="38898011"/>
        <n v="29595632"/>
        <n v="32923864"/>
        <n v="26568990"/>
        <n v="26880963"/>
        <n v="38168210"/>
        <n v="33551663"/>
        <n v="30169712"/>
        <n v="26252454"/>
        <n v="26398121"/>
        <n v="34172517"/>
        <n v="30126609"/>
        <n v="34313296"/>
        <n v="29795684"/>
        <n v="38762472"/>
        <n v="32932838"/>
        <n v="33999511"/>
        <n v="26336287"/>
        <n v="32565149"/>
        <n v="36561345"/>
        <n v="34640061"/>
        <n v="36808386"/>
        <n v="34540870"/>
        <n v="38849667"/>
        <n v="36509701"/>
        <n v="27380621"/>
        <n v="37963443"/>
        <n v="37323295"/>
        <n v="35136022"/>
        <n v="37512993"/>
        <n v="30271982"/>
        <n v="38274723"/>
        <n v="32225351"/>
        <n v="34291167"/>
        <n v="34101316"/>
        <n v="30316014"/>
        <n v="36516640"/>
        <n v="30229678"/>
        <n v="37135789"/>
        <n v="34175244"/>
        <n v="34276793"/>
        <n v="29673487"/>
        <n v="33581453"/>
        <n v="36853351"/>
        <n v="30096026"/>
        <n v="38083026"/>
        <n v="28061828"/>
        <n v="34801179"/>
        <n v="34335287"/>
        <n v="28927919"/>
        <n v="35728983"/>
        <n v="35616904"/>
        <n v="31190834"/>
        <n v="33920711"/>
        <n v="29038093"/>
        <n v="32608052"/>
        <n v="35329350"/>
        <n v="36011908"/>
        <n v="29562932"/>
        <n v="34221263"/>
        <n v="36218724"/>
        <n v="28977318"/>
        <n v="33483776"/>
        <n v="35162116"/>
        <n v="29489725"/>
        <n v="33277802"/>
        <n v="28184773"/>
        <n v="36405581"/>
        <n v="34294432"/>
        <n v="31547966"/>
        <n v="31512411"/>
        <n v="34425268"/>
        <n v="35063408"/>
        <n v="31825487"/>
        <n v="34211551"/>
        <n v="27590693"/>
        <n v="35870555"/>
        <n v="28147907"/>
        <n v="27627401"/>
        <n v="25415316"/>
        <n v="31739148"/>
        <n v="29181804"/>
        <n v="26109529"/>
        <n v="35729396"/>
        <n v="33762878"/>
        <n v="28030258"/>
        <n v="32360713"/>
        <n v="31279636"/>
        <n v="35488475"/>
        <n v="29457928"/>
        <n v="36508047"/>
        <n v="29730604"/>
        <n v="26841377"/>
        <n v="33789532"/>
        <n v="35600199"/>
        <n v="25021384"/>
        <n v="33288385"/>
        <n v="32119482"/>
        <n v="31430604"/>
        <n v="36047121"/>
        <n v="34447921"/>
        <n v="31180954"/>
        <n v="31305560"/>
        <n v="27911463"/>
        <n v="32536601"/>
        <n v="30577638"/>
        <n v="28310989"/>
        <n v="26029182"/>
        <n v="30549698"/>
        <n v="35885193"/>
        <n v="25873758"/>
        <n v="32321646"/>
        <n v="31941787"/>
        <n v="28913303"/>
        <n v="35389465"/>
        <n v="34067335"/>
        <n v="35522884"/>
        <n v="35960029"/>
        <n v="28577807"/>
        <n v="26812674"/>
        <n v="29078067"/>
        <n v="34329065"/>
        <n v="29132114"/>
        <n v="29739602"/>
        <n v="30233253"/>
        <n v="28389657"/>
        <n v="33638233"/>
        <n v="33372197"/>
        <n v="24701670"/>
        <n v="26960582"/>
        <n v="33754829"/>
        <n v="33263529"/>
        <n v="34540751"/>
        <n v="29910260"/>
        <n v="34533266"/>
        <n v="35910806"/>
        <n v="28360007"/>
        <n v="31791757"/>
        <n v="28718367"/>
        <n v="25993813"/>
        <n v="26239571"/>
        <n v="30206194"/>
        <n v="29044248"/>
        <n v="27417692"/>
        <n v="31008450"/>
        <n v="26327711"/>
        <n v="26436688"/>
        <n v="29163733"/>
        <n v="30850878"/>
        <n v="33533703"/>
        <n v="27348561"/>
        <n v="33863748"/>
        <n v="28120286"/>
        <n v="25990742"/>
        <n v="33692621"/>
        <n v="33275719"/>
        <n v="30845897"/>
        <n v="24607939"/>
        <n v="36389470"/>
        <n v="30918387"/>
        <n v="30410328"/>
        <n v="28252482"/>
        <n v="27390803"/>
        <n v="31395321"/>
        <n v="34323764"/>
        <n v="32018888"/>
        <n v="36276234"/>
        <n v="30511644"/>
        <n v="33255377"/>
        <n v="26814800"/>
        <n v="24375113"/>
        <n v="34962202"/>
        <n v="26328996"/>
        <n v="33635731"/>
        <n v="30390224"/>
        <n v="35553235"/>
        <n v="32529988"/>
        <n v="28685293"/>
        <n v="28703311"/>
        <n v="33584881"/>
        <n v="26006172"/>
        <n v="28703884"/>
        <n v="25238551"/>
        <n v="24228391"/>
        <n v="25368849"/>
        <n v="26349206"/>
        <n v="35120573"/>
        <n v="33670944"/>
        <n v="26705823"/>
        <n v="31311782"/>
        <n v="30934468"/>
        <n v="31992200"/>
        <n v="26227271"/>
        <n v="25658358"/>
        <n v="26799219"/>
        <n v="24748341"/>
        <n v="34427966"/>
        <n v="26126071"/>
        <n v="25133212"/>
        <n v="29436785"/>
        <n v="24793278"/>
        <n v="33374067"/>
        <n v="34134704"/>
        <n v="26863215"/>
        <n v="27181670"/>
        <n v="27348230"/>
        <n v="27579537"/>
        <n v="29724288"/>
        <n v="34284415"/>
        <n v="33182353"/>
        <n v="28330622"/>
        <n v="34610696"/>
        <n v="34255865"/>
        <n v="31792188"/>
        <n v="34932208"/>
        <n v="28468124"/>
        <n v="35333489"/>
        <n v="25944191"/>
        <n v="29413102"/>
        <n v="29858632"/>
        <n v="28640454"/>
        <n v="34998689"/>
        <n v="33017220"/>
        <n v="27110380"/>
        <n v="29570097"/>
        <n v="23724616"/>
        <n v="25875274"/>
        <n v="32657825"/>
        <n v="28465448"/>
        <n v="31112707"/>
        <n v="30513594"/>
        <n v="30828731"/>
        <n v="27721011"/>
        <n v="25094799"/>
        <n v="31172287"/>
        <n v="34939803"/>
        <n v="30122717"/>
        <n v="23652739"/>
        <n v="31825005"/>
        <n v="25663359"/>
        <n v="33068481"/>
        <n v="34296425"/>
        <n v="23408609"/>
        <n v="28665924"/>
        <n v="31564881"/>
        <n v="31487830"/>
        <n v="33876727"/>
        <n v="32259671"/>
        <n v="29564537"/>
        <n v="24810588"/>
        <n v="33790775"/>
        <n v="23320548"/>
        <n v="26368018"/>
        <n v="23304015"/>
        <n v="30803572"/>
        <n v="30985006"/>
        <n v="32804978"/>
        <n v="23810916"/>
        <n v="26878316"/>
        <n v="24552015"/>
        <n v="34190496"/>
        <n v="26385587"/>
        <n v="24216135"/>
        <n v="33702606"/>
        <n v="29028615"/>
        <n v="25769928"/>
        <n v="30542957"/>
        <n v="32638168"/>
        <n v="31537192"/>
        <n v="24267540"/>
        <n v="32262318"/>
        <n v="32039534"/>
        <n v="24337029"/>
        <n v="26906092"/>
        <n v="29794861"/>
        <n v="24154744"/>
        <n v="33271414"/>
        <n v="32997551"/>
        <n v="26344413"/>
        <n v="33865770"/>
        <n v="30973777"/>
        <n v="32125651"/>
        <n v="27427399"/>
        <n v="26993293"/>
        <n v="30545577"/>
        <n v="27945281"/>
        <n v="23359104"/>
        <n v="24891995"/>
        <n v="30045917"/>
        <n v="24015531"/>
        <n v="23454212"/>
        <n v="28437156"/>
        <n v="30780971"/>
        <n v="27341564"/>
        <n v="23562161"/>
        <n v="29119603"/>
        <n v="30523695"/>
        <n v="32712936"/>
        <n v="31228634"/>
        <n v="30024734"/>
        <n v="32736383"/>
        <n v="27014612"/>
        <n v="33272396"/>
        <n v="25978771"/>
        <n v="31313915"/>
        <n v="31281642"/>
        <n v="28964474"/>
        <n v="34114223"/>
        <n v="29557180"/>
        <n v="24484098"/>
        <n v="29008799"/>
        <n v="33136879"/>
        <n v="27522681"/>
        <n v="25387052"/>
        <n v="23427816"/>
        <n v="30711876"/>
        <n v="29673710"/>
        <n v="32591561"/>
        <n v="28955988"/>
        <n v="31388204"/>
        <n v="24775475"/>
        <n v="27239010"/>
        <n v="26407135"/>
        <n v="28987644"/>
        <n v="28012271"/>
        <n v="30135734"/>
        <n v="28007361"/>
        <n v="31516503"/>
        <n v="26838511"/>
        <n v="28711704"/>
        <n v="33524393"/>
        <n v="25532290"/>
        <n v="23309029"/>
        <n v="26300716"/>
        <n v="28448001"/>
        <n v="32333136"/>
        <n v="28615954"/>
        <n v="29661369"/>
        <n v="29048764"/>
        <n v="28294428"/>
        <n v="26698173"/>
        <n v="30426790"/>
        <n v="31705798"/>
        <n v="26341366"/>
        <n v="25859017"/>
        <n v="27386059"/>
        <n v="31486731"/>
        <n v="30150253"/>
        <n v="25318394"/>
        <n v="32707812"/>
        <n v="30915223"/>
        <n v="31456167"/>
        <n v="27963790"/>
        <n v="33193649"/>
        <n v="33423458"/>
        <n v="24231676"/>
        <n v="24731003"/>
        <n v="26600234"/>
        <n v="25471960"/>
        <n v="27604236"/>
        <n v="29499103"/>
        <n v="22544617"/>
        <n v="33220210"/>
        <n v="27517692"/>
        <n v="29912095"/>
        <n v="31670777"/>
        <n v="29551298"/>
        <n v="31487617"/>
        <n v="31736197"/>
        <n v="32002374"/>
        <n v="26072058"/>
        <n v="27544635"/>
        <n v="31708021"/>
        <n v="31460702"/>
        <n v="22173679"/>
        <n v="25805874"/>
        <n v="27096255"/>
        <n v="22894698"/>
        <n v="22182827"/>
        <n v="30271905"/>
        <n v="30443138"/>
        <n v="32131296"/>
        <n v="30876306"/>
        <n v="26569651"/>
        <n v="24856818"/>
        <n v="32031818"/>
        <n v="26510445"/>
        <n v="31466937"/>
        <n v="25847979"/>
        <n v="31545383"/>
        <n v="25727819"/>
        <n v="24700093"/>
        <n v="23706807"/>
        <n v="32335539"/>
        <n v="26624551"/>
        <n v="29393363"/>
        <n v="30111382"/>
        <n v="22288735"/>
        <n v="22467907"/>
        <n v="23018753"/>
        <n v="25738235"/>
        <n v="25481673"/>
        <n v="31359149"/>
        <n v="22000669"/>
        <n v="24514971"/>
        <n v="23813457"/>
        <n v="31960293"/>
        <n v="30762956"/>
        <n v="26373176"/>
        <n v="28192890"/>
        <n v="32625018"/>
        <n v="30589945"/>
        <n v="22320749"/>
        <n v="32675444"/>
        <n v="25203525"/>
        <n v="23306077"/>
        <n v="27019233"/>
        <n v="29030371"/>
        <n v="25723096"/>
        <n v="25968361"/>
        <n v="26358655"/>
        <n v="23944271"/>
        <n v="23629324"/>
        <n v="32630727"/>
        <n v="25956621"/>
        <n v="22499681"/>
        <n v="26639122"/>
        <n v="25377724"/>
        <n v="22163857"/>
        <n v="24014114"/>
        <n v="30526278"/>
        <n v="26732774"/>
        <n v="25645983"/>
        <n v="23577871"/>
        <n v="22188583"/>
        <n v="29772866"/>
        <n v="21749273"/>
        <n v="30694857"/>
        <n v="24761424"/>
        <n v="23291825"/>
        <n v="23894689"/>
        <n v="23724239"/>
        <n v="24225733"/>
        <n v="32009633"/>
        <n v="24766541"/>
        <n v="29336468"/>
        <n v="31680438"/>
        <n v="25744098"/>
        <n v="24484826"/>
        <n v="25368791"/>
        <n v="25042648"/>
        <n v="26297295"/>
        <n v="27024768"/>
        <n v="29191049"/>
        <n v="32274461"/>
        <n v="24199512"/>
        <n v="28805433"/>
        <n v="30754828"/>
        <n v="31786109"/>
        <n v="31827033"/>
        <n v="27871471"/>
        <n v="27181118"/>
        <n v="31244474"/>
        <n v="25838373"/>
        <n v="24056446"/>
        <n v="24818122"/>
        <n v="29933832"/>
        <n v="23088052"/>
        <n v="31125863"/>
        <n v="21913381"/>
        <n v="27603838"/>
        <n v="23869858"/>
        <n v="21783344"/>
        <n v="27830591"/>
        <n v="22939515"/>
        <n v="27024841"/>
        <n v="24360097"/>
        <n v="27753126"/>
        <n v="23998930"/>
        <n v="26443495"/>
        <n v="26556056"/>
        <n v="22768978"/>
        <n v="28674151"/>
        <n v="25443096"/>
        <n v="22966748"/>
        <n v="22700932"/>
        <n v="21861494"/>
        <n v="21508159"/>
        <n v="25511717"/>
        <n v="22978385"/>
        <n v="22211945"/>
        <n v="30754826"/>
        <n v="21653583"/>
        <n v="31352356"/>
        <n v="21823963"/>
        <n v="30525313"/>
        <n v="24017826"/>
        <n v="26036448"/>
        <n v="24830927"/>
        <n v="28649110"/>
        <n v="27013686"/>
        <n v="26109824"/>
        <n v="27268194"/>
        <n v="29972908"/>
        <n v="30521268"/>
        <n v="22449846"/>
        <n v="24501121"/>
        <n v="27374080"/>
        <n v="23873389"/>
        <n v="27928959"/>
        <n v="24314558"/>
        <n v="31119601"/>
        <n v="26959612"/>
        <n v="31473087"/>
        <n v="24090050"/>
        <n v="22544754"/>
        <n v="21411412"/>
        <n v="28946582"/>
        <n v="26048923"/>
        <n v="27651414"/>
        <n v="21368867"/>
        <n v="21462727"/>
        <n v="26879517"/>
        <n v="27819133"/>
        <n v="21428527"/>
        <n v="25473869"/>
        <n v="21950654"/>
        <n v="24422844"/>
        <n v="30282308"/>
        <n v="22664591"/>
        <n v="22214874"/>
        <n v="31145805"/>
        <n v="22428086"/>
        <n v="23129587"/>
        <n v="25244323"/>
        <n v="28460446"/>
        <n v="27169015"/>
        <n v="22300056"/>
        <n v="24931798"/>
        <n v="25872618"/>
        <n v="21497004"/>
        <n v="24276017"/>
        <n v="31297752"/>
        <n v="29819161"/>
        <n v="29470223"/>
        <n v="29134660"/>
        <n v="24761204"/>
        <n v="27935114"/>
        <n v="25072703"/>
        <n v="22939239"/>
        <n v="28012805"/>
        <n v="22487343"/>
        <n v="22213377"/>
        <n v="21586474"/>
        <n v="24603087"/>
        <n v="25202803"/>
        <n v="25450394"/>
        <n v="25205775"/>
        <n v="31009317"/>
        <n v="25576050"/>
        <n v="30170519"/>
        <n v="22605219"/>
        <n v="31078815"/>
        <n v="22349589"/>
        <n v="26912907"/>
        <n v="27116115"/>
        <n v="24095275"/>
        <n v="31013201"/>
        <n v="20930511"/>
        <n v="27302400"/>
        <n v="21909453"/>
        <n v="24416246"/>
        <n v="28322283"/>
      </sharedItems>
    </cacheField>
    <cacheField name="bounce_rate_pct" numFmtId="0">
      <sharedItems containsSemiMixedTypes="0" containsString="0" containsNumber="1" minValue="15.03" maxValue="60"/>
    </cacheField>
    <cacheField name="avg_session_duration_min" numFmtId="0">
      <sharedItems containsSemiMixedTypes="0" containsString="0" containsNumber="1" minValue="1.01" maxValue="39.909999999999997"/>
    </cacheField>
    <cacheField name="avg_session_duration_sec" numFmtId="0">
      <sharedItems containsSemiMixedTypes="0" containsString="0" containsNumber="1" minValue="60.76" maxValue="2394.38"/>
    </cacheField>
    <cacheField name="stickiness_index" numFmtId="0">
      <sharedItems containsSemiMixedTypes="0" containsString="0" containsNumber="1" minValue="2.1800000000000002" maxValue="256.45999999999998"/>
    </cacheField>
    <cacheField name="last_crawled" numFmtId="164">
      <sharedItems containsSemiMixedTypes="0" containsNonDate="0" containsDate="1" containsString="0" minDate="2026-02-07T00:00:00" maxDate="2026-02-08T00:00:00"/>
    </cacheField>
    <cacheField name="enagement_score" numFmtId="0">
      <sharedItems containsSemiMixedTypes="0" containsString="0" containsNumber="1" minValue="22.03" maxValue="169.18"/>
    </cacheField>
    <cacheField name="traffic_tier" numFmtId="0">
      <sharedItems count="4">
        <s v="Platinum"/>
        <s v="Gold"/>
        <s v="Sliver"/>
        <s v="Bronze"/>
      </sharedItems>
    </cacheField>
  </cacheFields>
  <extLst>
    <ext xmlns:x14="http://schemas.microsoft.com/office/spreadsheetml/2009/9/main" uri="{725AE2AE-9491-48be-B2B4-4EB974FC3084}">
      <x14:pivotCacheDefinition pivotCacheId="1515765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x v="0"/>
    <x v="0"/>
    <n v="56.85"/>
    <n v="8.3000000000000007"/>
    <n v="497.97"/>
    <n v="14.6"/>
    <d v="2026-02-07T00:00:00"/>
    <n v="28.88"/>
    <x v="0"/>
  </r>
  <r>
    <x v="1"/>
    <x v="1"/>
    <x v="0"/>
    <x v="1"/>
    <x v="1"/>
    <n v="40.19"/>
    <n v="4.6900000000000004"/>
    <n v="281.25"/>
    <n v="11.66"/>
    <d v="2026-02-07T00:00:00"/>
    <n v="35.74"/>
    <x v="0"/>
  </r>
  <r>
    <x v="2"/>
    <x v="2"/>
    <x v="0"/>
    <x v="1"/>
    <x v="2"/>
    <n v="59.96"/>
    <n v="8.4499999999999993"/>
    <n v="507.02"/>
    <n v="14.09"/>
    <d v="2026-02-07T00:00:00"/>
    <n v="27.07"/>
    <x v="0"/>
  </r>
  <r>
    <x v="3"/>
    <x v="3"/>
    <x v="1"/>
    <x v="2"/>
    <x v="3"/>
    <n v="34.35"/>
    <n v="3.23"/>
    <n v="193.58"/>
    <n v="9.39"/>
    <d v="2026-02-07T00:00:00"/>
    <n v="37.520000000000003"/>
    <x v="0"/>
  </r>
  <r>
    <x v="4"/>
    <x v="4"/>
    <x v="2"/>
    <x v="2"/>
    <x v="4"/>
    <n v="42.3"/>
    <n v="5.0199999999999996"/>
    <n v="300.91000000000003"/>
    <n v="11.86"/>
    <d v="2026-02-07T00:00:00"/>
    <n v="34.78"/>
    <x v="0"/>
  </r>
  <r>
    <x v="5"/>
    <x v="5"/>
    <x v="3"/>
    <x v="3"/>
    <x v="5"/>
    <n v="49.34"/>
    <n v="1.25"/>
    <n v="74.709999999999994"/>
    <n v="2.52"/>
    <d v="2026-02-07T00:00:00"/>
    <n v="26.59"/>
    <x v="0"/>
  </r>
  <r>
    <x v="6"/>
    <x v="6"/>
    <x v="0"/>
    <x v="3"/>
    <x v="6"/>
    <n v="55.65"/>
    <n v="6.49"/>
    <n v="389.54"/>
    <n v="11.67"/>
    <d v="2026-02-07T00:00:00"/>
    <n v="28.01"/>
    <x v="0"/>
  </r>
  <r>
    <x v="7"/>
    <x v="7"/>
    <x v="0"/>
    <x v="4"/>
    <x v="7"/>
    <n v="39.04"/>
    <n v="5.0599999999999996"/>
    <n v="303.73"/>
    <n v="12.97"/>
    <d v="2026-02-07T00:00:00"/>
    <n v="36.97"/>
    <x v="0"/>
  </r>
  <r>
    <x v="8"/>
    <x v="8"/>
    <x v="4"/>
    <x v="2"/>
    <x v="8"/>
    <n v="29.58"/>
    <n v="28.58"/>
    <n v="1715.01"/>
    <n v="96.63"/>
    <d v="2026-02-07T00:00:00"/>
    <n v="83.53"/>
    <x v="0"/>
  </r>
  <r>
    <x v="9"/>
    <x v="9"/>
    <x v="5"/>
    <x v="0"/>
    <x v="9"/>
    <n v="38.340000000000003"/>
    <n v="2.63"/>
    <n v="157.76"/>
    <n v="6.86"/>
    <d v="2026-02-07T00:00:00"/>
    <n v="34.26"/>
    <x v="0"/>
  </r>
  <r>
    <x v="10"/>
    <x v="10"/>
    <x v="2"/>
    <x v="0"/>
    <x v="10"/>
    <n v="52.58"/>
    <n v="7.73"/>
    <n v="464"/>
    <n v="14.71"/>
    <d v="2026-02-07T00:00:00"/>
    <n v="31.07"/>
    <x v="0"/>
  </r>
  <r>
    <x v="11"/>
    <x v="11"/>
    <x v="1"/>
    <x v="5"/>
    <x v="11"/>
    <n v="55.04"/>
    <n v="8.06"/>
    <n v="483.48"/>
    <n v="14.64"/>
    <d v="2026-02-07T00:00:00"/>
    <n v="29.8"/>
    <x v="0"/>
  </r>
  <r>
    <x v="12"/>
    <x v="12"/>
    <x v="2"/>
    <x v="0"/>
    <x v="12"/>
    <n v="32"/>
    <n v="2.09"/>
    <n v="125.61"/>
    <n v="6.54"/>
    <d v="2026-02-07T00:00:00"/>
    <n v="37.270000000000003"/>
    <x v="0"/>
  </r>
  <r>
    <x v="13"/>
    <x v="13"/>
    <x v="0"/>
    <x v="5"/>
    <x v="13"/>
    <n v="47.51"/>
    <n v="5.68"/>
    <n v="341.08"/>
    <n v="11.97"/>
    <d v="2026-02-07T00:00:00"/>
    <n v="32.229999999999997"/>
    <x v="0"/>
  </r>
  <r>
    <x v="14"/>
    <x v="14"/>
    <x v="3"/>
    <x v="1"/>
    <x v="14"/>
    <n v="47.19"/>
    <n v="5.72"/>
    <n v="343.315"/>
    <n v="3.89"/>
    <d v="2026-02-07T00:00:00"/>
    <n v="28.35"/>
    <x v="0"/>
  </r>
  <r>
    <x v="15"/>
    <x v="15"/>
    <x v="4"/>
    <x v="2"/>
    <x v="15"/>
    <n v="19.510000000000002"/>
    <n v="30.77"/>
    <n v="1845.97"/>
    <n v="157.69"/>
    <d v="2026-02-07T00:00:00"/>
    <n v="119.09"/>
    <x v="0"/>
  </r>
  <r>
    <x v="16"/>
    <x v="16"/>
    <x v="4"/>
    <x v="4"/>
    <x v="16"/>
    <n v="22.06"/>
    <n v="39.15"/>
    <n v="2348.96"/>
    <n v="177.47"/>
    <d v="2026-02-07T00:00:00"/>
    <n v="127.71"/>
    <x v="0"/>
  </r>
  <r>
    <x v="17"/>
    <x v="17"/>
    <x v="4"/>
    <x v="1"/>
    <x v="17"/>
    <n v="28.29"/>
    <n v="14.76"/>
    <n v="885.83"/>
    <n v="52.19"/>
    <d v="2026-02-07T00:00:00"/>
    <n v="61.95"/>
    <x v="0"/>
  </r>
  <r>
    <x v="18"/>
    <x v="18"/>
    <x v="0"/>
    <x v="5"/>
    <x v="18"/>
    <n v="46.04"/>
    <n v="3.45"/>
    <n v="206.72"/>
    <n v="7.48"/>
    <d v="2026-02-07T00:00:00"/>
    <n v="30.72"/>
    <x v="0"/>
  </r>
  <r>
    <x v="19"/>
    <x v="19"/>
    <x v="4"/>
    <x v="1"/>
    <x v="19"/>
    <n v="23.77"/>
    <n v="31.48"/>
    <n v="1888.92"/>
    <n v="132.44"/>
    <d v="2026-02-07T00:00:00"/>
    <n v="104.34"/>
    <x v="0"/>
  </r>
  <r>
    <x v="20"/>
    <x v="20"/>
    <x v="1"/>
    <x v="0"/>
    <x v="20"/>
    <n v="42.42"/>
    <n v="8.9700000000000006"/>
    <n v="538.04999999999995"/>
    <n v="21.14"/>
    <d v="2026-02-07T00:00:00"/>
    <n v="39.36"/>
    <x v="0"/>
  </r>
  <r>
    <x v="21"/>
    <x v="21"/>
    <x v="3"/>
    <x v="5"/>
    <x v="21"/>
    <n v="36.090000000000003"/>
    <n v="2.42"/>
    <n v="145.4"/>
    <n v="6.71"/>
    <d v="2026-02-07T00:00:00"/>
    <n v="35.31"/>
    <x v="0"/>
  </r>
  <r>
    <x v="22"/>
    <x v="22"/>
    <x v="3"/>
    <x v="1"/>
    <x v="22"/>
    <n v="44.2"/>
    <n v="1.66"/>
    <n v="99.63"/>
    <n v="3.76"/>
    <d v="2026-02-07T00:00:00"/>
    <n v="29.78"/>
    <x v="0"/>
  </r>
  <r>
    <x v="23"/>
    <x v="23"/>
    <x v="3"/>
    <x v="1"/>
    <x v="23"/>
    <n v="18.670000000000002"/>
    <n v="14.19"/>
    <n v="851.62"/>
    <n v="76.02"/>
    <d v="2026-02-07T00:00:00"/>
    <n v="78.680000000000007"/>
    <x v="0"/>
  </r>
  <r>
    <x v="24"/>
    <x v="24"/>
    <x v="6"/>
    <x v="2"/>
    <x v="24"/>
    <n v="36.229999999999997"/>
    <n v="2.19"/>
    <n v="131.35"/>
    <n v="6.04"/>
    <d v="2026-02-07T00:00:00"/>
    <n v="34.909999999999997"/>
    <x v="0"/>
  </r>
  <r>
    <x v="25"/>
    <x v="25"/>
    <x v="1"/>
    <x v="3"/>
    <x v="25"/>
    <n v="40.06"/>
    <n v="3.04"/>
    <n v="182.28"/>
    <n v="7.58"/>
    <d v="2026-02-07T00:00:00"/>
    <n v="33.76"/>
    <x v="0"/>
  </r>
  <r>
    <x v="26"/>
    <x v="26"/>
    <x v="2"/>
    <x v="4"/>
    <x v="26"/>
    <n v="58.03"/>
    <n v="9.3699999999999992"/>
    <n v="562.12"/>
    <n v="16.14"/>
    <d v="2026-02-07T00:00:00"/>
    <n v="29.06"/>
    <x v="0"/>
  </r>
  <r>
    <x v="27"/>
    <x v="27"/>
    <x v="3"/>
    <x v="2"/>
    <x v="27"/>
    <n v="40.54"/>
    <n v="2.87"/>
    <n v="172.34"/>
    <n v="7.09"/>
    <d v="2026-02-07T00:00:00"/>
    <n v="33.28"/>
    <x v="0"/>
  </r>
  <r>
    <x v="28"/>
    <x v="28"/>
    <x v="0"/>
    <x v="3"/>
    <x v="28"/>
    <n v="43.27"/>
    <n v="7.48"/>
    <n v="448.64"/>
    <n v="17.28"/>
    <d v="2026-02-07T00:00:00"/>
    <n v="37.01"/>
    <x v="0"/>
  </r>
  <r>
    <x v="29"/>
    <x v="29"/>
    <x v="4"/>
    <x v="3"/>
    <x v="29"/>
    <n v="25.5"/>
    <n v="14.11"/>
    <n v="846.58"/>
    <n v="55.33"/>
    <d v="2026-02-07T00:00:00"/>
    <n v="64.92"/>
    <x v="0"/>
  </r>
  <r>
    <x v="30"/>
    <x v="30"/>
    <x v="2"/>
    <x v="5"/>
    <x v="30"/>
    <n v="54.44"/>
    <n v="9.94"/>
    <n v="596.33000000000004"/>
    <n v="18.260000000000002"/>
    <d v="2026-02-07T00:00:00"/>
    <n v="31.91"/>
    <x v="0"/>
  </r>
  <r>
    <x v="31"/>
    <x v="31"/>
    <x v="0"/>
    <x v="3"/>
    <x v="31"/>
    <n v="38.299999999999997"/>
    <n v="8.9"/>
    <n v="534.14"/>
    <n v="23.24"/>
    <d v="2026-02-07T00:00:00"/>
    <n v="42.47"/>
    <x v="0"/>
  </r>
  <r>
    <x v="32"/>
    <x v="32"/>
    <x v="1"/>
    <x v="5"/>
    <x v="32"/>
    <n v="33.56"/>
    <n v="4.63"/>
    <n v="277.79000000000002"/>
    <n v="13.8"/>
    <d v="2026-02-07T00:00:00"/>
    <n v="40.119999999999997"/>
    <x v="0"/>
  </r>
  <r>
    <x v="33"/>
    <x v="33"/>
    <x v="6"/>
    <x v="3"/>
    <x v="33"/>
    <n v="53.39"/>
    <n v="9.7799999999999994"/>
    <n v="586.67999999999995"/>
    <n v="18.309999999999999"/>
    <d v="2026-02-07T00:00:00"/>
    <n v="32.46"/>
    <x v="0"/>
  </r>
  <r>
    <x v="34"/>
    <x v="34"/>
    <x v="5"/>
    <x v="0"/>
    <x v="34"/>
    <n v="53.98"/>
    <n v="2.83"/>
    <n v="169.63"/>
    <n v="5.24"/>
    <d v="2026-02-07T00:00:00"/>
    <n v="25.63"/>
    <x v="0"/>
  </r>
  <r>
    <x v="35"/>
    <x v="35"/>
    <x v="2"/>
    <x v="0"/>
    <x v="35"/>
    <n v="33.68"/>
    <n v="3.92"/>
    <n v="234.94"/>
    <n v="11.63"/>
    <d v="2026-02-07T00:00:00"/>
    <n v="38.979999999999997"/>
    <x v="0"/>
  </r>
  <r>
    <x v="36"/>
    <x v="36"/>
    <x v="4"/>
    <x v="5"/>
    <x v="36"/>
    <n v="26.09"/>
    <n v="24.82"/>
    <n v="1489.32"/>
    <n v="95.14"/>
    <d v="2026-02-07T00:00:00"/>
    <n v="84.53"/>
    <x v="0"/>
  </r>
  <r>
    <x v="37"/>
    <x v="37"/>
    <x v="1"/>
    <x v="1"/>
    <x v="37"/>
    <n v="37.24"/>
    <n v="3.42"/>
    <n v="204.92"/>
    <n v="9.17"/>
    <d v="2026-02-07T00:00:00"/>
    <n v="35.97"/>
    <x v="0"/>
  </r>
  <r>
    <x v="38"/>
    <x v="38"/>
    <x v="0"/>
    <x v="5"/>
    <x v="38"/>
    <n v="41.19"/>
    <n v="8.5399999999999991"/>
    <n v="512.13"/>
    <n v="20.72"/>
    <d v="2026-02-07T00:00:00"/>
    <n v="39.770000000000003"/>
    <x v="0"/>
  </r>
  <r>
    <x v="39"/>
    <x v="39"/>
    <x v="1"/>
    <x v="4"/>
    <x v="39"/>
    <n v="54.95"/>
    <n v="6.67"/>
    <n v="400.08"/>
    <n v="12.13"/>
    <d v="2026-02-07T00:00:00"/>
    <n v="28.59"/>
    <x v="0"/>
  </r>
  <r>
    <x v="40"/>
    <x v="40"/>
    <x v="6"/>
    <x v="5"/>
    <x v="40"/>
    <n v="48.82"/>
    <n v="9.1"/>
    <n v="545.92999999999995"/>
    <n v="18.64"/>
    <d v="2026-02-07T00:00:00"/>
    <n v="34.909999999999997"/>
    <x v="0"/>
  </r>
  <r>
    <x v="41"/>
    <x v="41"/>
    <x v="3"/>
    <x v="0"/>
    <x v="41"/>
    <n v="59.09"/>
    <n v="3.47"/>
    <n v="208.11"/>
    <n v="5.87"/>
    <d v="2026-02-07T00:00:00"/>
    <n v="23.39"/>
    <x v="0"/>
  </r>
  <r>
    <x v="42"/>
    <x v="42"/>
    <x v="6"/>
    <x v="3"/>
    <x v="42"/>
    <n v="45.35"/>
    <n v="8.9"/>
    <n v="534.04"/>
    <n v="19.63"/>
    <d v="2026-02-07T00:00:00"/>
    <n v="37.14"/>
    <x v="0"/>
  </r>
  <r>
    <x v="43"/>
    <x v="43"/>
    <x v="0"/>
    <x v="3"/>
    <x v="43"/>
    <n v="34.43"/>
    <n v="7.91"/>
    <n v="474.65"/>
    <n v="22.98"/>
    <d v="2026-02-07T00:00:00"/>
    <n v="44.28"/>
    <x v="0"/>
  </r>
  <r>
    <x v="44"/>
    <x v="44"/>
    <x v="1"/>
    <x v="1"/>
    <x v="44"/>
    <n v="39.64"/>
    <n v="5.72"/>
    <n v="343.315"/>
    <n v="18.309999999999999"/>
    <d v="2026-02-07T00:00:00"/>
    <n v="39.340000000000003"/>
    <x v="0"/>
  </r>
  <r>
    <x v="45"/>
    <x v="45"/>
    <x v="3"/>
    <x v="2"/>
    <x v="45"/>
    <n v="39.79"/>
    <n v="2.2999999999999998"/>
    <n v="138"/>
    <n v="5.78"/>
    <d v="2026-02-07T00:00:00"/>
    <n v="33"/>
    <x v="0"/>
  </r>
  <r>
    <x v="46"/>
    <x v="46"/>
    <x v="3"/>
    <x v="0"/>
    <x v="46"/>
    <n v="49.66"/>
    <n v="2.2400000000000002"/>
    <n v="134.57"/>
    <n v="4.5199999999999996"/>
    <d v="2026-02-07T00:00:00"/>
    <n v="27.43"/>
    <x v="0"/>
  </r>
  <r>
    <x v="47"/>
    <x v="47"/>
    <x v="2"/>
    <x v="0"/>
    <x v="47"/>
    <n v="57.55"/>
    <n v="6.76"/>
    <n v="405.68"/>
    <n v="11.75"/>
    <d v="2026-02-07T00:00:00"/>
    <n v="27.1"/>
    <x v="0"/>
  </r>
  <r>
    <x v="48"/>
    <x v="48"/>
    <x v="6"/>
    <x v="5"/>
    <x v="48"/>
    <n v="46.02"/>
    <n v="7.61"/>
    <n v="456.76"/>
    <n v="16.54"/>
    <d v="2026-02-07T00:00:00"/>
    <n v="35.26"/>
    <x v="0"/>
  </r>
  <r>
    <x v="49"/>
    <x v="49"/>
    <x v="2"/>
    <x v="2"/>
    <x v="49"/>
    <n v="42.81"/>
    <n v="4.42"/>
    <n v="265.42"/>
    <n v="8.7100000000000009"/>
    <d v="2026-02-07T00:00:00"/>
    <n v="32.950000000000003"/>
    <x v="0"/>
  </r>
  <r>
    <x v="50"/>
    <x v="50"/>
    <x v="0"/>
    <x v="4"/>
    <x v="50"/>
    <n v="49.63"/>
    <n v="2.41"/>
    <n v="144.54"/>
    <n v="4.8499999999999996"/>
    <d v="2026-02-07T00:00:00"/>
    <n v="27.61"/>
    <x v="0"/>
  </r>
  <r>
    <x v="51"/>
    <x v="51"/>
    <x v="1"/>
    <x v="2"/>
    <x v="51"/>
    <n v="42.81"/>
    <n v="6.29"/>
    <n v="377.63"/>
    <n v="12.09"/>
    <d v="2026-02-07T00:00:00"/>
    <n v="34.64"/>
    <x v="0"/>
  </r>
  <r>
    <x v="52"/>
    <x v="52"/>
    <x v="2"/>
    <x v="4"/>
    <x v="52"/>
    <n v="56.85"/>
    <n v="5.72"/>
    <n v="343.315"/>
    <n v="10.14"/>
    <d v="2026-02-07T00:00:00"/>
    <n v="26.65"/>
    <x v="0"/>
  </r>
  <r>
    <x v="53"/>
    <x v="53"/>
    <x v="6"/>
    <x v="5"/>
    <x v="53"/>
    <n v="47.32"/>
    <n v="4.68"/>
    <n v="280.79000000000002"/>
    <n v="9.89"/>
    <d v="2026-02-07T00:00:00"/>
    <n v="31.29"/>
    <x v="0"/>
  </r>
  <r>
    <x v="54"/>
    <x v="54"/>
    <x v="3"/>
    <x v="4"/>
    <x v="54"/>
    <n v="46.18"/>
    <n v="1.84"/>
    <n v="110.44"/>
    <n v="3.99"/>
    <d v="2026-02-07T00:00:00"/>
    <n v="28.91"/>
    <x v="0"/>
  </r>
  <r>
    <x v="55"/>
    <x v="55"/>
    <x v="2"/>
    <x v="5"/>
    <x v="55"/>
    <n v="33.909999999999997"/>
    <n v="7.2"/>
    <n v="431.92"/>
    <n v="21.23"/>
    <d v="2026-02-07T00:00:00"/>
    <n v="43.66"/>
    <x v="0"/>
  </r>
  <r>
    <x v="56"/>
    <x v="56"/>
    <x v="4"/>
    <x v="4"/>
    <x v="56"/>
    <n v="15.38"/>
    <n v="27.89"/>
    <n v="1673.56"/>
    <n v="181.36"/>
    <d v="2026-02-07T00:00:00"/>
    <n v="132.99"/>
    <x v="0"/>
  </r>
  <r>
    <x v="57"/>
    <x v="57"/>
    <x v="1"/>
    <x v="1"/>
    <x v="57"/>
    <n v="45.43"/>
    <n v="4.93"/>
    <n v="296.04000000000002"/>
    <n v="10.86"/>
    <d v="2026-02-07T00:00:00"/>
    <n v="32.72"/>
    <x v="0"/>
  </r>
  <r>
    <x v="58"/>
    <x v="58"/>
    <x v="4"/>
    <x v="4"/>
    <x v="58"/>
    <n v="21.64"/>
    <n v="22.49"/>
    <n v="1349.21"/>
    <n v="103.91"/>
    <d v="2026-02-07T00:00:00"/>
    <n v="91.14"/>
    <x v="0"/>
  </r>
  <r>
    <x v="59"/>
    <x v="59"/>
    <x v="3"/>
    <x v="3"/>
    <x v="59"/>
    <n v="38.69"/>
    <n v="9.11"/>
    <n v="546.54999999999995"/>
    <n v="23.54"/>
    <d v="2026-02-07T00:00:00"/>
    <n v="42.43"/>
    <x v="0"/>
  </r>
  <r>
    <x v="60"/>
    <x v="60"/>
    <x v="6"/>
    <x v="3"/>
    <x v="60"/>
    <n v="35.200000000000003"/>
    <n v="3.81"/>
    <n v="228.58"/>
    <n v="10.82"/>
    <d v="2026-02-07T00:00:00"/>
    <n v="37.81"/>
    <x v="0"/>
  </r>
  <r>
    <x v="61"/>
    <x v="61"/>
    <x v="2"/>
    <x v="1"/>
    <x v="61"/>
    <n v="45.21"/>
    <n v="8.0399999999999991"/>
    <n v="482.38"/>
    <n v="17.78"/>
    <d v="2026-02-07T00:00:00"/>
    <n v="36.29"/>
    <x v="0"/>
  </r>
  <r>
    <x v="62"/>
    <x v="62"/>
    <x v="5"/>
    <x v="1"/>
    <x v="62"/>
    <n v="30.03"/>
    <n v="2.85"/>
    <n v="171.03"/>
    <n v="9.49"/>
    <d v="2026-02-07T00:00:00"/>
    <n v="39.729999999999997"/>
    <x v="0"/>
  </r>
  <r>
    <x v="63"/>
    <x v="63"/>
    <x v="5"/>
    <x v="2"/>
    <x v="63"/>
    <n v="50.87"/>
    <n v="5.72"/>
    <n v="343.315"/>
    <n v="9.8000000000000007"/>
    <d v="2026-02-07T00:00:00"/>
    <n v="29.47"/>
    <x v="0"/>
  </r>
  <r>
    <x v="64"/>
    <x v="64"/>
    <x v="4"/>
    <x v="2"/>
    <x v="64"/>
    <n v="24.27"/>
    <n v="38.380000000000003"/>
    <n v="2302.81"/>
    <n v="158.13999999999999"/>
    <d v="2026-02-07T00:00:00"/>
    <n v="116.94"/>
    <x v="0"/>
  </r>
  <r>
    <x v="65"/>
    <x v="65"/>
    <x v="1"/>
    <x v="5"/>
    <x v="65"/>
    <n v="52.55"/>
    <n v="8.09"/>
    <n v="485.37"/>
    <n v="15.39"/>
    <d v="2026-02-07T00:00:00"/>
    <n v="31.42"/>
    <x v="0"/>
  </r>
  <r>
    <x v="66"/>
    <x v="66"/>
    <x v="6"/>
    <x v="2"/>
    <x v="66"/>
    <n v="49.68"/>
    <n v="5.34"/>
    <n v="320.69"/>
    <n v="10.76"/>
    <d v="2026-02-07T00:00:00"/>
    <n v="30.54"/>
    <x v="0"/>
  </r>
  <r>
    <x v="67"/>
    <x v="67"/>
    <x v="4"/>
    <x v="4"/>
    <x v="67"/>
    <n v="42.81"/>
    <n v="28.75"/>
    <n v="1724.93"/>
    <n v="120.19"/>
    <d v="2026-02-07T00:00:00"/>
    <n v="88.69"/>
    <x v="0"/>
  </r>
  <r>
    <x v="68"/>
    <x v="68"/>
    <x v="0"/>
    <x v="2"/>
    <x v="68"/>
    <n v="46.8"/>
    <n v="5.5"/>
    <n v="330.23"/>
    <n v="11.76"/>
    <d v="2026-02-07T00:00:00"/>
    <n v="32.479999999999997"/>
    <x v="0"/>
  </r>
  <r>
    <x v="69"/>
    <x v="69"/>
    <x v="3"/>
    <x v="2"/>
    <x v="69"/>
    <n v="43.66"/>
    <n v="2.16"/>
    <n v="129.82"/>
    <n v="4.96"/>
    <d v="2026-02-07T00:00:00"/>
    <n v="30.65"/>
    <x v="0"/>
  </r>
  <r>
    <x v="70"/>
    <x v="70"/>
    <x v="3"/>
    <x v="1"/>
    <x v="70"/>
    <n v="42.81"/>
    <n v="2.4700000000000002"/>
    <n v="148.43"/>
    <n v="6.09"/>
    <d v="2026-02-07T00:00:00"/>
    <n v="31.64"/>
    <x v="0"/>
  </r>
  <r>
    <x v="71"/>
    <x v="71"/>
    <x v="3"/>
    <x v="5"/>
    <x v="71"/>
    <n v="46.75"/>
    <n v="2.98"/>
    <n v="178.92"/>
    <n v="6.38"/>
    <d v="2026-02-07T00:00:00"/>
    <n v="29.82"/>
    <x v="0"/>
  </r>
  <r>
    <x v="72"/>
    <x v="72"/>
    <x v="3"/>
    <x v="5"/>
    <x v="72"/>
    <n v="36.909999999999997"/>
    <n v="2.91"/>
    <n v="174.56"/>
    <n v="7.88"/>
    <d v="2026-02-07T00:00:00"/>
    <n v="35.49"/>
    <x v="0"/>
  </r>
  <r>
    <x v="73"/>
    <x v="73"/>
    <x v="3"/>
    <x v="4"/>
    <x v="73"/>
    <n v="40.97"/>
    <n v="2.0299999999999998"/>
    <n v="121.7"/>
    <n v="4.95"/>
    <d v="2026-02-07T00:00:00"/>
    <n v="31.99"/>
    <x v="0"/>
  </r>
  <r>
    <x v="74"/>
    <x v="74"/>
    <x v="2"/>
    <x v="1"/>
    <x v="74"/>
    <n v="53.32"/>
    <n v="3.77"/>
    <n v="226.41"/>
    <n v="7.08"/>
    <d v="2026-02-07T00:00:00"/>
    <n v="26.88"/>
    <x v="0"/>
  </r>
  <r>
    <x v="75"/>
    <x v="75"/>
    <x v="0"/>
    <x v="4"/>
    <x v="75"/>
    <n v="51.04"/>
    <n v="8.42"/>
    <n v="505.15"/>
    <n v="16.5"/>
    <d v="2026-02-07T00:00:00"/>
    <n v="32.729999999999997"/>
    <x v="0"/>
  </r>
  <r>
    <x v="76"/>
    <x v="76"/>
    <x v="1"/>
    <x v="0"/>
    <x v="76"/>
    <n v="42.81"/>
    <n v="5.22"/>
    <n v="313.01"/>
    <n v="14.3"/>
    <d v="2026-02-07T00:00:00"/>
    <n v="35.75"/>
    <x v="0"/>
  </r>
  <r>
    <x v="77"/>
    <x v="77"/>
    <x v="2"/>
    <x v="1"/>
    <x v="77"/>
    <n v="57.7"/>
    <n v="9.41"/>
    <n v="564.57000000000005"/>
    <n v="16.309999999999999"/>
    <d v="2026-02-07T00:00:00"/>
    <n v="29.31"/>
    <x v="0"/>
  </r>
  <r>
    <x v="78"/>
    <x v="78"/>
    <x v="3"/>
    <x v="5"/>
    <x v="78"/>
    <n v="37.380000000000003"/>
    <n v="2.2000000000000002"/>
    <n v="132.16"/>
    <n v="5.89"/>
    <d v="2026-02-07T00:00:00"/>
    <n v="34.26"/>
    <x v="0"/>
  </r>
  <r>
    <x v="79"/>
    <x v="79"/>
    <x v="6"/>
    <x v="1"/>
    <x v="79"/>
    <n v="46.2"/>
    <n v="9.5399999999999991"/>
    <n v="572.61"/>
    <n v="20.66"/>
    <d v="2026-02-07T00:00:00"/>
    <n v="37.229999999999997"/>
    <x v="0"/>
  </r>
  <r>
    <x v="80"/>
    <x v="80"/>
    <x v="4"/>
    <x v="4"/>
    <x v="80"/>
    <n v="28.61"/>
    <n v="18.510000000000002"/>
    <n v="1110.6300000000001"/>
    <n v="64.7"/>
    <d v="2026-02-07T00:00:00"/>
    <n v="68.05"/>
    <x v="0"/>
  </r>
  <r>
    <x v="81"/>
    <x v="81"/>
    <x v="0"/>
    <x v="4"/>
    <x v="81"/>
    <n v="39.380000000000003"/>
    <n v="5.09"/>
    <n v="305.37"/>
    <n v="12.92"/>
    <d v="2026-02-07T00:00:00"/>
    <n v="36.770000000000003"/>
    <x v="0"/>
  </r>
  <r>
    <x v="82"/>
    <x v="82"/>
    <x v="4"/>
    <x v="3"/>
    <x v="82"/>
    <n v="23.43"/>
    <n v="22.58"/>
    <n v="1354.54"/>
    <n v="96.35"/>
    <d v="2026-02-07T00:00:00"/>
    <n v="86.46"/>
    <x v="0"/>
  </r>
  <r>
    <x v="83"/>
    <x v="83"/>
    <x v="4"/>
    <x v="3"/>
    <x v="83"/>
    <n v="27.55"/>
    <n v="20.9"/>
    <n v="1253.81"/>
    <n v="75.849999999999994"/>
    <d v="2026-02-07T00:00:00"/>
    <n v="74.150000000000006"/>
    <x v="0"/>
  </r>
  <r>
    <x v="84"/>
    <x v="84"/>
    <x v="6"/>
    <x v="5"/>
    <x v="84"/>
    <n v="30.51"/>
    <n v="5.61"/>
    <n v="336.79"/>
    <n v="18.399999999999999"/>
    <d v="2026-02-07T00:00:00"/>
    <n v="43.95"/>
    <x v="0"/>
  </r>
  <r>
    <x v="85"/>
    <x v="85"/>
    <x v="2"/>
    <x v="2"/>
    <x v="85"/>
    <n v="52.39"/>
    <n v="4.43"/>
    <n v="265.77999999999997"/>
    <n v="8.4600000000000009"/>
    <d v="2026-02-07T00:00:00"/>
    <n v="28.04"/>
    <x v="0"/>
  </r>
  <r>
    <x v="86"/>
    <x v="86"/>
    <x v="5"/>
    <x v="1"/>
    <x v="86"/>
    <n v="51.25"/>
    <n v="8.3699999999999992"/>
    <n v="502.04"/>
    <n v="16.329999999999998"/>
    <d v="2026-02-07T00:00:00"/>
    <n v="32.54"/>
    <x v="0"/>
  </r>
  <r>
    <x v="87"/>
    <x v="87"/>
    <x v="0"/>
    <x v="4"/>
    <x v="87"/>
    <n v="31.53"/>
    <n v="8.6199999999999992"/>
    <n v="517.16999999999996"/>
    <n v="27.34"/>
    <d v="2026-02-07T00:00:00"/>
    <n v="47.91"/>
    <x v="0"/>
  </r>
  <r>
    <x v="88"/>
    <x v="88"/>
    <x v="1"/>
    <x v="1"/>
    <x v="88"/>
    <n v="37.56"/>
    <n v="7.51"/>
    <n v="450.89"/>
    <n v="20.010000000000002"/>
    <d v="2026-02-07T00:00:00"/>
    <n v="41.23"/>
    <x v="0"/>
  </r>
  <r>
    <x v="89"/>
    <x v="89"/>
    <x v="5"/>
    <x v="5"/>
    <x v="89"/>
    <n v="55.39"/>
    <n v="9.8800000000000008"/>
    <n v="592.64"/>
    <n v="17.829999999999998"/>
    <d v="2026-02-07T00:00:00"/>
    <n v="31.22"/>
    <x v="0"/>
  </r>
  <r>
    <x v="90"/>
    <x v="90"/>
    <x v="5"/>
    <x v="2"/>
    <x v="90"/>
    <n v="44.19"/>
    <n v="5.72"/>
    <n v="343.315"/>
    <n v="22.02"/>
    <d v="2026-02-07T00:00:00"/>
    <n v="38.92"/>
    <x v="0"/>
  </r>
  <r>
    <x v="91"/>
    <x v="91"/>
    <x v="2"/>
    <x v="2"/>
    <x v="91"/>
    <n v="32.81"/>
    <n v="3.45"/>
    <n v="206.89"/>
    <n v="10.51"/>
    <d v="2026-02-07T00:00:00"/>
    <n v="38.85"/>
    <x v="0"/>
  </r>
  <r>
    <x v="92"/>
    <x v="92"/>
    <x v="1"/>
    <x v="2"/>
    <x v="92"/>
    <n v="47.94"/>
    <n v="8.68"/>
    <n v="520.98"/>
    <n v="18.11"/>
    <d v="2026-02-07T00:00:00"/>
    <n v="35.090000000000003"/>
    <x v="0"/>
  </r>
  <r>
    <x v="93"/>
    <x v="93"/>
    <x v="3"/>
    <x v="1"/>
    <x v="93"/>
    <n v="49.79"/>
    <n v="2.38"/>
    <n v="142.56"/>
    <n v="4.7699999999999996"/>
    <d v="2026-02-07T00:00:00"/>
    <n v="27.49"/>
    <x v="0"/>
  </r>
  <r>
    <x v="94"/>
    <x v="94"/>
    <x v="4"/>
    <x v="2"/>
    <x v="94"/>
    <n v="17.59"/>
    <n v="13.29"/>
    <n v="797.37"/>
    <n v="75.55"/>
    <d v="2026-02-07T00:00:00"/>
    <n v="78.98"/>
    <x v="0"/>
  </r>
  <r>
    <x v="95"/>
    <x v="95"/>
    <x v="0"/>
    <x v="3"/>
    <x v="95"/>
    <n v="34.770000000000003"/>
    <n v="5.72"/>
    <n v="343.315"/>
    <n v="9.61"/>
    <d v="2026-02-07T00:00:00"/>
    <n v="37.42"/>
    <x v="0"/>
  </r>
  <r>
    <x v="96"/>
    <x v="96"/>
    <x v="6"/>
    <x v="5"/>
    <x v="96"/>
    <n v="42.64"/>
    <n v="6.94"/>
    <n v="416.24"/>
    <n v="16.27"/>
    <d v="2026-02-07T00:00:00"/>
    <n v="36.82"/>
    <x v="0"/>
  </r>
  <r>
    <x v="97"/>
    <x v="97"/>
    <x v="5"/>
    <x v="2"/>
    <x v="97"/>
    <n v="33.18"/>
    <n v="2.0699999999999998"/>
    <n v="124.17"/>
    <n v="6.24"/>
    <d v="2026-02-07T00:00:00"/>
    <n v="36.53"/>
    <x v="0"/>
  </r>
  <r>
    <x v="98"/>
    <x v="98"/>
    <x v="4"/>
    <x v="2"/>
    <x v="98"/>
    <n v="16.57"/>
    <n v="34.25"/>
    <n v="2054.85"/>
    <n v="206.68"/>
    <d v="2026-02-07T00:00:00"/>
    <n v="145.06"/>
    <x v="0"/>
  </r>
  <r>
    <x v="99"/>
    <x v="99"/>
    <x v="3"/>
    <x v="3"/>
    <x v="99"/>
    <n v="36.97"/>
    <n v="2.2400000000000002"/>
    <n v="134.58000000000001"/>
    <n v="6.07"/>
    <d v="2026-02-07T00:00:00"/>
    <n v="34.549999999999997"/>
    <x v="0"/>
  </r>
  <r>
    <x v="100"/>
    <x v="100"/>
    <x v="5"/>
    <x v="2"/>
    <x v="100"/>
    <n v="30.56"/>
    <n v="8.23"/>
    <n v="493.74"/>
    <n v="26.93"/>
    <d v="2026-02-07T00:00:00"/>
    <n v="48.19"/>
    <x v="0"/>
  </r>
  <r>
    <x v="101"/>
    <x v="101"/>
    <x v="2"/>
    <x v="0"/>
    <x v="101"/>
    <n v="33.26"/>
    <n v="7.32"/>
    <n v="438.97"/>
    <n v="22"/>
    <d v="2026-02-07T00:00:00"/>
    <n v="44.37"/>
    <x v="0"/>
  </r>
  <r>
    <x v="102"/>
    <x v="102"/>
    <x v="5"/>
    <x v="1"/>
    <x v="102"/>
    <n v="52.6"/>
    <n v="9.89"/>
    <n v="593.37"/>
    <n v="18.8"/>
    <d v="2026-02-07T00:00:00"/>
    <n v="33.1"/>
    <x v="0"/>
  </r>
  <r>
    <x v="103"/>
    <x v="103"/>
    <x v="4"/>
    <x v="0"/>
    <x v="103"/>
    <n v="16.399999999999999"/>
    <n v="14.74"/>
    <n v="884.62"/>
    <n v="89.9"/>
    <d v="2026-02-07T00:00:00"/>
    <n v="86.75"/>
    <x v="0"/>
  </r>
  <r>
    <x v="104"/>
    <x v="104"/>
    <x v="4"/>
    <x v="3"/>
    <x v="104"/>
    <n v="19.48"/>
    <n v="11.02"/>
    <n v="660.99"/>
    <n v="56.55"/>
    <d v="2026-02-07T00:00:00"/>
    <n v="68.540000000000006"/>
    <x v="0"/>
  </r>
  <r>
    <x v="105"/>
    <x v="105"/>
    <x v="6"/>
    <x v="5"/>
    <x v="105"/>
    <n v="36.229999999999997"/>
    <n v="8"/>
    <n v="480.1"/>
    <n v="22.09"/>
    <d v="2026-02-07T00:00:00"/>
    <n v="42.93"/>
    <x v="0"/>
  </r>
  <r>
    <x v="106"/>
    <x v="106"/>
    <x v="1"/>
    <x v="5"/>
    <x v="106"/>
    <n v="49.48"/>
    <n v="7.37"/>
    <n v="442.36"/>
    <n v="14.9"/>
    <d v="2026-02-07T00:00:00"/>
    <n v="32.71"/>
    <x v="0"/>
  </r>
  <r>
    <x v="107"/>
    <x v="107"/>
    <x v="3"/>
    <x v="0"/>
    <x v="107"/>
    <n v="36.340000000000003"/>
    <n v="1.25"/>
    <n v="74.95"/>
    <n v="3.44"/>
    <d v="2026-02-07T00:00:00"/>
    <n v="33.549999999999997"/>
    <x v="0"/>
  </r>
  <r>
    <x v="108"/>
    <x v="108"/>
    <x v="6"/>
    <x v="4"/>
    <x v="108"/>
    <n v="44.15"/>
    <n v="6.58"/>
    <n v="394.86"/>
    <n v="14.91"/>
    <d v="2026-02-07T00:00:00"/>
    <n v="35.380000000000003"/>
    <x v="0"/>
  </r>
  <r>
    <x v="109"/>
    <x v="109"/>
    <x v="0"/>
    <x v="5"/>
    <x v="109"/>
    <n v="57.54"/>
    <n v="5.26"/>
    <n v="315.52"/>
    <n v="9.14"/>
    <d v="2026-02-07T00:00:00"/>
    <n v="25.8"/>
    <x v="0"/>
  </r>
  <r>
    <x v="110"/>
    <x v="110"/>
    <x v="3"/>
    <x v="4"/>
    <x v="110"/>
    <n v="41.82"/>
    <n v="2.68"/>
    <n v="160.69"/>
    <n v="6.4"/>
    <d v="2026-02-07T00:00:00"/>
    <n v="32.29"/>
    <x v="0"/>
  </r>
  <r>
    <x v="111"/>
    <x v="111"/>
    <x v="5"/>
    <x v="4"/>
    <x v="111"/>
    <n v="40.729999999999997"/>
    <n v="4.4400000000000004"/>
    <n v="266.57"/>
    <n v="10.91"/>
    <d v="2026-02-07T00:00:00"/>
    <n v="35.090000000000003"/>
    <x v="0"/>
  </r>
  <r>
    <x v="112"/>
    <x v="112"/>
    <x v="2"/>
    <x v="2"/>
    <x v="112"/>
    <n v="50.59"/>
    <n v="5.47"/>
    <n v="328.1"/>
    <n v="10.81"/>
    <d v="2026-02-07T00:00:00"/>
    <n v="30.11"/>
    <x v="0"/>
  </r>
  <r>
    <x v="113"/>
    <x v="113"/>
    <x v="4"/>
    <x v="2"/>
    <x v="113"/>
    <n v="23.22"/>
    <n v="22.4"/>
    <n v="1344.13"/>
    <n v="96.48"/>
    <d v="2026-02-07T00:00:00"/>
    <n v="86.63"/>
    <x v="0"/>
  </r>
  <r>
    <x v="114"/>
    <x v="114"/>
    <x v="2"/>
    <x v="3"/>
    <x v="114"/>
    <n v="32.65"/>
    <n v="9.7799999999999994"/>
    <n v="586.57000000000005"/>
    <n v="29.94"/>
    <d v="2026-02-07T00:00:00"/>
    <n v="48.65"/>
    <x v="0"/>
  </r>
  <r>
    <x v="115"/>
    <x v="115"/>
    <x v="1"/>
    <x v="1"/>
    <x v="115"/>
    <n v="44.09"/>
    <n v="8.9"/>
    <n v="534.14"/>
    <n v="20.190000000000001"/>
    <d v="2026-02-07T00:00:00"/>
    <n v="38.049999999999997"/>
    <x v="0"/>
  </r>
  <r>
    <x v="116"/>
    <x v="116"/>
    <x v="5"/>
    <x v="5"/>
    <x v="116"/>
    <n v="54.26"/>
    <n v="4.33"/>
    <n v="259.79000000000002"/>
    <n v="7.98"/>
    <d v="2026-02-07T00:00:00"/>
    <n v="26.86"/>
    <x v="0"/>
  </r>
  <r>
    <x v="117"/>
    <x v="117"/>
    <x v="6"/>
    <x v="0"/>
    <x v="117"/>
    <n v="52.24"/>
    <n v="3.95"/>
    <n v="237.07"/>
    <n v="7.56"/>
    <d v="2026-02-07T00:00:00"/>
    <n v="27.66"/>
    <x v="0"/>
  </r>
  <r>
    <x v="118"/>
    <x v="118"/>
    <x v="1"/>
    <x v="5"/>
    <x v="118"/>
    <n v="54.44"/>
    <n v="3.2"/>
    <n v="191.8"/>
    <n v="5.87"/>
    <d v="2026-02-07T00:00:00"/>
    <n v="25.72"/>
    <x v="0"/>
  </r>
  <r>
    <x v="119"/>
    <x v="119"/>
    <x v="3"/>
    <x v="4"/>
    <x v="119"/>
    <n v="21.07"/>
    <n v="38.22"/>
    <n v="2293.23"/>
    <n v="181.4"/>
    <d v="2026-02-07T00:00:00"/>
    <n v="130.16999999999999"/>
    <x v="0"/>
  </r>
  <r>
    <x v="120"/>
    <x v="120"/>
    <x v="1"/>
    <x v="4"/>
    <x v="120"/>
    <n v="30.32"/>
    <n v="8.61"/>
    <n v="516.33000000000004"/>
    <n v="28.38"/>
    <d v="2026-02-07T00:00:00"/>
    <n v="49.03"/>
    <x v="0"/>
  </r>
  <r>
    <x v="121"/>
    <x v="121"/>
    <x v="0"/>
    <x v="5"/>
    <x v="121"/>
    <n v="52.02"/>
    <n v="8.6300000000000008"/>
    <n v="518.05999999999995"/>
    <n v="16.600000000000001"/>
    <d v="2026-02-07T00:00:00"/>
    <n v="32.29"/>
    <x v="0"/>
  </r>
  <r>
    <x v="122"/>
    <x v="122"/>
    <x v="5"/>
    <x v="3"/>
    <x v="122"/>
    <n v="54.46"/>
    <n v="8.27"/>
    <n v="496.48"/>
    <n v="15.19"/>
    <d v="2026-02-07T00:00:00"/>
    <n v="30.37"/>
    <x v="0"/>
  </r>
  <r>
    <x v="123"/>
    <x v="123"/>
    <x v="2"/>
    <x v="5"/>
    <x v="123"/>
    <n v="49.68"/>
    <n v="8.69"/>
    <n v="521.41"/>
    <n v="17.489999999999998"/>
    <d v="2026-02-07T00:00:00"/>
    <n v="33.909999999999997"/>
    <x v="0"/>
  </r>
  <r>
    <x v="124"/>
    <x v="124"/>
    <x v="0"/>
    <x v="2"/>
    <x v="124"/>
    <n v="30.96"/>
    <n v="9.9"/>
    <n v="593.73"/>
    <n v="31.96"/>
    <d v="2026-02-07T00:00:00"/>
    <n v="50.5"/>
    <x v="0"/>
  </r>
  <r>
    <x v="125"/>
    <x v="125"/>
    <x v="2"/>
    <x v="1"/>
    <x v="125"/>
    <n v="46.34"/>
    <n v="8.25"/>
    <n v="494.84"/>
    <n v="17.8"/>
    <d v="2026-02-07T00:00:00"/>
    <n v="35.729999999999997"/>
    <x v="0"/>
  </r>
  <r>
    <x v="126"/>
    <x v="126"/>
    <x v="6"/>
    <x v="1"/>
    <x v="126"/>
    <n v="46.63"/>
    <n v="5.27"/>
    <n v="316.16000000000003"/>
    <n v="11.3"/>
    <d v="2026-02-07T00:00:00"/>
    <n v="32.340000000000003"/>
    <x v="0"/>
  </r>
  <r>
    <x v="127"/>
    <x v="127"/>
    <x v="3"/>
    <x v="0"/>
    <x v="127"/>
    <n v="44.17"/>
    <n v="2.02"/>
    <n v="121.27"/>
    <n v="4.58"/>
    <d v="2026-02-07T00:00:00"/>
    <n v="30.21"/>
    <x v="0"/>
  </r>
  <r>
    <x v="128"/>
    <x v="128"/>
    <x v="6"/>
    <x v="1"/>
    <x v="128"/>
    <n v="35.85"/>
    <n v="2.33"/>
    <n v="139.83000000000001"/>
    <n v="6.5"/>
    <d v="2026-02-07T00:00:00"/>
    <n v="35.33"/>
    <x v="0"/>
  </r>
  <r>
    <x v="129"/>
    <x v="129"/>
    <x v="4"/>
    <x v="0"/>
    <x v="129"/>
    <n v="17.34"/>
    <n v="38.880000000000003"/>
    <n v="2332.8200000000002"/>
    <n v="224.22"/>
    <d v="2026-02-07T00:00:00"/>
    <n v="153.44"/>
    <x v="0"/>
  </r>
  <r>
    <x v="130"/>
    <x v="130"/>
    <x v="5"/>
    <x v="2"/>
    <x v="130"/>
    <n v="49.8"/>
    <n v="4.07"/>
    <n v="244.35"/>
    <n v="8.18"/>
    <d v="2026-02-07T00:00:00"/>
    <n v="29.19"/>
    <x v="0"/>
  </r>
  <r>
    <x v="131"/>
    <x v="131"/>
    <x v="2"/>
    <x v="2"/>
    <x v="131"/>
    <n v="40.200000000000003"/>
    <n v="7.32"/>
    <n v="439.36"/>
    <n v="18.22"/>
    <d v="2026-02-07T00:00:00"/>
    <n v="39.01"/>
    <x v="0"/>
  </r>
  <r>
    <x v="132"/>
    <x v="132"/>
    <x v="0"/>
    <x v="3"/>
    <x v="132"/>
    <n v="45.05"/>
    <n v="9.5"/>
    <n v="569.73"/>
    <n v="21.08"/>
    <d v="2026-02-07T00:00:00"/>
    <n v="38.020000000000003"/>
    <x v="0"/>
  </r>
  <r>
    <x v="133"/>
    <x v="133"/>
    <x v="1"/>
    <x v="0"/>
    <x v="133"/>
    <n v="55.45"/>
    <n v="3.13"/>
    <n v="187.69"/>
    <n v="5.64"/>
    <d v="2026-02-07T00:00:00"/>
    <n v="25.1"/>
    <x v="0"/>
  </r>
  <r>
    <x v="134"/>
    <x v="134"/>
    <x v="6"/>
    <x v="1"/>
    <x v="134"/>
    <n v="37.43"/>
    <n v="4.8899999999999997"/>
    <n v="293.52999999999997"/>
    <n v="13.07"/>
    <d v="2026-02-07T00:00:00"/>
    <n v="37.82"/>
    <x v="0"/>
  </r>
  <r>
    <x v="135"/>
    <x v="135"/>
    <x v="5"/>
    <x v="1"/>
    <x v="135"/>
    <n v="38.79"/>
    <n v="8.6"/>
    <n v="516.14"/>
    <n v="22.18"/>
    <d v="2026-02-07T00:00:00"/>
    <n v="41.7"/>
    <x v="0"/>
  </r>
  <r>
    <x v="136"/>
    <x v="136"/>
    <x v="3"/>
    <x v="1"/>
    <x v="136"/>
    <n v="47.13"/>
    <n v="2.54"/>
    <n v="152.65"/>
    <n v="5.4"/>
    <d v="2026-02-07T00:00:00"/>
    <n v="29.14"/>
    <x v="0"/>
  </r>
  <r>
    <x v="137"/>
    <x v="137"/>
    <x v="4"/>
    <x v="5"/>
    <x v="137"/>
    <n v="25.47"/>
    <n v="18.98"/>
    <n v="1138.8"/>
    <n v="74.52"/>
    <d v="2026-02-07T00:00:00"/>
    <n v="74.53"/>
    <x v="0"/>
  </r>
  <r>
    <x v="138"/>
    <x v="138"/>
    <x v="3"/>
    <x v="3"/>
    <x v="138"/>
    <n v="43.75"/>
    <n v="2.16"/>
    <n v="129.88"/>
    <n v="4.95"/>
    <d v="2026-02-07T00:00:00"/>
    <n v="30.6"/>
    <x v="0"/>
  </r>
  <r>
    <x v="139"/>
    <x v="139"/>
    <x v="5"/>
    <x v="5"/>
    <x v="139"/>
    <n v="58.01"/>
    <n v="5.25"/>
    <n v="315.19"/>
    <n v="9.06"/>
    <d v="2026-02-07T00:00:00"/>
    <n v="25.53"/>
    <x v="0"/>
  </r>
  <r>
    <x v="140"/>
    <x v="140"/>
    <x v="2"/>
    <x v="5"/>
    <x v="140"/>
    <n v="59.43"/>
    <n v="6.67"/>
    <n v="400.3"/>
    <n v="11.23"/>
    <d v="2026-02-07T00:00:00"/>
    <n v="25.9"/>
    <x v="0"/>
  </r>
  <r>
    <x v="141"/>
    <x v="141"/>
    <x v="2"/>
    <x v="1"/>
    <x v="141"/>
    <n v="51.14"/>
    <n v="4.5999999999999996"/>
    <n v="275.83"/>
    <n v="8.99"/>
    <d v="2026-02-07T00:00:00"/>
    <n v="28.93"/>
    <x v="0"/>
  </r>
  <r>
    <x v="142"/>
    <x v="142"/>
    <x v="6"/>
    <x v="3"/>
    <x v="142"/>
    <n v="50.14"/>
    <n v="4.57"/>
    <n v="274.41000000000003"/>
    <n v="9.1199999999999992"/>
    <d v="2026-02-07T00:00:00"/>
    <n v="29.49"/>
    <x v="0"/>
  </r>
  <r>
    <x v="143"/>
    <x v="143"/>
    <x v="5"/>
    <x v="1"/>
    <x v="143"/>
    <n v="41.6"/>
    <n v="7.57"/>
    <n v="453.93"/>
    <n v="18.190000000000001"/>
    <d v="2026-02-07T00:00:00"/>
    <n v="38.299999999999997"/>
    <x v="0"/>
  </r>
  <r>
    <x v="144"/>
    <x v="144"/>
    <x v="6"/>
    <x v="4"/>
    <x v="144"/>
    <n v="42.44"/>
    <n v="5.72"/>
    <n v="343.315"/>
    <n v="21.86"/>
    <d v="2026-02-07T00:00:00"/>
    <n v="39.71"/>
    <x v="0"/>
  </r>
  <r>
    <x v="145"/>
    <x v="145"/>
    <x v="3"/>
    <x v="5"/>
    <x v="145"/>
    <n v="39.71"/>
    <n v="5.39"/>
    <n v="323.48"/>
    <n v="13.58"/>
    <d v="2026-02-07T00:00:00"/>
    <n v="36.94"/>
    <x v="0"/>
  </r>
  <r>
    <x v="146"/>
    <x v="146"/>
    <x v="3"/>
    <x v="0"/>
    <x v="146"/>
    <n v="41.71"/>
    <n v="2.27"/>
    <n v="135.94999999999999"/>
    <n v="5.43"/>
    <d v="2026-02-07T00:00:00"/>
    <n v="31.86"/>
    <x v="0"/>
  </r>
  <r>
    <x v="147"/>
    <x v="147"/>
    <x v="2"/>
    <x v="0"/>
    <x v="147"/>
    <n v="59.83"/>
    <n v="6.46"/>
    <n v="387.42"/>
    <n v="10.79"/>
    <d v="2026-02-07T00:00:00"/>
    <n v="25.48"/>
    <x v="0"/>
  </r>
  <r>
    <x v="148"/>
    <x v="148"/>
    <x v="6"/>
    <x v="0"/>
    <x v="148"/>
    <n v="36.07"/>
    <n v="5.62"/>
    <n v="337.44"/>
    <n v="15.59"/>
    <d v="2026-02-07T00:00:00"/>
    <n v="39.76"/>
    <x v="0"/>
  </r>
  <r>
    <x v="149"/>
    <x v="149"/>
    <x v="0"/>
    <x v="5"/>
    <x v="149"/>
    <n v="48.46"/>
    <n v="5.33"/>
    <n v="319.83999999999997"/>
    <n v="11"/>
    <d v="2026-02-07T00:00:00"/>
    <n v="31.27"/>
    <x v="0"/>
  </r>
  <r>
    <x v="150"/>
    <x v="150"/>
    <x v="2"/>
    <x v="5"/>
    <x v="150"/>
    <n v="55.44"/>
    <n v="3.76"/>
    <n v="225.83"/>
    <n v="6.79"/>
    <d v="2026-02-07T00:00:00"/>
    <n v="25.68"/>
    <x v="0"/>
  </r>
  <r>
    <x v="151"/>
    <x v="151"/>
    <x v="4"/>
    <x v="5"/>
    <x v="151"/>
    <n v="18.260000000000002"/>
    <n v="28.03"/>
    <n v="1681.76"/>
    <n v="153.5"/>
    <d v="2026-02-07T00:00:00"/>
    <n v="117.62"/>
    <x v="0"/>
  </r>
  <r>
    <x v="152"/>
    <x v="152"/>
    <x v="3"/>
    <x v="5"/>
    <x v="152"/>
    <n v="39.340000000000003"/>
    <n v="2.82"/>
    <n v="169.03"/>
    <n v="7.16"/>
    <d v="2026-02-07T00:00:00"/>
    <n v="33.909999999999997"/>
    <x v="0"/>
  </r>
  <r>
    <x v="153"/>
    <x v="153"/>
    <x v="5"/>
    <x v="1"/>
    <x v="153"/>
    <n v="56.04"/>
    <n v="8.2200000000000006"/>
    <n v="493.42"/>
    <n v="14.67"/>
    <d v="2026-02-07T00:00:00"/>
    <n v="29.32"/>
    <x v="0"/>
  </r>
  <r>
    <x v="154"/>
    <x v="154"/>
    <x v="4"/>
    <x v="3"/>
    <x v="154"/>
    <n v="20.420000000000002"/>
    <n v="30.04"/>
    <n v="1802.11"/>
    <n v="147.09"/>
    <d v="2026-02-07T00:00:00"/>
    <n v="113.34"/>
    <x v="0"/>
  </r>
  <r>
    <x v="155"/>
    <x v="155"/>
    <x v="5"/>
    <x v="3"/>
    <x v="155"/>
    <n v="45.84"/>
    <n v="4.95"/>
    <n v="296.98"/>
    <n v="10.8"/>
    <d v="2026-02-07T00:00:00"/>
    <n v="32.479999999999997"/>
    <x v="0"/>
  </r>
  <r>
    <x v="156"/>
    <x v="156"/>
    <x v="3"/>
    <x v="1"/>
    <x v="156"/>
    <n v="39.729999999999997"/>
    <n v="1.78"/>
    <n v="107"/>
    <n v="4.49"/>
    <d v="2026-02-07T00:00:00"/>
    <n v="32.380000000000003"/>
    <x v="0"/>
  </r>
  <r>
    <x v="157"/>
    <x v="157"/>
    <x v="3"/>
    <x v="3"/>
    <x v="157"/>
    <n v="57.84"/>
    <n v="9.67"/>
    <n v="579.92999999999995"/>
    <n v="16.71"/>
    <d v="2026-02-07T00:00:00"/>
    <n v="29.44"/>
    <x v="0"/>
  </r>
  <r>
    <x v="158"/>
    <x v="158"/>
    <x v="6"/>
    <x v="2"/>
    <x v="158"/>
    <n v="47.74"/>
    <n v="4.7699999999999996"/>
    <n v="286.33999999999997"/>
    <n v="10"/>
    <d v="2026-02-07T00:00:00"/>
    <n v="31.13"/>
    <x v="0"/>
  </r>
  <r>
    <x v="159"/>
    <x v="159"/>
    <x v="1"/>
    <x v="4"/>
    <x v="159"/>
    <n v="49.19"/>
    <n v="4.45"/>
    <n v="267.08"/>
    <n v="9.0500000000000007"/>
    <d v="2026-02-07T00:00:00"/>
    <n v="29.93"/>
    <x v="0"/>
  </r>
  <r>
    <x v="160"/>
    <x v="160"/>
    <x v="4"/>
    <x v="0"/>
    <x v="160"/>
    <n v="15.22"/>
    <n v="10.88"/>
    <n v="652.52"/>
    <n v="71.45"/>
    <d v="2026-02-07T00:00:00"/>
    <n v="78.12"/>
    <x v="0"/>
  </r>
  <r>
    <x v="161"/>
    <x v="161"/>
    <x v="0"/>
    <x v="5"/>
    <x v="161"/>
    <n v="53.14"/>
    <n v="5.73"/>
    <n v="343.67"/>
    <n v="10.78"/>
    <d v="2026-02-07T00:00:00"/>
    <n v="28.82"/>
    <x v="0"/>
  </r>
  <r>
    <x v="162"/>
    <x v="162"/>
    <x v="5"/>
    <x v="0"/>
    <x v="162"/>
    <n v="59.31"/>
    <n v="3.47"/>
    <n v="207.94"/>
    <n v="5.84"/>
    <d v="2026-02-07T00:00:00"/>
    <n v="23.27"/>
    <x v="0"/>
  </r>
  <r>
    <x v="163"/>
    <x v="163"/>
    <x v="5"/>
    <x v="1"/>
    <x v="163"/>
    <n v="45.37"/>
    <n v="7.91"/>
    <n v="474.84"/>
    <n v="17.440000000000001"/>
    <d v="2026-02-07T00:00:00"/>
    <n v="36.04"/>
    <x v="0"/>
  </r>
  <r>
    <x v="164"/>
    <x v="164"/>
    <x v="3"/>
    <x v="3"/>
    <x v="164"/>
    <n v="45.7"/>
    <n v="1.24"/>
    <n v="74.37"/>
    <n v="2.71"/>
    <d v="2026-02-07T00:00:00"/>
    <n v="28.51"/>
    <x v="0"/>
  </r>
  <r>
    <x v="165"/>
    <x v="165"/>
    <x v="3"/>
    <x v="2"/>
    <x v="165"/>
    <n v="43.24"/>
    <n v="2.63"/>
    <n v="157.88"/>
    <n v="6.09"/>
    <d v="2026-02-07T00:00:00"/>
    <n v="31.43"/>
    <x v="0"/>
  </r>
  <r>
    <x v="166"/>
    <x v="166"/>
    <x v="6"/>
    <x v="3"/>
    <x v="166"/>
    <n v="39.93"/>
    <n v="9.98"/>
    <n v="599.09"/>
    <n v="25.01"/>
    <d v="2026-02-07T00:00:00"/>
    <n v="42.54"/>
    <x v="0"/>
  </r>
  <r>
    <x v="167"/>
    <x v="167"/>
    <x v="2"/>
    <x v="4"/>
    <x v="167"/>
    <n v="34.11"/>
    <n v="3.47"/>
    <n v="208.39"/>
    <n v="10.18"/>
    <d v="2026-02-07T00:00:00"/>
    <n v="38.04"/>
    <x v="0"/>
  </r>
  <r>
    <x v="168"/>
    <x v="168"/>
    <x v="1"/>
    <x v="5"/>
    <x v="168"/>
    <n v="32.119999999999997"/>
    <n v="5.72"/>
    <n v="343.28"/>
    <n v="17.809999999999999"/>
    <d v="2026-02-07T00:00:00"/>
    <n v="42.85"/>
    <x v="0"/>
  </r>
  <r>
    <x v="169"/>
    <x v="169"/>
    <x v="6"/>
    <x v="0"/>
    <x v="169"/>
    <n v="54.95"/>
    <n v="3.71"/>
    <n v="222.7"/>
    <n v="6.75"/>
    <d v="2026-02-07T00:00:00"/>
    <n v="25.9"/>
    <x v="0"/>
  </r>
  <r>
    <x v="170"/>
    <x v="170"/>
    <x v="1"/>
    <x v="1"/>
    <x v="170"/>
    <n v="51.81"/>
    <n v="3.65"/>
    <n v="218.88"/>
    <n v="7.04"/>
    <d v="2026-02-07T00:00:00"/>
    <n v="27.62"/>
    <x v="0"/>
  </r>
  <r>
    <x v="171"/>
    <x v="171"/>
    <x v="3"/>
    <x v="1"/>
    <x v="171"/>
    <n v="43.65"/>
    <n v="1.68"/>
    <n v="101.09"/>
    <n v="3.86"/>
    <d v="2026-02-07T00:00:00"/>
    <n v="30.11"/>
    <x v="0"/>
  </r>
  <r>
    <x v="172"/>
    <x v="172"/>
    <x v="0"/>
    <x v="3"/>
    <x v="172"/>
    <n v="40.43"/>
    <n v="7.41"/>
    <n v="444.53"/>
    <n v="18.329999999999998"/>
    <d v="2026-02-07T00:00:00"/>
    <n v="38.950000000000003"/>
    <x v="0"/>
  </r>
  <r>
    <x v="173"/>
    <x v="173"/>
    <x v="1"/>
    <x v="1"/>
    <x v="173"/>
    <n v="49.2"/>
    <n v="9.0399999999999991"/>
    <n v="542.62"/>
    <n v="18.38"/>
    <d v="2026-02-07T00:00:00"/>
    <n v="34.590000000000003"/>
    <x v="0"/>
  </r>
  <r>
    <x v="174"/>
    <x v="174"/>
    <x v="2"/>
    <x v="1"/>
    <x v="174"/>
    <n v="35.159999999999997"/>
    <n v="5.72"/>
    <n v="343.315"/>
    <n v="9.7100000000000009"/>
    <d v="2026-02-07T00:00:00"/>
    <n v="37.28"/>
    <x v="0"/>
  </r>
  <r>
    <x v="175"/>
    <x v="175"/>
    <x v="3"/>
    <x v="3"/>
    <x v="175"/>
    <n v="42.65"/>
    <n v="1.94"/>
    <n v="116.49"/>
    <n v="4.55"/>
    <d v="2026-02-07T00:00:00"/>
    <n v="30.95"/>
    <x v="0"/>
  </r>
  <r>
    <x v="176"/>
    <x v="176"/>
    <x v="1"/>
    <x v="1"/>
    <x v="176"/>
    <n v="42.72"/>
    <n v="6.54"/>
    <n v="392.62"/>
    <n v="15.32"/>
    <d v="2026-02-07T00:00:00"/>
    <n v="36.299999999999997"/>
    <x v="0"/>
  </r>
  <r>
    <x v="177"/>
    <x v="177"/>
    <x v="3"/>
    <x v="0"/>
    <x v="177"/>
    <n v="47.32"/>
    <n v="2.42"/>
    <n v="145.04"/>
    <n v="5.1100000000000003"/>
    <d v="2026-02-07T00:00:00"/>
    <n v="28.9"/>
    <x v="0"/>
  </r>
  <r>
    <x v="178"/>
    <x v="178"/>
    <x v="6"/>
    <x v="4"/>
    <x v="178"/>
    <n v="58.9"/>
    <n v="7.24"/>
    <n v="434.47"/>
    <n v="12.29"/>
    <d v="2026-02-07T00:00:00"/>
    <n v="26.7"/>
    <x v="0"/>
  </r>
  <r>
    <x v="179"/>
    <x v="179"/>
    <x v="4"/>
    <x v="0"/>
    <x v="179"/>
    <n v="27.52"/>
    <n v="34.93"/>
    <n v="2095.5"/>
    <n v="126.91"/>
    <d v="2026-02-07T00:00:00"/>
    <n v="99.7"/>
    <x v="0"/>
  </r>
  <r>
    <x v="180"/>
    <x v="180"/>
    <x v="0"/>
    <x v="0"/>
    <x v="180"/>
    <n v="58.51"/>
    <n v="6.55"/>
    <n v="393.06"/>
    <n v="11.2"/>
    <d v="2026-02-07T00:00:00"/>
    <n v="26.35"/>
    <x v="0"/>
  </r>
  <r>
    <x v="181"/>
    <x v="181"/>
    <x v="3"/>
    <x v="3"/>
    <x v="181"/>
    <n v="45.95"/>
    <n v="2.91"/>
    <n v="174.46"/>
    <n v="6.33"/>
    <d v="2026-02-07T00:00:00"/>
    <n v="30.19"/>
    <x v="0"/>
  </r>
  <r>
    <x v="182"/>
    <x v="182"/>
    <x v="4"/>
    <x v="1"/>
    <x v="182"/>
    <n v="24.79"/>
    <n v="39.31"/>
    <n v="2358.36"/>
    <n v="158.56"/>
    <d v="2026-02-07T00:00:00"/>
    <n v="116.89"/>
    <x v="0"/>
  </r>
  <r>
    <x v="183"/>
    <x v="183"/>
    <x v="3"/>
    <x v="2"/>
    <x v="183"/>
    <n v="37.159999999999997"/>
    <n v="1.24"/>
    <n v="74.3"/>
    <n v="3.33"/>
    <d v="2026-02-07T00:00:00"/>
    <n v="33.090000000000003"/>
    <x v="0"/>
  </r>
  <r>
    <x v="184"/>
    <x v="184"/>
    <x v="5"/>
    <x v="3"/>
    <x v="184"/>
    <n v="42.81"/>
    <n v="5.72"/>
    <n v="343.315"/>
    <n v="13.29"/>
    <d v="2026-02-07T00:00:00"/>
    <n v="35.24"/>
    <x v="0"/>
  </r>
  <r>
    <x v="185"/>
    <x v="185"/>
    <x v="0"/>
    <x v="0"/>
    <x v="185"/>
    <n v="36.200000000000003"/>
    <n v="8.9499999999999993"/>
    <n v="536.86"/>
    <n v="24.72"/>
    <d v="2026-02-07T00:00:00"/>
    <n v="44.26"/>
    <x v="0"/>
  </r>
  <r>
    <x v="186"/>
    <x v="186"/>
    <x v="4"/>
    <x v="3"/>
    <x v="186"/>
    <n v="25.98"/>
    <n v="5.72"/>
    <n v="343.315"/>
    <n v="91.28"/>
    <d v="2026-02-07T00:00:00"/>
    <n v="82.65"/>
    <x v="0"/>
  </r>
  <r>
    <x v="187"/>
    <x v="187"/>
    <x v="2"/>
    <x v="1"/>
    <x v="187"/>
    <n v="55.38"/>
    <n v="2.58"/>
    <n v="154.82"/>
    <n v="4.66"/>
    <d v="2026-02-07T00:00:00"/>
    <n v="24.64"/>
    <x v="0"/>
  </r>
  <r>
    <x v="188"/>
    <x v="188"/>
    <x v="4"/>
    <x v="4"/>
    <x v="188"/>
    <n v="29.62"/>
    <n v="36.81"/>
    <n v="2208.38"/>
    <n v="124.26"/>
    <d v="2026-02-07T00:00:00"/>
    <n v="97.32"/>
    <x v="0"/>
  </r>
  <r>
    <x v="189"/>
    <x v="189"/>
    <x v="3"/>
    <x v="2"/>
    <x v="189"/>
    <n v="49.22"/>
    <n v="1.95"/>
    <n v="116.92"/>
    <n v="3.96"/>
    <d v="2026-02-07T00:00:00"/>
    <n v="27.37"/>
    <x v="0"/>
  </r>
  <r>
    <x v="190"/>
    <x v="190"/>
    <x v="5"/>
    <x v="0"/>
    <x v="190"/>
    <n v="32.32"/>
    <n v="6.41"/>
    <n v="384.72"/>
    <n v="19.84"/>
    <d v="2026-02-07T00:00:00"/>
    <n v="43.76"/>
    <x v="0"/>
  </r>
  <r>
    <x v="191"/>
    <x v="191"/>
    <x v="2"/>
    <x v="1"/>
    <x v="191"/>
    <n v="37.04"/>
    <n v="4.9800000000000004"/>
    <n v="298.64"/>
    <n v="13.44"/>
    <d v="2026-02-07T00:00:00"/>
    <n v="38.200000000000003"/>
    <x v="0"/>
  </r>
  <r>
    <x v="192"/>
    <x v="192"/>
    <x v="2"/>
    <x v="4"/>
    <x v="192"/>
    <n v="55.54"/>
    <n v="4.7300000000000004"/>
    <n v="284.08999999999997"/>
    <n v="8.5299999999999994"/>
    <d v="2026-02-07T00:00:00"/>
    <n v="26.5"/>
    <x v="0"/>
  </r>
  <r>
    <x v="193"/>
    <x v="193"/>
    <x v="4"/>
    <x v="4"/>
    <x v="193"/>
    <n v="26.19"/>
    <n v="32.69"/>
    <n v="1961.65"/>
    <n v="124.83"/>
    <d v="2026-02-07T00:00:00"/>
    <n v="99.32"/>
    <x v="0"/>
  </r>
  <r>
    <x v="194"/>
    <x v="194"/>
    <x v="1"/>
    <x v="3"/>
    <x v="194"/>
    <n v="52.56"/>
    <n v="5.72"/>
    <n v="343.315"/>
    <n v="17.920000000000002"/>
    <d v="2026-02-07T00:00:00"/>
    <n v="32.68"/>
    <x v="0"/>
  </r>
  <r>
    <x v="195"/>
    <x v="195"/>
    <x v="6"/>
    <x v="3"/>
    <x v="195"/>
    <n v="59.39"/>
    <n v="5"/>
    <n v="300.25"/>
    <n v="8.43"/>
    <d v="2026-02-07T00:00:00"/>
    <n v="24.52"/>
    <x v="0"/>
  </r>
  <r>
    <x v="196"/>
    <x v="196"/>
    <x v="4"/>
    <x v="4"/>
    <x v="196"/>
    <n v="25.63"/>
    <n v="32.46"/>
    <n v="1947.76"/>
    <n v="126.66"/>
    <d v="2026-02-07T00:00:00"/>
    <n v="100.52"/>
    <x v="0"/>
  </r>
  <r>
    <x v="197"/>
    <x v="197"/>
    <x v="6"/>
    <x v="1"/>
    <x v="197"/>
    <n v="48.98"/>
    <n v="3.38"/>
    <n v="203.04"/>
    <n v="6.91"/>
    <d v="2026-02-07T00:00:00"/>
    <n v="28.97"/>
    <x v="0"/>
  </r>
  <r>
    <x v="198"/>
    <x v="198"/>
    <x v="6"/>
    <x v="3"/>
    <x v="198"/>
    <n v="52.26"/>
    <n v="3.25"/>
    <n v="194.92"/>
    <n v="6.22"/>
    <d v="2026-02-07T00:00:00"/>
    <n v="26.98"/>
    <x v="0"/>
  </r>
  <r>
    <x v="199"/>
    <x v="199"/>
    <x v="3"/>
    <x v="4"/>
    <x v="199"/>
    <n v="45.86"/>
    <n v="1.1299999999999999"/>
    <n v="67.8"/>
    <n v="2.46"/>
    <d v="2026-02-07T00:00:00"/>
    <n v="28.3"/>
    <x v="0"/>
  </r>
  <r>
    <x v="200"/>
    <x v="200"/>
    <x v="2"/>
    <x v="1"/>
    <x v="200"/>
    <n v="56.45"/>
    <n v="8.4"/>
    <n v="503.95"/>
    <n v="14.88"/>
    <d v="2026-02-07T00:00:00"/>
    <n v="29.22"/>
    <x v="0"/>
  </r>
  <r>
    <x v="201"/>
    <x v="201"/>
    <x v="2"/>
    <x v="3"/>
    <x v="201"/>
    <n v="47.13"/>
    <n v="7.15"/>
    <n v="429.02"/>
    <n v="15.17"/>
    <d v="2026-02-07T00:00:00"/>
    <n v="34.020000000000003"/>
    <x v="0"/>
  </r>
  <r>
    <x v="202"/>
    <x v="202"/>
    <x v="5"/>
    <x v="0"/>
    <x v="202"/>
    <n v="47.27"/>
    <n v="2.04"/>
    <n v="122.28"/>
    <n v="4.3099999999999996"/>
    <d v="2026-02-07T00:00:00"/>
    <n v="28.52"/>
    <x v="0"/>
  </r>
  <r>
    <x v="203"/>
    <x v="203"/>
    <x v="1"/>
    <x v="2"/>
    <x v="203"/>
    <n v="37.159999999999997"/>
    <n v="5.72"/>
    <n v="343.315"/>
    <n v="17.899999999999999"/>
    <d v="2026-02-07T00:00:00"/>
    <n v="40.369999999999997"/>
    <x v="0"/>
  </r>
  <r>
    <x v="204"/>
    <x v="204"/>
    <x v="2"/>
    <x v="0"/>
    <x v="204"/>
    <n v="34.380000000000003"/>
    <n v="3.56"/>
    <n v="213.42"/>
    <n v="10.35"/>
    <d v="2026-02-07T00:00:00"/>
    <n v="37.99"/>
    <x v="0"/>
  </r>
  <r>
    <x v="205"/>
    <x v="205"/>
    <x v="2"/>
    <x v="4"/>
    <x v="205"/>
    <n v="39.630000000000003"/>
    <n v="6.56"/>
    <n v="393.82"/>
    <n v="16.559999999999999"/>
    <d v="2026-02-07T00:00:00"/>
    <n v="38.47"/>
    <x v="0"/>
  </r>
  <r>
    <x v="206"/>
    <x v="206"/>
    <x v="6"/>
    <x v="3"/>
    <x v="206"/>
    <n v="50.95"/>
    <n v="5.72"/>
    <n v="343.315"/>
    <n v="9.9"/>
    <d v="2026-02-07T00:00:00"/>
    <n v="29.48"/>
    <x v="0"/>
  </r>
  <r>
    <x v="207"/>
    <x v="207"/>
    <x v="4"/>
    <x v="4"/>
    <x v="207"/>
    <n v="17.29"/>
    <n v="11.85"/>
    <n v="711.04"/>
    <n v="68.540000000000006"/>
    <d v="2026-02-07T00:00:00"/>
    <n v="75.63"/>
    <x v="0"/>
  </r>
  <r>
    <x v="208"/>
    <x v="208"/>
    <x v="6"/>
    <x v="3"/>
    <x v="208"/>
    <n v="58.82"/>
    <n v="9.31"/>
    <n v="558.36"/>
    <n v="15.82"/>
    <d v="2026-02-07T00:00:00"/>
    <n v="28.5"/>
    <x v="0"/>
  </r>
  <r>
    <x v="209"/>
    <x v="209"/>
    <x v="6"/>
    <x v="4"/>
    <x v="209"/>
    <n v="57.16"/>
    <n v="3.73"/>
    <n v="223.74"/>
    <n v="6.52"/>
    <d v="2026-02-07T00:00:00"/>
    <n v="24.68"/>
    <x v="0"/>
  </r>
  <r>
    <x v="210"/>
    <x v="210"/>
    <x v="3"/>
    <x v="3"/>
    <x v="210"/>
    <n v="45.23"/>
    <n v="2.69"/>
    <n v="161.24"/>
    <n v="5.94"/>
    <d v="2026-02-07T00:00:00"/>
    <n v="30.36"/>
    <x v="0"/>
  </r>
  <r>
    <x v="211"/>
    <x v="211"/>
    <x v="1"/>
    <x v="5"/>
    <x v="211"/>
    <n v="57.28"/>
    <n v="5.98"/>
    <n v="359.09"/>
    <n v="10.45"/>
    <d v="2026-02-07T00:00:00"/>
    <n v="26.59"/>
    <x v="0"/>
  </r>
  <r>
    <x v="212"/>
    <x v="212"/>
    <x v="4"/>
    <x v="2"/>
    <x v="212"/>
    <n v="25.08"/>
    <n v="33.53"/>
    <n v="2011.82"/>
    <n v="133.69"/>
    <d v="2026-02-07T00:00:00"/>
    <n v="104.31"/>
    <x v="0"/>
  </r>
  <r>
    <x v="213"/>
    <x v="213"/>
    <x v="1"/>
    <x v="0"/>
    <x v="213"/>
    <n v="37.869999999999997"/>
    <n v="6.94"/>
    <n v="416.35"/>
    <n v="18.32"/>
    <d v="2026-02-07T00:00:00"/>
    <n v="40.229999999999997"/>
    <x v="0"/>
  </r>
  <r>
    <x v="214"/>
    <x v="214"/>
    <x v="0"/>
    <x v="2"/>
    <x v="214"/>
    <n v="34.32"/>
    <n v="9.25"/>
    <n v="555.27"/>
    <n v="26.97"/>
    <d v="2026-02-07T00:00:00"/>
    <n v="46.33"/>
    <x v="0"/>
  </r>
  <r>
    <x v="215"/>
    <x v="215"/>
    <x v="5"/>
    <x v="1"/>
    <x v="215"/>
    <n v="47.42"/>
    <n v="7.52"/>
    <n v="451.09"/>
    <n v="15.85"/>
    <d v="2026-02-07T00:00:00"/>
    <n v="34.22"/>
    <x v="0"/>
  </r>
  <r>
    <x v="216"/>
    <x v="216"/>
    <x v="6"/>
    <x v="1"/>
    <x v="216"/>
    <n v="36.89"/>
    <n v="3.43"/>
    <n v="205.55"/>
    <n v="9.2899999999999991"/>
    <d v="2026-02-07T00:00:00"/>
    <n v="36.200000000000003"/>
    <x v="0"/>
  </r>
  <r>
    <x v="217"/>
    <x v="217"/>
    <x v="3"/>
    <x v="3"/>
    <x v="217"/>
    <n v="37.18"/>
    <n v="1.72"/>
    <n v="102.97"/>
    <n v="4.62"/>
    <d v="2026-02-07T00:00:00"/>
    <n v="33.72"/>
    <x v="0"/>
  </r>
  <r>
    <x v="218"/>
    <x v="218"/>
    <x v="3"/>
    <x v="4"/>
    <x v="218"/>
    <n v="47.1"/>
    <n v="1.5"/>
    <n v="89.85"/>
    <n v="3.18"/>
    <d v="2026-02-07T00:00:00"/>
    <n v="28.04"/>
    <x v="0"/>
  </r>
  <r>
    <x v="219"/>
    <x v="219"/>
    <x v="0"/>
    <x v="1"/>
    <x v="219"/>
    <n v="57.92"/>
    <n v="6.4"/>
    <n v="384.08"/>
    <n v="11.05"/>
    <d v="2026-02-07T00:00:00"/>
    <n v="26.57"/>
    <x v="0"/>
  </r>
  <r>
    <x v="220"/>
    <x v="220"/>
    <x v="6"/>
    <x v="2"/>
    <x v="220"/>
    <n v="42.81"/>
    <n v="3.5"/>
    <n v="210.17"/>
    <n v="7.12"/>
    <d v="2026-02-07T00:00:00"/>
    <n v="32.159999999999997"/>
    <x v="0"/>
  </r>
  <r>
    <x v="221"/>
    <x v="221"/>
    <x v="6"/>
    <x v="0"/>
    <x v="221"/>
    <n v="50.78"/>
    <n v="5.44"/>
    <n v="326.60000000000002"/>
    <n v="10.72"/>
    <d v="2026-02-07T00:00:00"/>
    <n v="29.97"/>
    <x v="0"/>
  </r>
  <r>
    <x v="222"/>
    <x v="222"/>
    <x v="3"/>
    <x v="3"/>
    <x v="222"/>
    <n v="41.17"/>
    <n v="1.95"/>
    <n v="117.15"/>
    <n v="4.74"/>
    <d v="2026-02-07T00:00:00"/>
    <n v="31.79"/>
    <x v="0"/>
  </r>
  <r>
    <x v="223"/>
    <x v="223"/>
    <x v="2"/>
    <x v="5"/>
    <x v="223"/>
    <n v="56.91"/>
    <n v="9.09"/>
    <n v="545.14"/>
    <n v="15.96"/>
    <d v="2026-02-07T00:00:00"/>
    <n v="29.53"/>
    <x v="0"/>
  </r>
  <r>
    <x v="224"/>
    <x v="224"/>
    <x v="2"/>
    <x v="1"/>
    <x v="224"/>
    <n v="47.03"/>
    <n v="3.9"/>
    <n v="233.77"/>
    <n v="8.2799999999999994"/>
    <d v="2026-02-07T00:00:00"/>
    <n v="30.63"/>
    <x v="0"/>
  </r>
  <r>
    <x v="225"/>
    <x v="225"/>
    <x v="5"/>
    <x v="5"/>
    <x v="225"/>
    <n v="54.59"/>
    <n v="7.52"/>
    <n v="451.03"/>
    <n v="13.77"/>
    <d v="2026-02-07T00:00:00"/>
    <n v="29.59"/>
    <x v="0"/>
  </r>
  <r>
    <x v="226"/>
    <x v="226"/>
    <x v="0"/>
    <x v="5"/>
    <x v="226"/>
    <n v="44.89"/>
    <n v="9.11"/>
    <n v="546.47"/>
    <n v="20.29"/>
    <d v="2026-02-07T00:00:00"/>
    <n v="37.700000000000003"/>
    <x v="0"/>
  </r>
  <r>
    <x v="227"/>
    <x v="227"/>
    <x v="1"/>
    <x v="4"/>
    <x v="227"/>
    <n v="39.64"/>
    <n v="6.3"/>
    <n v="377.89"/>
    <n v="15.89"/>
    <d v="2026-02-07T00:00:00"/>
    <n v="38.130000000000003"/>
    <x v="0"/>
  </r>
  <r>
    <x v="228"/>
    <x v="228"/>
    <x v="3"/>
    <x v="4"/>
    <x v="228"/>
    <n v="35.6"/>
    <n v="2.4300000000000002"/>
    <n v="145.68"/>
    <n v="6.82"/>
    <d v="2026-02-07T00:00:00"/>
    <n v="35.61"/>
    <x v="0"/>
  </r>
  <r>
    <x v="229"/>
    <x v="229"/>
    <x v="4"/>
    <x v="2"/>
    <x v="229"/>
    <n v="16.96"/>
    <n v="13.55"/>
    <n v="812.93"/>
    <n v="79.89"/>
    <d v="2026-02-07T00:00:00"/>
    <n v="81.47"/>
    <x v="0"/>
  </r>
  <r>
    <x v="230"/>
    <x v="230"/>
    <x v="6"/>
    <x v="5"/>
    <x v="230"/>
    <n v="45.47"/>
    <n v="8.43"/>
    <n v="505.73"/>
    <n v="18.54"/>
    <d v="2026-02-07T00:00:00"/>
    <n v="36.54"/>
    <x v="0"/>
  </r>
  <r>
    <x v="231"/>
    <x v="231"/>
    <x v="3"/>
    <x v="2"/>
    <x v="231"/>
    <n v="40.21"/>
    <n v="2.93"/>
    <n v="176.08"/>
    <n v="7.3"/>
    <d v="2026-02-07T00:00:00"/>
    <n v="33.549999999999997"/>
    <x v="0"/>
  </r>
  <r>
    <x v="232"/>
    <x v="232"/>
    <x v="2"/>
    <x v="5"/>
    <x v="232"/>
    <n v="42.74"/>
    <n v="7.21"/>
    <n v="432.5"/>
    <n v="16.87"/>
    <d v="2026-02-07T00:00:00"/>
    <n v="37.07"/>
    <x v="0"/>
  </r>
  <r>
    <x v="233"/>
    <x v="233"/>
    <x v="3"/>
    <x v="2"/>
    <x v="233"/>
    <n v="41.79"/>
    <n v="1.87"/>
    <n v="111.93"/>
    <n v="4.46"/>
    <d v="2026-02-07T00:00:00"/>
    <n v="31.34"/>
    <x v="0"/>
  </r>
  <r>
    <x v="234"/>
    <x v="234"/>
    <x v="2"/>
    <x v="2"/>
    <x v="234"/>
    <n v="50.82"/>
    <n v="4.63"/>
    <n v="277.63"/>
    <n v="9.11"/>
    <d v="2026-02-07T00:00:00"/>
    <n v="29.15"/>
    <x v="0"/>
  </r>
  <r>
    <x v="235"/>
    <x v="235"/>
    <x v="2"/>
    <x v="1"/>
    <x v="235"/>
    <n v="40.72"/>
    <n v="8.3000000000000007"/>
    <n v="498.09"/>
    <n v="20.39"/>
    <d v="2026-02-07T00:00:00"/>
    <n v="39.840000000000003"/>
    <x v="0"/>
  </r>
  <r>
    <x v="236"/>
    <x v="236"/>
    <x v="5"/>
    <x v="4"/>
    <x v="236"/>
    <n v="43.33"/>
    <n v="7.26"/>
    <n v="435.52"/>
    <n v="16.75"/>
    <d v="2026-02-07T00:00:00"/>
    <n v="36.71"/>
    <x v="0"/>
  </r>
  <r>
    <x v="237"/>
    <x v="237"/>
    <x v="5"/>
    <x v="4"/>
    <x v="237"/>
    <n v="46.36"/>
    <n v="3.8"/>
    <n v="227.74"/>
    <n v="8.19"/>
    <d v="2026-02-07T00:00:00"/>
    <n v="30.92"/>
    <x v="0"/>
  </r>
  <r>
    <x v="238"/>
    <x v="238"/>
    <x v="4"/>
    <x v="3"/>
    <x v="238"/>
    <n v="21.14"/>
    <n v="18.46"/>
    <n v="1107.72"/>
    <n v="87.33"/>
    <d v="2026-02-07T00:00:00"/>
    <n v="83.1"/>
    <x v="0"/>
  </r>
  <r>
    <x v="239"/>
    <x v="239"/>
    <x v="2"/>
    <x v="2"/>
    <x v="239"/>
    <n v="44.87"/>
    <n v="5.31"/>
    <n v="318.39999999999998"/>
    <n v="11.83"/>
    <d v="2026-02-07T00:00:00"/>
    <n v="33.479999999999997"/>
    <x v="0"/>
  </r>
  <r>
    <x v="240"/>
    <x v="240"/>
    <x v="3"/>
    <x v="0"/>
    <x v="240"/>
    <n v="41.43"/>
    <n v="1.95"/>
    <n v="117.06"/>
    <n v="4.71"/>
    <d v="2026-02-07T00:00:00"/>
    <n v="31.64"/>
    <x v="0"/>
  </r>
  <r>
    <x v="241"/>
    <x v="241"/>
    <x v="3"/>
    <x v="5"/>
    <x v="241"/>
    <n v="36.46"/>
    <n v="1.95"/>
    <n v="117.26"/>
    <n v="5.36"/>
    <d v="2026-02-07T00:00:00"/>
    <n v="34.450000000000003"/>
    <x v="0"/>
  </r>
  <r>
    <x v="242"/>
    <x v="242"/>
    <x v="3"/>
    <x v="0"/>
    <x v="242"/>
    <n v="38.979999999999997"/>
    <n v="4"/>
    <n v="239.82"/>
    <n v="10.25"/>
    <d v="2026-02-07T00:00:00"/>
    <n v="35.64"/>
    <x v="0"/>
  </r>
  <r>
    <x v="243"/>
    <x v="243"/>
    <x v="3"/>
    <x v="4"/>
    <x v="243"/>
    <n v="45.74"/>
    <n v="1.26"/>
    <n v="75.569999999999993"/>
    <n v="2.75"/>
    <d v="2026-02-07T00:00:00"/>
    <n v="28.51"/>
    <x v="1"/>
  </r>
  <r>
    <x v="244"/>
    <x v="244"/>
    <x v="1"/>
    <x v="0"/>
    <x v="244"/>
    <n v="43.06"/>
    <n v="4.26"/>
    <n v="255.65"/>
    <n v="9.9"/>
    <d v="2026-02-07T00:00:00"/>
    <n v="33.42"/>
    <x v="0"/>
  </r>
  <r>
    <x v="245"/>
    <x v="245"/>
    <x v="6"/>
    <x v="2"/>
    <x v="245"/>
    <n v="39.159999999999997"/>
    <n v="7.58"/>
    <n v="454.76"/>
    <n v="19.350000000000001"/>
    <d v="2026-02-07T00:00:00"/>
    <n v="40.1"/>
    <x v="0"/>
  </r>
  <r>
    <x v="246"/>
    <x v="246"/>
    <x v="2"/>
    <x v="3"/>
    <x v="246"/>
    <n v="58.92"/>
    <n v="7.55"/>
    <n v="452.94"/>
    <n v="12.81"/>
    <d v="2026-02-07T00:00:00"/>
    <n v="26.95"/>
    <x v="0"/>
  </r>
  <r>
    <x v="247"/>
    <x v="247"/>
    <x v="1"/>
    <x v="4"/>
    <x v="247"/>
    <n v="33.39"/>
    <n v="6.08"/>
    <n v="364.97"/>
    <n v="18.22"/>
    <d v="2026-02-07T00:00:00"/>
    <n v="42.42"/>
    <x v="0"/>
  </r>
  <r>
    <x v="248"/>
    <x v="248"/>
    <x v="2"/>
    <x v="3"/>
    <x v="248"/>
    <n v="57.07"/>
    <n v="5.72"/>
    <n v="343.315"/>
    <n v="14.72"/>
    <d v="2026-02-07T00:00:00"/>
    <n v="28.83"/>
    <x v="0"/>
  </r>
  <r>
    <x v="249"/>
    <x v="249"/>
    <x v="0"/>
    <x v="3"/>
    <x v="249"/>
    <n v="55.12"/>
    <n v="2.16"/>
    <n v="129.63999999999999"/>
    <n v="3.92"/>
    <d v="2026-02-07T00:00:00"/>
    <n v="24.4"/>
    <x v="0"/>
  </r>
  <r>
    <x v="250"/>
    <x v="250"/>
    <x v="3"/>
    <x v="5"/>
    <x v="250"/>
    <n v="51.45"/>
    <n v="4.22"/>
    <n v="253.27"/>
    <n v="8.1999999999999993"/>
    <d v="2026-02-07T00:00:00"/>
    <n v="28.38"/>
    <x v="0"/>
  </r>
  <r>
    <x v="251"/>
    <x v="251"/>
    <x v="2"/>
    <x v="1"/>
    <x v="251"/>
    <n v="55.85"/>
    <n v="5.72"/>
    <n v="343.315"/>
    <n v="10.44"/>
    <d v="2026-02-07T00:00:00"/>
    <n v="27.3"/>
    <x v="1"/>
  </r>
  <r>
    <x v="252"/>
    <x v="252"/>
    <x v="5"/>
    <x v="2"/>
    <x v="252"/>
    <n v="32.85"/>
    <n v="8.74"/>
    <n v="524.16"/>
    <n v="26.59"/>
    <d v="2026-02-07T00:00:00"/>
    <n v="46.87"/>
    <x v="0"/>
  </r>
  <r>
    <x v="253"/>
    <x v="253"/>
    <x v="2"/>
    <x v="4"/>
    <x v="253"/>
    <n v="48.45"/>
    <n v="3.94"/>
    <n v="236.29"/>
    <n v="8.1300000000000008"/>
    <d v="2026-02-07T00:00:00"/>
    <n v="29.84"/>
    <x v="0"/>
  </r>
  <r>
    <x v="254"/>
    <x v="254"/>
    <x v="6"/>
    <x v="5"/>
    <x v="254"/>
    <n v="49.86"/>
    <n v="8.76"/>
    <n v="525.4"/>
    <n v="17.559999999999999"/>
    <d v="2026-02-07T00:00:00"/>
    <n v="33.85"/>
    <x v="0"/>
  </r>
  <r>
    <x v="255"/>
    <x v="255"/>
    <x v="3"/>
    <x v="3"/>
    <x v="255"/>
    <n v="43.65"/>
    <n v="2.4500000000000002"/>
    <n v="147.11000000000001"/>
    <n v="5.62"/>
    <d v="2026-02-07T00:00:00"/>
    <n v="30.99"/>
    <x v="0"/>
  </r>
  <r>
    <x v="256"/>
    <x v="256"/>
    <x v="4"/>
    <x v="2"/>
    <x v="256"/>
    <n v="17.68"/>
    <n v="15.14"/>
    <n v="908.58"/>
    <n v="85.65"/>
    <d v="2026-02-07T00:00:00"/>
    <n v="83.99"/>
    <x v="0"/>
  </r>
  <r>
    <x v="257"/>
    <x v="257"/>
    <x v="2"/>
    <x v="0"/>
    <x v="257"/>
    <n v="59.72"/>
    <n v="8.86"/>
    <n v="531.34"/>
    <n v="14.83"/>
    <d v="2026-02-07T00:00:00"/>
    <n v="27.56"/>
    <x v="0"/>
  </r>
  <r>
    <x v="258"/>
    <x v="258"/>
    <x v="3"/>
    <x v="2"/>
    <x v="258"/>
    <n v="47.66"/>
    <n v="1.58"/>
    <n v="94.67"/>
    <n v="3.31"/>
    <d v="2026-02-07T00:00:00"/>
    <n v="27.83"/>
    <x v="0"/>
  </r>
  <r>
    <x v="259"/>
    <x v="259"/>
    <x v="1"/>
    <x v="1"/>
    <x v="259"/>
    <n v="42.81"/>
    <n v="8.48"/>
    <n v="508.72"/>
    <n v="17.63"/>
    <d v="2026-02-07T00:00:00"/>
    <n v="37.409999999999997"/>
    <x v="1"/>
  </r>
  <r>
    <x v="260"/>
    <x v="260"/>
    <x v="2"/>
    <x v="2"/>
    <x v="260"/>
    <n v="58.81"/>
    <n v="4.74"/>
    <n v="284.52"/>
    <n v="8.06"/>
    <d v="2026-02-07T00:00:00"/>
    <n v="24.63"/>
    <x v="0"/>
  </r>
  <r>
    <x v="261"/>
    <x v="261"/>
    <x v="4"/>
    <x v="5"/>
    <x v="261"/>
    <n v="28.37"/>
    <n v="27.07"/>
    <n v="1624.12"/>
    <n v="95.41"/>
    <d v="2026-02-07T00:00:00"/>
    <n v="83.52"/>
    <x v="0"/>
  </r>
  <r>
    <x v="262"/>
    <x v="262"/>
    <x v="0"/>
    <x v="0"/>
    <x v="262"/>
    <n v="44.62"/>
    <n v="5.56"/>
    <n v="333.84"/>
    <n v="12.47"/>
    <d v="2026-02-07T00:00:00"/>
    <n v="33.93"/>
    <x v="0"/>
  </r>
  <r>
    <x v="263"/>
    <x v="263"/>
    <x v="4"/>
    <x v="4"/>
    <x v="263"/>
    <n v="28.65"/>
    <n v="35.99"/>
    <n v="2159.1999999999998"/>
    <n v="125.61"/>
    <d v="2026-02-07T00:00:00"/>
    <n v="98.48"/>
    <x v="0"/>
  </r>
  <r>
    <x v="264"/>
    <x v="264"/>
    <x v="6"/>
    <x v="5"/>
    <x v="264"/>
    <n v="52.07"/>
    <n v="8.02"/>
    <n v="480.94"/>
    <n v="15.39"/>
    <d v="2026-02-07T00:00:00"/>
    <n v="31.66"/>
    <x v="0"/>
  </r>
  <r>
    <x v="265"/>
    <x v="265"/>
    <x v="2"/>
    <x v="5"/>
    <x v="265"/>
    <n v="55.11"/>
    <n v="2.95"/>
    <n v="176.86"/>
    <n v="5.35"/>
    <d v="2026-02-07T00:00:00"/>
    <n v="25.12"/>
    <x v="0"/>
  </r>
  <r>
    <x v="266"/>
    <x v="266"/>
    <x v="1"/>
    <x v="0"/>
    <x v="266"/>
    <n v="34.79"/>
    <n v="4.9800000000000004"/>
    <n v="298.68"/>
    <n v="14.31"/>
    <d v="2026-02-07T00:00:00"/>
    <n v="39.76"/>
    <x v="0"/>
  </r>
  <r>
    <x v="267"/>
    <x v="267"/>
    <x v="6"/>
    <x v="5"/>
    <x v="267"/>
    <n v="44.33"/>
    <n v="9.34"/>
    <n v="560.53"/>
    <n v="21.07"/>
    <d v="2026-02-07T00:00:00"/>
    <n v="38.369999999999997"/>
    <x v="0"/>
  </r>
  <r>
    <x v="268"/>
    <x v="268"/>
    <x v="6"/>
    <x v="4"/>
    <x v="268"/>
    <n v="30.3"/>
    <n v="6.43"/>
    <n v="386.06"/>
    <n v="21.24"/>
    <d v="2026-02-07T00:00:00"/>
    <n v="45.47"/>
    <x v="0"/>
  </r>
  <r>
    <x v="269"/>
    <x v="269"/>
    <x v="3"/>
    <x v="2"/>
    <x v="269"/>
    <n v="37.78"/>
    <n v="1.9"/>
    <n v="114.07"/>
    <n v="5.03"/>
    <d v="2026-02-07T00:00:00"/>
    <n v="33.630000000000003"/>
    <x v="0"/>
  </r>
  <r>
    <x v="270"/>
    <x v="270"/>
    <x v="4"/>
    <x v="4"/>
    <x v="270"/>
    <n v="25.74"/>
    <n v="38.69"/>
    <n v="2321.6"/>
    <n v="150.32"/>
    <d v="2026-02-07T00:00:00"/>
    <n v="112.29"/>
    <x v="0"/>
  </r>
  <r>
    <x v="271"/>
    <x v="271"/>
    <x v="5"/>
    <x v="2"/>
    <x v="271"/>
    <n v="35.78"/>
    <n v="5.72"/>
    <n v="343.315"/>
    <n v="26.49"/>
    <d v="2026-02-07T00:00:00"/>
    <n v="45.36"/>
    <x v="1"/>
  </r>
  <r>
    <x v="272"/>
    <x v="272"/>
    <x v="6"/>
    <x v="4"/>
    <x v="272"/>
    <n v="39.47"/>
    <n v="7.78"/>
    <n v="467.06"/>
    <n v="19.72"/>
    <d v="2026-02-07T00:00:00"/>
    <n v="40.130000000000003"/>
    <x v="0"/>
  </r>
  <r>
    <x v="273"/>
    <x v="273"/>
    <x v="2"/>
    <x v="2"/>
    <x v="273"/>
    <n v="36.79"/>
    <n v="4.3899999999999997"/>
    <n v="263.32"/>
    <n v="11.93"/>
    <d v="2026-02-07T00:00:00"/>
    <n v="37.57"/>
    <x v="0"/>
  </r>
  <r>
    <x v="274"/>
    <x v="274"/>
    <x v="2"/>
    <x v="5"/>
    <x v="274"/>
    <n v="45.17"/>
    <n v="5.72"/>
    <n v="343.315"/>
    <n v="8.76"/>
    <d v="2026-02-07T00:00:00"/>
    <n v="31.8"/>
    <x v="0"/>
  </r>
  <r>
    <x v="275"/>
    <x v="275"/>
    <x v="3"/>
    <x v="2"/>
    <x v="275"/>
    <n v="36.520000000000003"/>
    <n v="2.9"/>
    <n v="174"/>
    <n v="7.94"/>
    <d v="2026-02-07T00:00:00"/>
    <n v="35.71"/>
    <x v="0"/>
  </r>
  <r>
    <x v="276"/>
    <x v="276"/>
    <x v="2"/>
    <x v="1"/>
    <x v="276"/>
    <n v="32.43"/>
    <n v="2.67"/>
    <n v="160.47999999999999"/>
    <n v="8.25"/>
    <d v="2026-02-07T00:00:00"/>
    <n v="37.909999999999997"/>
    <x v="0"/>
  </r>
  <r>
    <x v="277"/>
    <x v="277"/>
    <x v="0"/>
    <x v="5"/>
    <x v="277"/>
    <n v="51.57"/>
    <n v="2.2799999999999998"/>
    <n v="136.54"/>
    <n v="4.41"/>
    <d v="2026-02-07T00:00:00"/>
    <n v="26.42"/>
    <x v="0"/>
  </r>
  <r>
    <x v="278"/>
    <x v="278"/>
    <x v="1"/>
    <x v="5"/>
    <x v="278"/>
    <n v="48.06"/>
    <n v="6.89"/>
    <n v="413.51"/>
    <n v="14.34"/>
    <d v="2026-02-07T00:00:00"/>
    <n v="33.14"/>
    <x v="0"/>
  </r>
  <r>
    <x v="279"/>
    <x v="279"/>
    <x v="4"/>
    <x v="5"/>
    <x v="279"/>
    <n v="16.190000000000001"/>
    <n v="31.31"/>
    <n v="1878.3"/>
    <n v="193.36"/>
    <d v="2026-02-07T00:00:00"/>
    <n v="138.59"/>
    <x v="0"/>
  </r>
  <r>
    <x v="280"/>
    <x v="280"/>
    <x v="2"/>
    <x v="2"/>
    <x v="280"/>
    <n v="41.94"/>
    <n v="3.74"/>
    <n v="224.59"/>
    <n v="8.93"/>
    <d v="2026-02-07T00:00:00"/>
    <n v="33.5"/>
    <x v="1"/>
  </r>
  <r>
    <x v="281"/>
    <x v="281"/>
    <x v="5"/>
    <x v="3"/>
    <x v="281"/>
    <n v="36.43"/>
    <n v="9.18"/>
    <n v="550.55999999999995"/>
    <n v="25.19"/>
    <d v="2026-02-07T00:00:00"/>
    <n v="44.38"/>
    <x v="1"/>
  </r>
  <r>
    <x v="282"/>
    <x v="282"/>
    <x v="6"/>
    <x v="1"/>
    <x v="282"/>
    <n v="34.619999999999997"/>
    <n v="9.77"/>
    <n v="586.45000000000005"/>
    <n v="28.23"/>
    <d v="2026-02-07T00:00:00"/>
    <n v="46.81"/>
    <x v="0"/>
  </r>
  <r>
    <x v="283"/>
    <x v="283"/>
    <x v="6"/>
    <x v="3"/>
    <x v="283"/>
    <n v="42.36"/>
    <n v="3.58"/>
    <n v="214.99"/>
    <n v="8.4600000000000009"/>
    <d v="2026-02-07T00:00:00"/>
    <n v="33.049999999999997"/>
    <x v="0"/>
  </r>
  <r>
    <x v="284"/>
    <x v="284"/>
    <x v="0"/>
    <x v="0"/>
    <x v="284"/>
    <n v="48.19"/>
    <n v="6.25"/>
    <n v="374.71"/>
    <n v="12.96"/>
    <d v="2026-02-07T00:00:00"/>
    <n v="32.39"/>
    <x v="1"/>
  </r>
  <r>
    <x v="285"/>
    <x v="285"/>
    <x v="4"/>
    <x v="5"/>
    <x v="285"/>
    <n v="26.02"/>
    <n v="29"/>
    <n v="1740.04"/>
    <n v="111.46"/>
    <d v="2026-02-07T00:00:00"/>
    <n v="92.72"/>
    <x v="0"/>
  </r>
  <r>
    <x v="286"/>
    <x v="286"/>
    <x v="3"/>
    <x v="0"/>
    <x v="286"/>
    <n v="44.89"/>
    <n v="2.85"/>
    <n v="170.93"/>
    <n v="6.35"/>
    <d v="2026-02-07T00:00:00"/>
    <n v="30.73"/>
    <x v="0"/>
  </r>
  <r>
    <x v="287"/>
    <x v="287"/>
    <x v="6"/>
    <x v="1"/>
    <x v="287"/>
    <n v="45.79"/>
    <n v="7.81"/>
    <n v="468.82"/>
    <n v="17.059999999999999"/>
    <d v="2026-02-07T00:00:00"/>
    <n v="35.64"/>
    <x v="0"/>
  </r>
  <r>
    <x v="288"/>
    <x v="288"/>
    <x v="4"/>
    <x v="1"/>
    <x v="288"/>
    <n v="19.84"/>
    <n v="38.18"/>
    <n v="2290.88"/>
    <n v="192.45"/>
    <d v="2026-02-07T00:00:00"/>
    <n v="136.31"/>
    <x v="1"/>
  </r>
  <r>
    <x v="289"/>
    <x v="289"/>
    <x v="4"/>
    <x v="4"/>
    <x v="289"/>
    <n v="42.81"/>
    <n v="10.41"/>
    <n v="624.49"/>
    <n v="48.48"/>
    <d v="2026-02-07T00:00:00"/>
    <n v="52.84"/>
    <x v="0"/>
  </r>
  <r>
    <x v="290"/>
    <x v="290"/>
    <x v="0"/>
    <x v="5"/>
    <x v="290"/>
    <n v="47.88"/>
    <n v="8.24"/>
    <n v="494.15"/>
    <n v="17.2"/>
    <d v="2026-02-07T00:00:00"/>
    <n v="34.659999999999997"/>
    <x v="0"/>
  </r>
  <r>
    <x v="291"/>
    <x v="291"/>
    <x v="6"/>
    <x v="5"/>
    <x v="291"/>
    <n v="44.07"/>
    <n v="5.72"/>
    <n v="343.315"/>
    <n v="8.57"/>
    <d v="2026-02-07T00:00:00"/>
    <n v="32.25"/>
    <x v="0"/>
  </r>
  <r>
    <x v="292"/>
    <x v="292"/>
    <x v="5"/>
    <x v="1"/>
    <x v="292"/>
    <n v="39.200000000000003"/>
    <n v="2.5099999999999998"/>
    <n v="150.57"/>
    <n v="6.4"/>
    <d v="2026-02-07T00:00:00"/>
    <n v="33.6"/>
    <x v="0"/>
  </r>
  <r>
    <x v="293"/>
    <x v="293"/>
    <x v="4"/>
    <x v="2"/>
    <x v="293"/>
    <n v="15.08"/>
    <n v="21.39"/>
    <n v="1283.3399999999999"/>
    <n v="141.84"/>
    <d v="2026-02-07T00:00:00"/>
    <n v="113.38"/>
    <x v="0"/>
  </r>
  <r>
    <x v="294"/>
    <x v="294"/>
    <x v="2"/>
    <x v="5"/>
    <x v="294"/>
    <n v="33.25"/>
    <n v="4.8600000000000003"/>
    <n v="291.37"/>
    <n v="14.61"/>
    <d v="2026-02-07T00:00:00"/>
    <n v="40.68"/>
    <x v="0"/>
  </r>
  <r>
    <x v="295"/>
    <x v="295"/>
    <x v="3"/>
    <x v="4"/>
    <x v="295"/>
    <n v="49.92"/>
    <n v="1.21"/>
    <n v="72.55"/>
    <n v="2.42"/>
    <d v="2026-02-07T00:00:00"/>
    <n v="26.25"/>
    <x v="1"/>
  </r>
  <r>
    <x v="296"/>
    <x v="296"/>
    <x v="3"/>
    <x v="5"/>
    <x v="296"/>
    <n v="32.14"/>
    <n v="7.37"/>
    <n v="441.99"/>
    <n v="22.92"/>
    <d v="2026-02-07T00:00:00"/>
    <n v="45.39"/>
    <x v="0"/>
  </r>
  <r>
    <x v="297"/>
    <x v="297"/>
    <x v="3"/>
    <x v="3"/>
    <x v="297"/>
    <n v="19.170000000000002"/>
    <n v="28.71"/>
    <n v="1722.59"/>
    <n v="149.76"/>
    <d v="2026-02-07T00:00:00"/>
    <n v="115.3"/>
    <x v="0"/>
  </r>
  <r>
    <x v="298"/>
    <x v="298"/>
    <x v="6"/>
    <x v="3"/>
    <x v="298"/>
    <n v="48.98"/>
    <n v="5.72"/>
    <n v="343.315"/>
    <n v="7.41"/>
    <d v="2026-02-07T00:00:00"/>
    <n v="29.22"/>
    <x v="0"/>
  </r>
  <r>
    <x v="299"/>
    <x v="299"/>
    <x v="0"/>
    <x v="4"/>
    <x v="299"/>
    <n v="38.549999999999997"/>
    <n v="5.86"/>
    <n v="351.59"/>
    <n v="15.2"/>
    <d v="2026-02-07T00:00:00"/>
    <n v="38.33"/>
    <x v="0"/>
  </r>
  <r>
    <x v="300"/>
    <x v="300"/>
    <x v="1"/>
    <x v="4"/>
    <x v="300"/>
    <n v="52.14"/>
    <n v="9.31"/>
    <n v="558.55999999999995"/>
    <n v="17.850000000000001"/>
    <d v="2026-02-07T00:00:00"/>
    <n v="32.86"/>
    <x v="1"/>
  </r>
  <r>
    <x v="301"/>
    <x v="301"/>
    <x v="5"/>
    <x v="2"/>
    <x v="301"/>
    <n v="39.93"/>
    <n v="3.88"/>
    <n v="233.04"/>
    <n v="9.73"/>
    <d v="2026-02-07T00:00:00"/>
    <n v="34.9"/>
    <x v="0"/>
  </r>
  <r>
    <x v="302"/>
    <x v="302"/>
    <x v="5"/>
    <x v="4"/>
    <x v="302"/>
    <n v="31.43"/>
    <n v="4.76"/>
    <n v="285.76"/>
    <n v="15.15"/>
    <d v="2026-02-07T00:00:00"/>
    <n v="41.86"/>
    <x v="0"/>
  </r>
  <r>
    <x v="303"/>
    <x v="303"/>
    <x v="0"/>
    <x v="4"/>
    <x v="303"/>
    <n v="52.8"/>
    <n v="5.57"/>
    <n v="334.21"/>
    <n v="10.55"/>
    <d v="2026-02-07T00:00:00"/>
    <n v="28.88"/>
    <x v="0"/>
  </r>
  <r>
    <x v="304"/>
    <x v="304"/>
    <x v="1"/>
    <x v="3"/>
    <x v="304"/>
    <n v="37.659999999999997"/>
    <n v="6.57"/>
    <n v="394.06"/>
    <n v="17.440000000000001"/>
    <d v="2026-02-07T00:00:00"/>
    <n v="39.89"/>
    <x v="0"/>
  </r>
  <r>
    <x v="305"/>
    <x v="305"/>
    <x v="6"/>
    <x v="3"/>
    <x v="305"/>
    <n v="32.53"/>
    <n v="5.16"/>
    <n v="309.39"/>
    <n v="15.85"/>
    <d v="2026-02-07T00:00:00"/>
    <n v="41.66"/>
    <x v="0"/>
  </r>
  <r>
    <x v="306"/>
    <x v="306"/>
    <x v="0"/>
    <x v="3"/>
    <x v="306"/>
    <n v="42.81"/>
    <n v="6.77"/>
    <n v="406.14"/>
    <n v="14.87"/>
    <d v="2026-02-07T00:00:00"/>
    <n v="36.03"/>
    <x v="1"/>
  </r>
  <r>
    <x v="307"/>
    <x v="307"/>
    <x v="0"/>
    <x v="4"/>
    <x v="307"/>
    <n v="51.09"/>
    <n v="2.5499999999999998"/>
    <n v="153.05000000000001"/>
    <n v="4.99"/>
    <d v="2026-02-07T00:00:00"/>
    <n v="26.95"/>
    <x v="1"/>
  </r>
  <r>
    <x v="308"/>
    <x v="308"/>
    <x v="1"/>
    <x v="5"/>
    <x v="308"/>
    <n v="39.909999999999997"/>
    <n v="2.37"/>
    <n v="142.44999999999999"/>
    <n v="5.95"/>
    <d v="2026-02-07T00:00:00"/>
    <n v="33.020000000000003"/>
    <x v="0"/>
  </r>
  <r>
    <x v="309"/>
    <x v="309"/>
    <x v="6"/>
    <x v="5"/>
    <x v="309"/>
    <n v="42.81"/>
    <n v="3.84"/>
    <n v="230.68"/>
    <n v="8.0299999999999994"/>
    <d v="2026-02-07T00:00:00"/>
    <n v="32.61"/>
    <x v="0"/>
  </r>
  <r>
    <x v="310"/>
    <x v="310"/>
    <x v="3"/>
    <x v="5"/>
    <x v="310"/>
    <n v="42.81"/>
    <n v="1.02"/>
    <n v="61.11"/>
    <n v="2.1800000000000002"/>
    <d v="2026-02-07T00:00:00"/>
    <n v="29.69"/>
    <x v="0"/>
  </r>
  <r>
    <x v="311"/>
    <x v="311"/>
    <x v="1"/>
    <x v="3"/>
    <x v="311"/>
    <n v="35.69"/>
    <n v="9.9"/>
    <n v="594.11"/>
    <n v="27.74"/>
    <d v="2026-02-07T00:00:00"/>
    <n v="46.03"/>
    <x v="1"/>
  </r>
  <r>
    <x v="312"/>
    <x v="312"/>
    <x v="6"/>
    <x v="5"/>
    <x v="312"/>
    <n v="56.64"/>
    <n v="9.0299999999999994"/>
    <n v="542.03"/>
    <n v="15.95"/>
    <d v="2026-02-07T00:00:00"/>
    <n v="29.66"/>
    <x v="0"/>
  </r>
  <r>
    <x v="313"/>
    <x v="313"/>
    <x v="5"/>
    <x v="3"/>
    <x v="313"/>
    <n v="52.86"/>
    <n v="8.81"/>
    <n v="528.39"/>
    <n v="16.66"/>
    <d v="2026-02-07T00:00:00"/>
    <n v="31.9"/>
    <x v="0"/>
  </r>
  <r>
    <x v="314"/>
    <x v="314"/>
    <x v="5"/>
    <x v="1"/>
    <x v="314"/>
    <n v="52.92"/>
    <n v="4.3899999999999997"/>
    <n v="263.3"/>
    <n v="8.2899999999999991"/>
    <d v="2026-02-07T00:00:00"/>
    <n v="27.69"/>
    <x v="0"/>
  </r>
  <r>
    <x v="315"/>
    <x v="315"/>
    <x v="4"/>
    <x v="0"/>
    <x v="315"/>
    <n v="23.77"/>
    <n v="25.82"/>
    <n v="1548.98"/>
    <n v="108.61"/>
    <d v="2026-02-07T00:00:00"/>
    <n v="92.42"/>
    <x v="1"/>
  </r>
  <r>
    <x v="316"/>
    <x v="316"/>
    <x v="1"/>
    <x v="2"/>
    <x v="316"/>
    <n v="42.81"/>
    <n v="2.08"/>
    <n v="125.03"/>
    <n v="3.7"/>
    <d v="2026-02-07T00:00:00"/>
    <n v="30.45"/>
    <x v="0"/>
  </r>
  <r>
    <x v="317"/>
    <x v="317"/>
    <x v="0"/>
    <x v="1"/>
    <x v="317"/>
    <n v="42.35"/>
    <n v="4.3099999999999996"/>
    <n v="258.61"/>
    <n v="10.18"/>
    <d v="2026-02-07T00:00:00"/>
    <n v="33.92"/>
    <x v="0"/>
  </r>
  <r>
    <x v="318"/>
    <x v="318"/>
    <x v="2"/>
    <x v="0"/>
    <x v="318"/>
    <n v="44.16"/>
    <n v="4.74"/>
    <n v="284.41000000000003"/>
    <n v="10.73"/>
    <d v="2026-02-07T00:00:00"/>
    <n v="33.29"/>
    <x v="0"/>
  </r>
  <r>
    <x v="319"/>
    <x v="319"/>
    <x v="3"/>
    <x v="0"/>
    <x v="319"/>
    <n v="43.69"/>
    <n v="1.77"/>
    <n v="106.17"/>
    <n v="4.05"/>
    <d v="2026-02-07T00:00:00"/>
    <n v="30.18"/>
    <x v="0"/>
  </r>
  <r>
    <x v="320"/>
    <x v="320"/>
    <x v="1"/>
    <x v="1"/>
    <x v="320"/>
    <n v="59.59"/>
    <n v="8.51"/>
    <n v="510.4"/>
    <n v="14.28"/>
    <d v="2026-02-07T00:00:00"/>
    <n v="27.35"/>
    <x v="0"/>
  </r>
  <r>
    <x v="321"/>
    <x v="321"/>
    <x v="1"/>
    <x v="5"/>
    <x v="321"/>
    <n v="48.95"/>
    <n v="7.38"/>
    <n v="442.88"/>
    <n v="15.08"/>
    <d v="2026-02-07T00:00:00"/>
    <n v="33.07"/>
    <x v="0"/>
  </r>
  <r>
    <x v="322"/>
    <x v="322"/>
    <x v="4"/>
    <x v="5"/>
    <x v="322"/>
    <n v="29.24"/>
    <n v="19.420000000000002"/>
    <n v="1165.1199999999999"/>
    <n v="66.41"/>
    <d v="2026-02-07T00:00:00"/>
    <n v="68.59"/>
    <x v="1"/>
  </r>
  <r>
    <x v="323"/>
    <x v="323"/>
    <x v="4"/>
    <x v="1"/>
    <x v="323"/>
    <n v="27.81"/>
    <n v="34.65"/>
    <n v="2078.9299999999998"/>
    <n v="124.59"/>
    <d v="2026-02-07T00:00:00"/>
    <n v="98.39"/>
    <x v="0"/>
  </r>
  <r>
    <x v="324"/>
    <x v="324"/>
    <x v="4"/>
    <x v="2"/>
    <x v="324"/>
    <n v="19.559999999999999"/>
    <n v="38.04"/>
    <n v="2282.44"/>
    <n v="194.48"/>
    <d v="2026-02-07T00:00:00"/>
    <n v="137.46"/>
    <x v="0"/>
  </r>
  <r>
    <x v="325"/>
    <x v="325"/>
    <x v="6"/>
    <x v="0"/>
    <x v="325"/>
    <n v="53.01"/>
    <n v="3.78"/>
    <n v="226.75"/>
    <n v="7.13"/>
    <d v="2026-02-07T00:00:00"/>
    <n v="27.06"/>
    <x v="0"/>
  </r>
  <r>
    <x v="326"/>
    <x v="326"/>
    <x v="1"/>
    <x v="0"/>
    <x v="326"/>
    <n v="38.72"/>
    <n v="5.72"/>
    <n v="343.315"/>
    <n v="23.48"/>
    <d v="2026-02-07T00:00:00"/>
    <n v="42.38"/>
    <x v="0"/>
  </r>
  <r>
    <x v="327"/>
    <x v="327"/>
    <x v="2"/>
    <x v="2"/>
    <x v="327"/>
    <n v="45.89"/>
    <n v="7.91"/>
    <n v="474.38"/>
    <n v="17.23"/>
    <d v="2026-02-07T00:00:00"/>
    <n v="35.67"/>
    <x v="1"/>
  </r>
  <r>
    <x v="328"/>
    <x v="328"/>
    <x v="4"/>
    <x v="0"/>
    <x v="328"/>
    <n v="22.38"/>
    <n v="24.6"/>
    <n v="1475.72"/>
    <n v="109.9"/>
    <d v="2026-02-07T00:00:00"/>
    <n v="93.76"/>
    <x v="1"/>
  </r>
  <r>
    <x v="329"/>
    <x v="329"/>
    <x v="3"/>
    <x v="0"/>
    <x v="329"/>
    <n v="49.39"/>
    <n v="1.17"/>
    <n v="70.25"/>
    <n v="2.37"/>
    <d v="2026-02-07T00:00:00"/>
    <n v="26.49"/>
    <x v="0"/>
  </r>
  <r>
    <x v="330"/>
    <x v="330"/>
    <x v="3"/>
    <x v="4"/>
    <x v="330"/>
    <n v="37.58"/>
    <n v="1.9"/>
    <n v="114.03"/>
    <n v="5.0599999999999996"/>
    <d v="2026-02-07T00:00:00"/>
    <n v="33.74"/>
    <x v="1"/>
  </r>
  <r>
    <x v="331"/>
    <x v="331"/>
    <x v="2"/>
    <x v="2"/>
    <x v="331"/>
    <n v="56.57"/>
    <n v="5.39"/>
    <n v="323.49"/>
    <n v="9.5299999999999994"/>
    <d v="2026-02-07T00:00:00"/>
    <n v="26.48"/>
    <x v="0"/>
  </r>
  <r>
    <x v="332"/>
    <x v="332"/>
    <x v="3"/>
    <x v="2"/>
    <x v="332"/>
    <n v="40.56"/>
    <n v="5.72"/>
    <n v="343.315"/>
    <n v="3.1"/>
    <d v="2026-02-07T00:00:00"/>
    <n v="31.27"/>
    <x v="0"/>
  </r>
  <r>
    <x v="333"/>
    <x v="333"/>
    <x v="1"/>
    <x v="4"/>
    <x v="333"/>
    <n v="30.67"/>
    <n v="9.77"/>
    <n v="585.95000000000005"/>
    <n v="31.84"/>
    <d v="2026-02-07T00:00:00"/>
    <n v="50.59"/>
    <x v="1"/>
  </r>
  <r>
    <x v="334"/>
    <x v="334"/>
    <x v="4"/>
    <x v="5"/>
    <x v="334"/>
    <n v="18.02"/>
    <n v="24.15"/>
    <n v="1449.16"/>
    <n v="134.03"/>
    <d v="2026-02-07T00:00:00"/>
    <n v="108.01"/>
    <x v="0"/>
  </r>
  <r>
    <x v="335"/>
    <x v="335"/>
    <x v="5"/>
    <x v="2"/>
    <x v="335"/>
    <n v="56.24"/>
    <n v="6.1"/>
    <n v="366.07"/>
    <n v="10.85"/>
    <d v="2026-02-07T00:00:00"/>
    <n v="27.31"/>
    <x v="0"/>
  </r>
  <r>
    <x v="336"/>
    <x v="336"/>
    <x v="4"/>
    <x v="1"/>
    <x v="336"/>
    <n v="20.9"/>
    <n v="26.92"/>
    <n v="1614.94"/>
    <n v="128.78"/>
    <d v="2026-02-07T00:00:00"/>
    <n v="103.94"/>
    <x v="0"/>
  </r>
  <r>
    <x v="337"/>
    <x v="337"/>
    <x v="0"/>
    <x v="2"/>
    <x v="337"/>
    <n v="45.6"/>
    <n v="2.2999999999999998"/>
    <n v="137.77000000000001"/>
    <n v="5.04"/>
    <d v="2026-02-07T00:00:00"/>
    <n v="29.72"/>
    <x v="0"/>
  </r>
  <r>
    <x v="338"/>
    <x v="338"/>
    <x v="3"/>
    <x v="4"/>
    <x v="338"/>
    <n v="43.48"/>
    <n v="1.34"/>
    <n v="80.680000000000007"/>
    <n v="3.09"/>
    <d v="2026-02-07T00:00:00"/>
    <n v="29.81"/>
    <x v="0"/>
  </r>
  <r>
    <x v="339"/>
    <x v="339"/>
    <x v="0"/>
    <x v="3"/>
    <x v="339"/>
    <n v="42.81"/>
    <n v="5.88"/>
    <n v="352.68"/>
    <n v="17.86"/>
    <d v="2026-02-07T00:00:00"/>
    <n v="37.53"/>
    <x v="0"/>
  </r>
  <r>
    <x v="340"/>
    <x v="340"/>
    <x v="6"/>
    <x v="1"/>
    <x v="340"/>
    <n v="36.31"/>
    <n v="8.76"/>
    <n v="525.75"/>
    <n v="24.13"/>
    <d v="2026-02-07T00:00:00"/>
    <n v="43.91"/>
    <x v="0"/>
  </r>
  <r>
    <x v="341"/>
    <x v="341"/>
    <x v="3"/>
    <x v="0"/>
    <x v="341"/>
    <n v="38.840000000000003"/>
    <n v="1.34"/>
    <n v="80.55"/>
    <n v="3.46"/>
    <d v="2026-02-07T00:00:00"/>
    <n v="32.31"/>
    <x v="0"/>
  </r>
  <r>
    <x v="342"/>
    <x v="342"/>
    <x v="3"/>
    <x v="1"/>
    <x v="342"/>
    <n v="45.98"/>
    <n v="2.85"/>
    <n v="171.23"/>
    <n v="6.21"/>
    <d v="2026-02-07T00:00:00"/>
    <n v="30.12"/>
    <x v="1"/>
  </r>
  <r>
    <x v="343"/>
    <x v="343"/>
    <x v="4"/>
    <x v="4"/>
    <x v="343"/>
    <n v="26.06"/>
    <n v="17.559999999999999"/>
    <n v="1053.3800000000001"/>
    <n v="67.37"/>
    <d v="2026-02-07T00:00:00"/>
    <n v="70.66"/>
    <x v="1"/>
  </r>
  <r>
    <x v="344"/>
    <x v="344"/>
    <x v="3"/>
    <x v="3"/>
    <x v="344"/>
    <n v="37.58"/>
    <n v="1.94"/>
    <n v="116.54"/>
    <n v="5.17"/>
    <d v="2026-02-07T00:00:00"/>
    <n v="33.799999999999997"/>
    <x v="1"/>
  </r>
  <r>
    <x v="345"/>
    <x v="345"/>
    <x v="5"/>
    <x v="3"/>
    <x v="345"/>
    <n v="36.380000000000003"/>
    <n v="9.48"/>
    <n v="568.82000000000005"/>
    <n v="26.06"/>
    <d v="2026-02-07T00:00:00"/>
    <n v="44.84"/>
    <x v="1"/>
  </r>
  <r>
    <x v="346"/>
    <x v="346"/>
    <x v="4"/>
    <x v="1"/>
    <x v="346"/>
    <n v="29.87"/>
    <n v="5.72"/>
    <n v="343.315"/>
    <n v="87.83"/>
    <d v="2026-02-07T00:00:00"/>
    <n v="78.98"/>
    <x v="1"/>
  </r>
  <r>
    <x v="347"/>
    <x v="347"/>
    <x v="1"/>
    <x v="1"/>
    <x v="347"/>
    <n v="52.7"/>
    <n v="4.7300000000000004"/>
    <n v="283.86"/>
    <n v="8.98"/>
    <d v="2026-02-07T00:00:00"/>
    <n v="28.14"/>
    <x v="1"/>
  </r>
  <r>
    <x v="348"/>
    <x v="348"/>
    <x v="5"/>
    <x v="5"/>
    <x v="348"/>
    <n v="33.340000000000003"/>
    <n v="9.92"/>
    <n v="595.1"/>
    <n v="29.75"/>
    <d v="2026-02-07T00:00:00"/>
    <n v="48.21"/>
    <x v="1"/>
  </r>
  <r>
    <x v="349"/>
    <x v="349"/>
    <x v="3"/>
    <x v="4"/>
    <x v="349"/>
    <n v="36.229999999999997"/>
    <n v="1.79"/>
    <n v="107.31"/>
    <n v="4.9400000000000004"/>
    <d v="2026-02-07T00:00:00"/>
    <n v="34.36"/>
    <x v="1"/>
  </r>
  <r>
    <x v="350"/>
    <x v="350"/>
    <x v="3"/>
    <x v="1"/>
    <x v="350"/>
    <n v="40.4"/>
    <n v="2.4300000000000002"/>
    <n v="145.88999999999999"/>
    <n v="6.02"/>
    <d v="2026-02-07T00:00:00"/>
    <n v="32.81"/>
    <x v="1"/>
  </r>
  <r>
    <x v="351"/>
    <x v="351"/>
    <x v="3"/>
    <x v="4"/>
    <x v="351"/>
    <n v="44.43"/>
    <n v="2.04"/>
    <n v="122.54"/>
    <n v="4.5999999999999996"/>
    <d v="2026-02-07T00:00:00"/>
    <n v="30.09"/>
    <x v="1"/>
  </r>
  <r>
    <x v="352"/>
    <x v="352"/>
    <x v="5"/>
    <x v="4"/>
    <x v="352"/>
    <n v="45.03"/>
    <n v="8.8699999999999992"/>
    <n v="532.29999999999995"/>
    <n v="19.7"/>
    <d v="2026-02-07T00:00:00"/>
    <n v="37.340000000000003"/>
    <x v="0"/>
  </r>
  <r>
    <x v="353"/>
    <x v="353"/>
    <x v="3"/>
    <x v="3"/>
    <x v="353"/>
    <n v="36.159999999999997"/>
    <n v="1.72"/>
    <n v="103.3"/>
    <n v="4.76"/>
    <d v="2026-02-07T00:00:00"/>
    <n v="34.299999999999997"/>
    <x v="0"/>
  </r>
  <r>
    <x v="354"/>
    <x v="354"/>
    <x v="4"/>
    <x v="3"/>
    <x v="354"/>
    <n v="42.81"/>
    <n v="34.74"/>
    <n v="2084.12"/>
    <n v="139.61000000000001"/>
    <d v="2026-02-07T00:00:00"/>
    <n v="98.4"/>
    <x v="1"/>
  </r>
  <r>
    <x v="355"/>
    <x v="355"/>
    <x v="0"/>
    <x v="0"/>
    <x v="355"/>
    <n v="47.19"/>
    <n v="2.11"/>
    <n v="126.4"/>
    <n v="4.46"/>
    <d v="2026-02-07T00:00:00"/>
    <n v="28.64"/>
    <x v="0"/>
  </r>
  <r>
    <x v="356"/>
    <x v="356"/>
    <x v="6"/>
    <x v="5"/>
    <x v="356"/>
    <n v="42.98"/>
    <n v="3.81"/>
    <n v="228.43"/>
    <n v="8.86"/>
    <d v="2026-02-07T00:00:00"/>
    <n v="32.94"/>
    <x v="0"/>
  </r>
  <r>
    <x v="357"/>
    <x v="357"/>
    <x v="1"/>
    <x v="0"/>
    <x v="357"/>
    <n v="50.16"/>
    <n v="5.93"/>
    <n v="356"/>
    <n v="11.83"/>
    <d v="2026-02-07T00:00:00"/>
    <n v="30.84"/>
    <x v="0"/>
  </r>
  <r>
    <x v="358"/>
    <x v="358"/>
    <x v="4"/>
    <x v="5"/>
    <x v="358"/>
    <n v="16.46"/>
    <n v="32.39"/>
    <n v="1943.65"/>
    <n v="196.81"/>
    <d v="2026-02-07T00:00:00"/>
    <n v="140.18"/>
    <x v="1"/>
  </r>
  <r>
    <x v="359"/>
    <x v="359"/>
    <x v="2"/>
    <x v="4"/>
    <x v="359"/>
    <n v="38.07"/>
    <n v="7.82"/>
    <n v="469.05"/>
    <n v="20.53"/>
    <d v="2026-02-07T00:00:00"/>
    <n v="41.23"/>
    <x v="1"/>
  </r>
  <r>
    <x v="360"/>
    <x v="360"/>
    <x v="1"/>
    <x v="3"/>
    <x v="360"/>
    <n v="37.04"/>
    <n v="6.83"/>
    <n v="409.56"/>
    <n v="18.43"/>
    <d v="2026-02-07T00:00:00"/>
    <n v="40.700000000000003"/>
    <x v="0"/>
  </r>
  <r>
    <x v="361"/>
    <x v="361"/>
    <x v="5"/>
    <x v="4"/>
    <x v="361"/>
    <n v="43.9"/>
    <n v="8.3000000000000007"/>
    <n v="497.79"/>
    <n v="18.899999999999999"/>
    <d v="2026-02-07T00:00:00"/>
    <n v="37.5"/>
    <x v="0"/>
  </r>
  <r>
    <x v="362"/>
    <x v="362"/>
    <x v="1"/>
    <x v="4"/>
    <x v="362"/>
    <n v="54.1"/>
    <n v="9.9499999999999993"/>
    <n v="596.99"/>
    <n v="18.39"/>
    <d v="2026-02-07T00:00:00"/>
    <n v="32.15"/>
    <x v="1"/>
  </r>
  <r>
    <x v="363"/>
    <x v="363"/>
    <x v="3"/>
    <x v="3"/>
    <x v="363"/>
    <n v="47.05"/>
    <n v="1.88"/>
    <n v="112.66"/>
    <n v="3.99"/>
    <d v="2026-02-07T00:00:00"/>
    <n v="28.47"/>
    <x v="1"/>
  </r>
  <r>
    <x v="364"/>
    <x v="364"/>
    <x v="4"/>
    <x v="2"/>
    <x v="364"/>
    <n v="19.63"/>
    <n v="36.47"/>
    <n v="2188.08"/>
    <n v="185.78"/>
    <d v="2026-02-07T00:00:00"/>
    <n v="133.08000000000001"/>
    <x v="0"/>
  </r>
  <r>
    <x v="365"/>
    <x v="365"/>
    <x v="6"/>
    <x v="1"/>
    <x v="365"/>
    <n v="42.81"/>
    <n v="5.93"/>
    <n v="355.98"/>
    <n v="11.85"/>
    <d v="2026-02-07T00:00:00"/>
    <n v="34.520000000000003"/>
    <x v="0"/>
  </r>
  <r>
    <x v="366"/>
    <x v="366"/>
    <x v="0"/>
    <x v="0"/>
    <x v="366"/>
    <n v="36.94"/>
    <n v="8.5399999999999991"/>
    <n v="512.4"/>
    <n v="23.12"/>
    <d v="2026-02-07T00:00:00"/>
    <n v="43.09"/>
    <x v="1"/>
  </r>
  <r>
    <x v="367"/>
    <x v="367"/>
    <x v="2"/>
    <x v="0"/>
    <x v="367"/>
    <n v="30.29"/>
    <n v="5.58"/>
    <n v="334.76"/>
    <n v="18.420000000000002"/>
    <d v="2026-02-07T00:00:00"/>
    <n v="44.07"/>
    <x v="0"/>
  </r>
  <r>
    <x v="368"/>
    <x v="368"/>
    <x v="2"/>
    <x v="4"/>
    <x v="368"/>
    <n v="44.82"/>
    <n v="7.62"/>
    <n v="457.34"/>
    <n v="17.010000000000002"/>
    <d v="2026-02-07T00:00:00"/>
    <n v="36.1"/>
    <x v="0"/>
  </r>
  <r>
    <x v="369"/>
    <x v="369"/>
    <x v="3"/>
    <x v="1"/>
    <x v="369"/>
    <n v="39.659999999999997"/>
    <n v="6.46"/>
    <n v="387.65"/>
    <n v="16.29"/>
    <d v="2026-02-07T00:00:00"/>
    <n v="38.32"/>
    <x v="1"/>
  </r>
  <r>
    <x v="370"/>
    <x v="370"/>
    <x v="1"/>
    <x v="1"/>
    <x v="370"/>
    <n v="47.52"/>
    <n v="5.72"/>
    <n v="343.315"/>
    <n v="7.36"/>
    <d v="2026-02-07T00:00:00"/>
    <n v="29.92"/>
    <x v="1"/>
  </r>
  <r>
    <x v="371"/>
    <x v="371"/>
    <x v="3"/>
    <x v="5"/>
    <x v="371"/>
    <n v="45.1"/>
    <n v="2.44"/>
    <n v="146.6"/>
    <n v="5.42"/>
    <d v="2026-02-07T00:00:00"/>
    <n v="30.16"/>
    <x v="0"/>
  </r>
  <r>
    <x v="372"/>
    <x v="372"/>
    <x v="5"/>
    <x v="4"/>
    <x v="372"/>
    <n v="42.56"/>
    <n v="7.71"/>
    <n v="462.72"/>
    <n v="18.12"/>
    <d v="2026-02-07T00:00:00"/>
    <n v="37.78"/>
    <x v="0"/>
  </r>
  <r>
    <x v="373"/>
    <x v="373"/>
    <x v="6"/>
    <x v="5"/>
    <x v="373"/>
    <n v="35.89"/>
    <n v="6.69"/>
    <n v="401.32"/>
    <n v="18.64"/>
    <d v="2026-02-07T00:00:00"/>
    <n v="41.38"/>
    <x v="1"/>
  </r>
  <r>
    <x v="374"/>
    <x v="374"/>
    <x v="6"/>
    <x v="5"/>
    <x v="374"/>
    <n v="56.69"/>
    <n v="8.09"/>
    <n v="485.15"/>
    <n v="14.26"/>
    <d v="2026-02-07T00:00:00"/>
    <n v="28.79"/>
    <x v="1"/>
  </r>
  <r>
    <x v="375"/>
    <x v="375"/>
    <x v="3"/>
    <x v="0"/>
    <x v="375"/>
    <n v="35.770000000000003"/>
    <n v="2.78"/>
    <n v="166.97"/>
    <n v="7.78"/>
    <d v="2026-02-07T00:00:00"/>
    <n v="36.01"/>
    <x v="0"/>
  </r>
  <r>
    <x v="376"/>
    <x v="376"/>
    <x v="3"/>
    <x v="1"/>
    <x v="376"/>
    <n v="36.03"/>
    <n v="1.77"/>
    <n v="106.2"/>
    <n v="4.91"/>
    <d v="2026-02-07T00:00:00"/>
    <n v="34.44"/>
    <x v="0"/>
  </r>
  <r>
    <x v="377"/>
    <x v="377"/>
    <x v="0"/>
    <x v="5"/>
    <x v="377"/>
    <n v="54.39"/>
    <n v="7.61"/>
    <n v="456.44"/>
    <n v="13.99"/>
    <d v="2026-02-07T00:00:00"/>
    <n v="29.8"/>
    <x v="1"/>
  </r>
  <r>
    <x v="378"/>
    <x v="378"/>
    <x v="4"/>
    <x v="1"/>
    <x v="378"/>
    <n v="29.98"/>
    <n v="21.39"/>
    <n v="1283.5999999999999"/>
    <n v="71.36"/>
    <d v="2026-02-07T00:00:00"/>
    <n v="70.69"/>
    <x v="1"/>
  </r>
  <r>
    <x v="379"/>
    <x v="379"/>
    <x v="2"/>
    <x v="1"/>
    <x v="379"/>
    <n v="43.12"/>
    <n v="4.2"/>
    <n v="251.97"/>
    <n v="9.74"/>
    <d v="2026-02-07T00:00:00"/>
    <n v="33.31"/>
    <x v="1"/>
  </r>
  <r>
    <x v="380"/>
    <x v="380"/>
    <x v="0"/>
    <x v="5"/>
    <x v="380"/>
    <n v="32.46"/>
    <n v="3.64"/>
    <n v="218.66"/>
    <n v="11.23"/>
    <d v="2026-02-07T00:00:00"/>
    <n v="39.39"/>
    <x v="0"/>
  </r>
  <r>
    <x v="381"/>
    <x v="381"/>
    <x v="0"/>
    <x v="3"/>
    <x v="381"/>
    <n v="31.13"/>
    <n v="8.3000000000000007"/>
    <n v="498.18"/>
    <n v="26.67"/>
    <d v="2026-02-07T00:00:00"/>
    <n v="47.77"/>
    <x v="0"/>
  </r>
  <r>
    <x v="382"/>
    <x v="382"/>
    <x v="5"/>
    <x v="1"/>
    <x v="382"/>
    <n v="40.24"/>
    <n v="2.61"/>
    <n v="156.83000000000001"/>
    <n v="6.5"/>
    <d v="2026-02-07T00:00:00"/>
    <n v="33.130000000000003"/>
    <x v="1"/>
  </r>
  <r>
    <x v="383"/>
    <x v="383"/>
    <x v="5"/>
    <x v="1"/>
    <x v="383"/>
    <n v="31.59"/>
    <n v="8.06"/>
    <n v="483.44"/>
    <n v="25.51"/>
    <d v="2026-02-07T00:00:00"/>
    <n v="46.96"/>
    <x v="1"/>
  </r>
  <r>
    <x v="384"/>
    <x v="384"/>
    <x v="0"/>
    <x v="2"/>
    <x v="384"/>
    <n v="43.68"/>
    <n v="6.6"/>
    <n v="395.73"/>
    <n v="15.1"/>
    <d v="2026-02-07T00:00:00"/>
    <n v="35.71"/>
    <x v="1"/>
  </r>
  <r>
    <x v="385"/>
    <x v="385"/>
    <x v="4"/>
    <x v="1"/>
    <x v="385"/>
    <n v="17.940000000000001"/>
    <n v="21.59"/>
    <n v="1295.3499999999999"/>
    <n v="120.34"/>
    <d v="2026-02-07T00:00:00"/>
    <n v="101.2"/>
    <x v="1"/>
  </r>
  <r>
    <x v="386"/>
    <x v="386"/>
    <x v="1"/>
    <x v="3"/>
    <x v="386"/>
    <n v="39.979999999999997"/>
    <n v="7.59"/>
    <n v="455.46"/>
    <n v="18.989999999999998"/>
    <d v="2026-02-07T00:00:00"/>
    <n v="39.51"/>
    <x v="1"/>
  </r>
  <r>
    <x v="387"/>
    <x v="387"/>
    <x v="0"/>
    <x v="2"/>
    <x v="387"/>
    <n v="36.78"/>
    <n v="8.3000000000000007"/>
    <n v="498.27"/>
    <n v="22.58"/>
    <d v="2026-02-07T00:00:00"/>
    <n v="42.9"/>
    <x v="0"/>
  </r>
  <r>
    <x v="388"/>
    <x v="388"/>
    <x v="2"/>
    <x v="4"/>
    <x v="388"/>
    <n v="51.17"/>
    <n v="5.19"/>
    <n v="311.52999999999997"/>
    <n v="10.15"/>
    <d v="2026-02-07T00:00:00"/>
    <n v="29.49"/>
    <x v="1"/>
  </r>
  <r>
    <x v="389"/>
    <x v="389"/>
    <x v="6"/>
    <x v="3"/>
    <x v="389"/>
    <n v="35.29"/>
    <n v="5.97"/>
    <n v="358.47"/>
    <n v="16.93"/>
    <d v="2026-02-07T00:00:00"/>
    <n v="40.82"/>
    <x v="0"/>
  </r>
  <r>
    <x v="390"/>
    <x v="390"/>
    <x v="1"/>
    <x v="0"/>
    <x v="390"/>
    <n v="34.71"/>
    <n v="8.6199999999999992"/>
    <n v="517.34"/>
    <n v="24.84"/>
    <d v="2026-02-07T00:00:00"/>
    <n v="45.07"/>
    <x v="1"/>
  </r>
  <r>
    <x v="391"/>
    <x v="391"/>
    <x v="6"/>
    <x v="5"/>
    <x v="391"/>
    <n v="38.07"/>
    <n v="6.97"/>
    <n v="418.08"/>
    <n v="18.3"/>
    <d v="2026-02-07T00:00:00"/>
    <n v="40.119999999999997"/>
    <x v="0"/>
  </r>
  <r>
    <x v="392"/>
    <x v="392"/>
    <x v="3"/>
    <x v="2"/>
    <x v="392"/>
    <n v="47.17"/>
    <n v="2.2200000000000002"/>
    <n v="132.94"/>
    <n v="4.7"/>
    <d v="2026-02-07T00:00:00"/>
    <n v="28.77"/>
    <x v="1"/>
  </r>
  <r>
    <x v="393"/>
    <x v="393"/>
    <x v="5"/>
    <x v="3"/>
    <x v="393"/>
    <n v="34.26"/>
    <n v="3.46"/>
    <n v="207.86"/>
    <n v="10.11"/>
    <d v="2026-02-07T00:00:00"/>
    <n v="37.93"/>
    <x v="1"/>
  </r>
  <r>
    <x v="394"/>
    <x v="394"/>
    <x v="3"/>
    <x v="5"/>
    <x v="394"/>
    <n v="37.43"/>
    <n v="2.31"/>
    <n v="138.38999999999999"/>
    <n v="6.16"/>
    <d v="2026-02-07T00:00:00"/>
    <n v="34.369999999999997"/>
    <x v="0"/>
  </r>
  <r>
    <x v="395"/>
    <x v="395"/>
    <x v="4"/>
    <x v="1"/>
    <x v="395"/>
    <n v="22.72"/>
    <n v="31.23"/>
    <n v="1873.51"/>
    <n v="137.43"/>
    <d v="2026-02-07T00:00:00"/>
    <n v="107.36"/>
    <x v="0"/>
  </r>
  <r>
    <x v="396"/>
    <x v="396"/>
    <x v="3"/>
    <x v="4"/>
    <x v="396"/>
    <n v="45.05"/>
    <n v="1.46"/>
    <n v="87.32"/>
    <n v="3.23"/>
    <d v="2026-02-07T00:00:00"/>
    <n v="29.09"/>
    <x v="0"/>
  </r>
  <r>
    <x v="397"/>
    <x v="397"/>
    <x v="5"/>
    <x v="1"/>
    <x v="397"/>
    <n v="54.63"/>
    <n v="8.64"/>
    <n v="518.65"/>
    <n v="15.82"/>
    <d v="2026-02-07T00:00:00"/>
    <n v="30.6"/>
    <x v="1"/>
  </r>
  <r>
    <x v="398"/>
    <x v="398"/>
    <x v="5"/>
    <x v="3"/>
    <x v="398"/>
    <n v="37.71"/>
    <n v="8.1199999999999992"/>
    <n v="487.38"/>
    <n v="21.54"/>
    <d v="2026-02-07T00:00:00"/>
    <n v="41.92"/>
    <x v="0"/>
  </r>
  <r>
    <x v="399"/>
    <x v="399"/>
    <x v="1"/>
    <x v="0"/>
    <x v="399"/>
    <n v="35.700000000000003"/>
    <n v="2.58"/>
    <n v="154.53"/>
    <n v="7.21"/>
    <d v="2026-02-07T00:00:00"/>
    <n v="35.76"/>
    <x v="1"/>
  </r>
  <r>
    <x v="400"/>
    <x v="400"/>
    <x v="6"/>
    <x v="4"/>
    <x v="400"/>
    <n v="32.840000000000003"/>
    <n v="3.57"/>
    <n v="214.28"/>
    <n v="10.87"/>
    <d v="2026-02-07T00:00:00"/>
    <n v="39.020000000000003"/>
    <x v="1"/>
  </r>
  <r>
    <x v="401"/>
    <x v="401"/>
    <x v="2"/>
    <x v="2"/>
    <x v="401"/>
    <n v="56.96"/>
    <n v="4.3600000000000003"/>
    <n v="261.82"/>
    <n v="7.66"/>
    <d v="2026-02-07T00:00:00"/>
    <n v="25.35"/>
    <x v="1"/>
  </r>
  <r>
    <x v="402"/>
    <x v="402"/>
    <x v="0"/>
    <x v="5"/>
    <x v="402"/>
    <n v="39.28"/>
    <n v="7.95"/>
    <n v="476.74"/>
    <n v="20.23"/>
    <d v="2026-02-07T00:00:00"/>
    <n v="40.479999999999997"/>
    <x v="1"/>
  </r>
  <r>
    <x v="403"/>
    <x v="403"/>
    <x v="3"/>
    <x v="0"/>
    <x v="403"/>
    <n v="47.66"/>
    <n v="2.0699999999999998"/>
    <n v="124.08"/>
    <n v="4.34"/>
    <d v="2026-02-07T00:00:00"/>
    <n v="28.34"/>
    <x v="1"/>
  </r>
  <r>
    <x v="404"/>
    <x v="404"/>
    <x v="5"/>
    <x v="1"/>
    <x v="404"/>
    <n v="50.69"/>
    <n v="5.39"/>
    <n v="323.68"/>
    <n v="10.64"/>
    <d v="2026-02-07T00:00:00"/>
    <n v="29.98"/>
    <x v="0"/>
  </r>
  <r>
    <x v="405"/>
    <x v="405"/>
    <x v="1"/>
    <x v="4"/>
    <x v="405"/>
    <n v="43.24"/>
    <n v="7.56"/>
    <n v="453.64"/>
    <n v="17.489999999999998"/>
    <d v="2026-02-07T00:00:00"/>
    <n v="37.130000000000003"/>
    <x v="1"/>
  </r>
  <r>
    <x v="406"/>
    <x v="406"/>
    <x v="5"/>
    <x v="0"/>
    <x v="406"/>
    <n v="37.729999999999997"/>
    <n v="6.51"/>
    <n v="390.78"/>
    <n v="17.260000000000002"/>
    <d v="2026-02-07T00:00:00"/>
    <n v="39.770000000000003"/>
    <x v="1"/>
  </r>
  <r>
    <x v="407"/>
    <x v="407"/>
    <x v="3"/>
    <x v="3"/>
    <x v="407"/>
    <n v="35.83"/>
    <n v="1.01"/>
    <n v="60.76"/>
    <n v="2.83"/>
    <d v="2026-02-07T00:00:00"/>
    <n v="33.5"/>
    <x v="1"/>
  </r>
  <r>
    <x v="408"/>
    <x v="408"/>
    <x v="1"/>
    <x v="1"/>
    <x v="408"/>
    <n v="31.5"/>
    <n v="7.07"/>
    <n v="423.96"/>
    <n v="22.43"/>
    <d v="2026-02-07T00:00:00"/>
    <n v="45.47"/>
    <x v="1"/>
  </r>
  <r>
    <x v="409"/>
    <x v="409"/>
    <x v="1"/>
    <x v="1"/>
    <x v="409"/>
    <n v="49.16"/>
    <n v="6.18"/>
    <n v="370.52"/>
    <n v="12.56"/>
    <d v="2026-02-07T00:00:00"/>
    <n v="31.7"/>
    <x v="0"/>
  </r>
  <r>
    <x v="410"/>
    <x v="410"/>
    <x v="3"/>
    <x v="0"/>
    <x v="410"/>
    <n v="42.99"/>
    <n v="1.1000000000000001"/>
    <n v="65.87"/>
    <n v="2.5499999999999998"/>
    <d v="2026-02-07T00:00:00"/>
    <n v="29.78"/>
    <x v="1"/>
  </r>
  <r>
    <x v="411"/>
    <x v="411"/>
    <x v="5"/>
    <x v="0"/>
    <x v="411"/>
    <n v="43.94"/>
    <n v="2.0299999999999998"/>
    <n v="121.73"/>
    <n v="4.62"/>
    <d v="2026-02-07T00:00:00"/>
    <n v="30.34"/>
    <x v="0"/>
  </r>
  <r>
    <x v="412"/>
    <x v="412"/>
    <x v="2"/>
    <x v="1"/>
    <x v="412"/>
    <n v="34.020000000000003"/>
    <n v="9.58"/>
    <n v="574.99"/>
    <n v="28.17"/>
    <d v="2026-02-07T00:00:00"/>
    <n v="47.08"/>
    <x v="0"/>
  </r>
  <r>
    <x v="413"/>
    <x v="413"/>
    <x v="0"/>
    <x v="2"/>
    <x v="413"/>
    <n v="42.81"/>
    <n v="4.2699999999999996"/>
    <n v="255.99"/>
    <n v="7.19"/>
    <d v="2026-02-07T00:00:00"/>
    <n v="32.19"/>
    <x v="1"/>
  </r>
  <r>
    <x v="414"/>
    <x v="414"/>
    <x v="5"/>
    <x v="0"/>
    <x v="414"/>
    <n v="52.99"/>
    <n v="2.4"/>
    <n v="144.22999999999999"/>
    <n v="4.54"/>
    <d v="2026-02-07T00:00:00"/>
    <n v="25.78"/>
    <x v="1"/>
  </r>
  <r>
    <x v="415"/>
    <x v="415"/>
    <x v="2"/>
    <x v="2"/>
    <x v="415"/>
    <n v="37.729999999999997"/>
    <n v="8.23"/>
    <n v="493.75"/>
    <n v="21.81"/>
    <d v="2026-02-07T00:00:00"/>
    <n v="42.04"/>
    <x v="1"/>
  </r>
  <r>
    <x v="416"/>
    <x v="416"/>
    <x v="0"/>
    <x v="1"/>
    <x v="416"/>
    <n v="39.090000000000003"/>
    <n v="8.8699999999999992"/>
    <n v="532.02"/>
    <n v="22.68"/>
    <d v="2026-02-07T00:00:00"/>
    <n v="41.8"/>
    <x v="1"/>
  </r>
  <r>
    <x v="417"/>
    <x v="417"/>
    <x v="3"/>
    <x v="5"/>
    <x v="417"/>
    <n v="41.49"/>
    <n v="2.2200000000000002"/>
    <n v="133.19"/>
    <n v="5.35"/>
    <d v="2026-02-07T00:00:00"/>
    <n v="31.93"/>
    <x v="1"/>
  </r>
  <r>
    <x v="418"/>
    <x v="418"/>
    <x v="1"/>
    <x v="4"/>
    <x v="418"/>
    <n v="38.270000000000003"/>
    <n v="2.88"/>
    <n v="172.85"/>
    <n v="7.53"/>
    <d v="2026-02-07T00:00:00"/>
    <n v="34.630000000000003"/>
    <x v="1"/>
  </r>
  <r>
    <x v="419"/>
    <x v="419"/>
    <x v="6"/>
    <x v="2"/>
    <x v="419"/>
    <n v="30.36"/>
    <n v="6.19"/>
    <n v="371.35"/>
    <n v="20.39"/>
    <d v="2026-02-07T00:00:00"/>
    <n v="45.02"/>
    <x v="0"/>
  </r>
  <r>
    <x v="420"/>
    <x v="420"/>
    <x v="3"/>
    <x v="4"/>
    <x v="420"/>
    <n v="36.99"/>
    <n v="1.2"/>
    <n v="71.89"/>
    <n v="3.24"/>
    <d v="2026-02-07T00:00:00"/>
    <n v="33.130000000000003"/>
    <x v="0"/>
  </r>
  <r>
    <x v="421"/>
    <x v="421"/>
    <x v="6"/>
    <x v="1"/>
    <x v="421"/>
    <n v="44.1"/>
    <n v="4.0199999999999996"/>
    <n v="241.28"/>
    <n v="9.1199999999999992"/>
    <d v="2026-02-07T00:00:00"/>
    <n v="32.51"/>
    <x v="1"/>
  </r>
  <r>
    <x v="422"/>
    <x v="422"/>
    <x v="5"/>
    <x v="3"/>
    <x v="422"/>
    <n v="42.81"/>
    <n v="8.51"/>
    <n v="510.54"/>
    <n v="25.07"/>
    <d v="2026-02-07T00:00:00"/>
    <n v="41.13"/>
    <x v="1"/>
  </r>
  <r>
    <x v="423"/>
    <x v="423"/>
    <x v="4"/>
    <x v="4"/>
    <x v="423"/>
    <n v="42.81"/>
    <n v="26.25"/>
    <n v="1574.96"/>
    <n v="108.16"/>
    <d v="2026-02-07T00:00:00"/>
    <n v="82.68"/>
    <x v="0"/>
  </r>
  <r>
    <x v="424"/>
    <x v="424"/>
    <x v="1"/>
    <x v="5"/>
    <x v="424"/>
    <n v="32.659999999999997"/>
    <n v="5.51"/>
    <n v="330.78"/>
    <n v="16.88"/>
    <d v="2026-02-07T00:00:00"/>
    <n v="42.11"/>
    <x v="0"/>
  </r>
  <r>
    <x v="425"/>
    <x v="425"/>
    <x v="5"/>
    <x v="1"/>
    <x v="425"/>
    <n v="54.36"/>
    <n v="9.8000000000000007"/>
    <n v="588.07000000000005"/>
    <n v="18.03"/>
    <d v="2026-02-07T00:00:00"/>
    <n v="31.84"/>
    <x v="1"/>
  </r>
  <r>
    <x v="426"/>
    <x v="426"/>
    <x v="4"/>
    <x v="5"/>
    <x v="426"/>
    <n v="16.3"/>
    <n v="29.14"/>
    <n v="1748.4"/>
    <n v="178.77"/>
    <d v="2026-02-07T00:00:00"/>
    <n v="131.24"/>
    <x v="0"/>
  </r>
  <r>
    <x v="427"/>
    <x v="427"/>
    <x v="4"/>
    <x v="1"/>
    <x v="427"/>
    <n v="25.38"/>
    <n v="38.659999999999997"/>
    <n v="2319.56"/>
    <n v="152.32"/>
    <d v="2026-02-07T00:00:00"/>
    <n v="113.47"/>
    <x v="1"/>
  </r>
  <r>
    <x v="428"/>
    <x v="428"/>
    <x v="3"/>
    <x v="0"/>
    <x v="428"/>
    <n v="42.81"/>
    <n v="2.11"/>
    <n v="126.77"/>
    <n v="4.79"/>
    <d v="2026-02-07T00:00:00"/>
    <n v="30.99"/>
    <x v="1"/>
  </r>
  <r>
    <x v="429"/>
    <x v="429"/>
    <x v="1"/>
    <x v="4"/>
    <x v="429"/>
    <n v="58.4"/>
    <n v="4.16"/>
    <n v="249.71"/>
    <n v="7.13"/>
    <d v="2026-02-07T00:00:00"/>
    <n v="24.37"/>
    <x v="1"/>
  </r>
  <r>
    <x v="430"/>
    <x v="430"/>
    <x v="6"/>
    <x v="2"/>
    <x v="430"/>
    <n v="54.87"/>
    <n v="5.44"/>
    <n v="326.25"/>
    <n v="9.91"/>
    <d v="2026-02-07T00:00:00"/>
    <n v="27.52"/>
    <x v="1"/>
  </r>
  <r>
    <x v="431"/>
    <x v="431"/>
    <x v="0"/>
    <x v="3"/>
    <x v="431"/>
    <n v="43.41"/>
    <n v="5.23"/>
    <n v="313.75"/>
    <n v="12.05"/>
    <d v="2026-02-07T00:00:00"/>
    <n v="34.32"/>
    <x v="1"/>
  </r>
  <r>
    <x v="432"/>
    <x v="432"/>
    <x v="2"/>
    <x v="3"/>
    <x v="432"/>
    <n v="42.81"/>
    <n v="8.76"/>
    <n v="525.32000000000005"/>
    <n v="15.92"/>
    <d v="2026-02-07T00:00:00"/>
    <n v="36.56"/>
    <x v="1"/>
  </r>
  <r>
    <x v="433"/>
    <x v="433"/>
    <x v="5"/>
    <x v="4"/>
    <x v="433"/>
    <n v="42.81"/>
    <n v="4.29"/>
    <n v="257.14999999999998"/>
    <n v="10.71"/>
    <d v="2026-02-07T00:00:00"/>
    <n v="33.950000000000003"/>
    <x v="1"/>
  </r>
  <r>
    <x v="434"/>
    <x v="434"/>
    <x v="4"/>
    <x v="0"/>
    <x v="434"/>
    <n v="23.64"/>
    <n v="12.42"/>
    <n v="745.01"/>
    <n v="52.52"/>
    <d v="2026-02-07T00:00:00"/>
    <n v="64.44"/>
    <x v="0"/>
  </r>
  <r>
    <x v="435"/>
    <x v="435"/>
    <x v="1"/>
    <x v="0"/>
    <x v="435"/>
    <n v="52.39"/>
    <n v="7.31"/>
    <n v="438.66"/>
    <n v="13.95"/>
    <d v="2026-02-07T00:00:00"/>
    <n v="30.78"/>
    <x v="1"/>
  </r>
  <r>
    <x v="436"/>
    <x v="436"/>
    <x v="1"/>
    <x v="2"/>
    <x v="436"/>
    <n v="37.75"/>
    <n v="8.35"/>
    <n v="501.19"/>
    <n v="22.13"/>
    <d v="2026-02-07T00:00:00"/>
    <n v="42.19"/>
    <x v="1"/>
  </r>
  <r>
    <x v="437"/>
    <x v="437"/>
    <x v="5"/>
    <x v="5"/>
    <x v="437"/>
    <n v="34"/>
    <n v="5.72"/>
    <n v="343.315"/>
    <n v="9.7100000000000009"/>
    <d v="2026-02-07T00:00:00"/>
    <n v="37.86"/>
    <x v="1"/>
  </r>
  <r>
    <x v="438"/>
    <x v="438"/>
    <x v="5"/>
    <x v="0"/>
    <x v="438"/>
    <n v="42.69"/>
    <n v="6.84"/>
    <n v="410.18"/>
    <n v="16.010000000000002"/>
    <d v="2026-02-07T00:00:00"/>
    <n v="36.659999999999997"/>
    <x v="1"/>
  </r>
  <r>
    <x v="439"/>
    <x v="439"/>
    <x v="4"/>
    <x v="5"/>
    <x v="439"/>
    <n v="42.81"/>
    <n v="38.49"/>
    <n v="2309.6799999999998"/>
    <n v="256.45999999999998"/>
    <d v="2026-02-07T00:00:00"/>
    <n v="156.83000000000001"/>
    <x v="1"/>
  </r>
  <r>
    <x v="440"/>
    <x v="440"/>
    <x v="0"/>
    <x v="0"/>
    <x v="440"/>
    <n v="37.93"/>
    <n v="4.78"/>
    <n v="287.02999999999997"/>
    <n v="12.61"/>
    <d v="2026-02-07T00:00:00"/>
    <n v="37.340000000000003"/>
    <x v="1"/>
  </r>
  <r>
    <x v="441"/>
    <x v="441"/>
    <x v="2"/>
    <x v="1"/>
    <x v="441"/>
    <n v="37.61"/>
    <n v="4.07"/>
    <n v="244.08"/>
    <n v="10.82"/>
    <d v="2026-02-07T00:00:00"/>
    <n v="36.61"/>
    <x v="0"/>
  </r>
  <r>
    <x v="442"/>
    <x v="442"/>
    <x v="4"/>
    <x v="2"/>
    <x v="442"/>
    <n v="29.98"/>
    <n v="25.73"/>
    <n v="1543.91"/>
    <n v="85.83"/>
    <d v="2026-02-07T00:00:00"/>
    <n v="77.930000000000007"/>
    <x v="1"/>
  </r>
  <r>
    <x v="443"/>
    <x v="443"/>
    <x v="2"/>
    <x v="0"/>
    <x v="443"/>
    <n v="46.9"/>
    <n v="9.1999999999999993"/>
    <n v="551.70000000000005"/>
    <n v="19.61"/>
    <d v="2026-02-07T00:00:00"/>
    <n v="36.36"/>
    <x v="1"/>
  </r>
  <r>
    <x v="444"/>
    <x v="444"/>
    <x v="4"/>
    <x v="5"/>
    <x v="444"/>
    <n v="17.97"/>
    <n v="28.32"/>
    <n v="1699.14"/>
    <n v="157.59"/>
    <d v="2026-02-07T00:00:00"/>
    <n v="119.81"/>
    <x v="1"/>
  </r>
  <r>
    <x v="445"/>
    <x v="445"/>
    <x v="3"/>
    <x v="4"/>
    <x v="445"/>
    <n v="49.55"/>
    <n v="2.06"/>
    <n v="123.37"/>
    <n v="4.1500000000000004"/>
    <d v="2026-02-07T00:00:00"/>
    <n v="27.3"/>
    <x v="1"/>
  </r>
  <r>
    <x v="446"/>
    <x v="446"/>
    <x v="0"/>
    <x v="4"/>
    <x v="446"/>
    <n v="46.52"/>
    <n v="9.6199999999999992"/>
    <n v="577.11"/>
    <n v="20.68"/>
    <d v="2026-02-07T00:00:00"/>
    <n v="37.08"/>
    <x v="0"/>
  </r>
  <r>
    <x v="447"/>
    <x v="447"/>
    <x v="2"/>
    <x v="4"/>
    <x v="447"/>
    <n v="37.049999999999997"/>
    <n v="5.21"/>
    <n v="312.83"/>
    <n v="14.07"/>
    <d v="2026-02-07T00:00:00"/>
    <n v="38.51"/>
    <x v="0"/>
  </r>
  <r>
    <x v="448"/>
    <x v="448"/>
    <x v="1"/>
    <x v="5"/>
    <x v="448"/>
    <n v="31.71"/>
    <n v="3.8"/>
    <n v="227.87"/>
    <n v="11.98"/>
    <d v="2026-02-07T00:00:00"/>
    <n v="40.14"/>
    <x v="1"/>
  </r>
  <r>
    <x v="449"/>
    <x v="449"/>
    <x v="3"/>
    <x v="4"/>
    <x v="449"/>
    <n v="49.66"/>
    <n v="1.74"/>
    <n v="104.65"/>
    <n v="3.51"/>
    <d v="2026-02-07T00:00:00"/>
    <n v="26.93"/>
    <x v="0"/>
  </r>
  <r>
    <x v="450"/>
    <x v="450"/>
    <x v="1"/>
    <x v="3"/>
    <x v="450"/>
    <n v="56.57"/>
    <n v="5.72"/>
    <n v="343.315"/>
    <n v="4.22"/>
    <d v="2026-02-07T00:00:00"/>
    <n v="23.83"/>
    <x v="1"/>
  </r>
  <r>
    <x v="451"/>
    <x v="451"/>
    <x v="4"/>
    <x v="4"/>
    <x v="451"/>
    <n v="42.81"/>
    <n v="16.670000000000002"/>
    <n v="1000.25"/>
    <n v="85.54"/>
    <d v="2026-02-07T00:00:00"/>
    <n v="71.37"/>
    <x v="0"/>
  </r>
  <r>
    <x v="452"/>
    <x v="452"/>
    <x v="4"/>
    <x v="5"/>
    <x v="452"/>
    <n v="28.43"/>
    <n v="17.46"/>
    <n v="1047.3800000000001"/>
    <n v="61.4"/>
    <d v="2026-02-07T00:00:00"/>
    <n v="66.489999999999995"/>
    <x v="1"/>
  </r>
  <r>
    <x v="453"/>
    <x v="453"/>
    <x v="4"/>
    <x v="1"/>
    <x v="453"/>
    <n v="15.48"/>
    <n v="12.65"/>
    <n v="759.25"/>
    <n v="81.75"/>
    <d v="2026-02-07T00:00:00"/>
    <n v="83.14"/>
    <x v="0"/>
  </r>
  <r>
    <x v="454"/>
    <x v="454"/>
    <x v="5"/>
    <x v="2"/>
    <x v="454"/>
    <n v="56.76"/>
    <n v="4.9800000000000004"/>
    <n v="299.04000000000002"/>
    <n v="8.7799999999999994"/>
    <d v="2026-02-07T00:00:00"/>
    <n v="26.01"/>
    <x v="1"/>
  </r>
  <r>
    <x v="455"/>
    <x v="455"/>
    <x v="1"/>
    <x v="2"/>
    <x v="455"/>
    <n v="42.15"/>
    <n v="2.91"/>
    <n v="174.7"/>
    <n v="6.91"/>
    <d v="2026-02-07T00:00:00"/>
    <n v="32.380000000000003"/>
    <x v="1"/>
  </r>
  <r>
    <x v="456"/>
    <x v="456"/>
    <x v="4"/>
    <x v="0"/>
    <x v="456"/>
    <n v="24.8"/>
    <n v="22.48"/>
    <n v="1348.96"/>
    <n v="90.66"/>
    <d v="2026-02-07T00:00:00"/>
    <n v="82.93"/>
    <x v="1"/>
  </r>
  <r>
    <x v="457"/>
    <x v="457"/>
    <x v="4"/>
    <x v="2"/>
    <x v="457"/>
    <n v="27.03"/>
    <n v="12.26"/>
    <n v="735.43"/>
    <n v="45.35"/>
    <d v="2026-02-07T00:00:00"/>
    <n v="59.16"/>
    <x v="1"/>
  </r>
  <r>
    <x v="458"/>
    <x v="458"/>
    <x v="3"/>
    <x v="4"/>
    <x v="458"/>
    <n v="39.39"/>
    <n v="2.66"/>
    <n v="159.72"/>
    <n v="6.76"/>
    <d v="2026-02-07T00:00:00"/>
    <n v="33.69"/>
    <x v="0"/>
  </r>
  <r>
    <x v="459"/>
    <x v="459"/>
    <x v="0"/>
    <x v="5"/>
    <x v="459"/>
    <n v="33.82"/>
    <n v="5.87"/>
    <n v="351.97"/>
    <n v="17.350000000000001"/>
    <d v="2026-02-07T00:00:00"/>
    <n v="41.77"/>
    <x v="1"/>
  </r>
  <r>
    <x v="460"/>
    <x v="460"/>
    <x v="2"/>
    <x v="2"/>
    <x v="460"/>
    <n v="57.21"/>
    <n v="3.93"/>
    <n v="236.01"/>
    <n v="6.88"/>
    <d v="2026-02-07T00:00:00"/>
    <n v="24.84"/>
    <x v="1"/>
  </r>
  <r>
    <x v="461"/>
    <x v="461"/>
    <x v="3"/>
    <x v="0"/>
    <x v="461"/>
    <n v="39.35"/>
    <n v="1.87"/>
    <n v="112.16"/>
    <n v="4.75"/>
    <d v="2026-02-07T00:00:00"/>
    <n v="32.700000000000003"/>
    <x v="1"/>
  </r>
  <r>
    <x v="462"/>
    <x v="462"/>
    <x v="2"/>
    <x v="2"/>
    <x v="462"/>
    <n v="58.39"/>
    <n v="4.09"/>
    <n v="245.63"/>
    <n v="7.01"/>
    <d v="2026-02-07T00:00:00"/>
    <n v="24.31"/>
    <x v="0"/>
  </r>
  <r>
    <x v="463"/>
    <x v="463"/>
    <x v="5"/>
    <x v="0"/>
    <x v="463"/>
    <n v="43.73"/>
    <n v="5.72"/>
    <n v="343.315"/>
    <n v="17.690000000000001"/>
    <d v="2026-02-07T00:00:00"/>
    <n v="36.979999999999997"/>
    <x v="1"/>
  </r>
  <r>
    <x v="464"/>
    <x v="464"/>
    <x v="2"/>
    <x v="2"/>
    <x v="464"/>
    <n v="54.92"/>
    <n v="5.25"/>
    <n v="315.25"/>
    <n v="9.57"/>
    <d v="2026-02-07T00:00:00"/>
    <n v="27.33"/>
    <x v="1"/>
  </r>
  <r>
    <x v="465"/>
    <x v="465"/>
    <x v="3"/>
    <x v="5"/>
    <x v="465"/>
    <n v="50.1"/>
    <n v="2.88"/>
    <n v="173.09"/>
    <n v="5.76"/>
    <d v="2026-02-07T00:00:00"/>
    <n v="27.83"/>
    <x v="1"/>
  </r>
  <r>
    <x v="466"/>
    <x v="466"/>
    <x v="4"/>
    <x v="3"/>
    <x v="466"/>
    <n v="26.32"/>
    <n v="15.99"/>
    <n v="959.62"/>
    <n v="60.77"/>
    <d v="2026-02-07T00:00:00"/>
    <n v="67.23"/>
    <x v="1"/>
  </r>
  <r>
    <x v="467"/>
    <x v="467"/>
    <x v="0"/>
    <x v="5"/>
    <x v="467"/>
    <n v="48.53"/>
    <n v="9.43"/>
    <n v="565.78"/>
    <n v="19.43"/>
    <d v="2026-02-07T00:00:00"/>
    <n v="35.450000000000003"/>
    <x v="1"/>
  </r>
  <r>
    <x v="468"/>
    <x v="468"/>
    <x v="6"/>
    <x v="5"/>
    <x v="468"/>
    <n v="45.09"/>
    <n v="7.82"/>
    <n v="469.36"/>
    <n v="17.350000000000001"/>
    <d v="2026-02-07T00:00:00"/>
    <n v="36.130000000000003"/>
    <x v="1"/>
  </r>
  <r>
    <x v="469"/>
    <x v="469"/>
    <x v="1"/>
    <x v="2"/>
    <x v="469"/>
    <n v="54.3"/>
    <n v="5.62"/>
    <n v="337.36"/>
    <n v="10.35"/>
    <d v="2026-02-07T00:00:00"/>
    <n v="28.03"/>
    <x v="1"/>
  </r>
  <r>
    <x v="470"/>
    <x v="470"/>
    <x v="2"/>
    <x v="3"/>
    <x v="470"/>
    <n v="34.049999999999997"/>
    <n v="3.89"/>
    <n v="233.27"/>
    <n v="11.42"/>
    <d v="2026-02-07T00:00:00"/>
    <n v="38.69"/>
    <x v="1"/>
  </r>
  <r>
    <x v="471"/>
    <x v="471"/>
    <x v="0"/>
    <x v="5"/>
    <x v="471"/>
    <n v="53.71"/>
    <n v="6.92"/>
    <n v="415.46"/>
    <n v="12.89"/>
    <d v="2026-02-07T00:00:00"/>
    <n v="29.59"/>
    <x v="1"/>
  </r>
  <r>
    <x v="472"/>
    <x v="472"/>
    <x v="2"/>
    <x v="5"/>
    <x v="472"/>
    <n v="34.520000000000003"/>
    <n v="5.4"/>
    <n v="324.19"/>
    <n v="15.65"/>
    <d v="2026-02-07T00:00:00"/>
    <n v="40.57"/>
    <x v="1"/>
  </r>
  <r>
    <x v="473"/>
    <x v="473"/>
    <x v="1"/>
    <x v="5"/>
    <x v="473"/>
    <n v="49.59"/>
    <n v="6.25"/>
    <n v="374.83"/>
    <n v="12.6"/>
    <d v="2026-02-07T00:00:00"/>
    <n v="31.51"/>
    <x v="1"/>
  </r>
  <r>
    <x v="474"/>
    <x v="474"/>
    <x v="5"/>
    <x v="1"/>
    <x v="474"/>
    <n v="40.68"/>
    <n v="5.72"/>
    <n v="343.315"/>
    <n v="6.28"/>
    <d v="2026-02-07T00:00:00"/>
    <n v="32.799999999999997"/>
    <x v="1"/>
  </r>
  <r>
    <x v="475"/>
    <x v="475"/>
    <x v="4"/>
    <x v="4"/>
    <x v="475"/>
    <n v="26.81"/>
    <n v="17.329999999999998"/>
    <n v="1040.07"/>
    <n v="64.66"/>
    <d v="2026-02-07T00:00:00"/>
    <n v="68.930000000000007"/>
    <x v="1"/>
  </r>
  <r>
    <x v="476"/>
    <x v="476"/>
    <x v="1"/>
    <x v="4"/>
    <x v="476"/>
    <n v="39.799999999999997"/>
    <n v="9.2899999999999991"/>
    <n v="557.28"/>
    <n v="23.34"/>
    <d v="2026-02-07T00:00:00"/>
    <n v="41.77"/>
    <x v="1"/>
  </r>
  <r>
    <x v="477"/>
    <x v="477"/>
    <x v="5"/>
    <x v="4"/>
    <x v="477"/>
    <n v="35.229999999999997"/>
    <n v="2.67"/>
    <n v="160.44999999999999"/>
    <n v="7.59"/>
    <d v="2026-02-07T00:00:00"/>
    <n v="36.18"/>
    <x v="1"/>
  </r>
  <r>
    <x v="478"/>
    <x v="478"/>
    <x v="4"/>
    <x v="5"/>
    <x v="478"/>
    <n v="29.99"/>
    <n v="29.84"/>
    <n v="1790.18"/>
    <n v="99.49"/>
    <d v="2026-02-07T00:00:00"/>
    <n v="84.75"/>
    <x v="0"/>
  </r>
  <r>
    <x v="479"/>
    <x v="479"/>
    <x v="6"/>
    <x v="5"/>
    <x v="479"/>
    <n v="57.73"/>
    <n v="5.72"/>
    <n v="343.315"/>
    <n v="4.18"/>
    <d v="2026-02-07T00:00:00"/>
    <n v="23.23"/>
    <x v="1"/>
  </r>
  <r>
    <x v="480"/>
    <x v="480"/>
    <x v="6"/>
    <x v="5"/>
    <x v="480"/>
    <n v="52.56"/>
    <n v="7.04"/>
    <n v="422.34"/>
    <n v="13.39"/>
    <d v="2026-02-07T00:00:00"/>
    <n v="30.42"/>
    <x v="1"/>
  </r>
  <r>
    <x v="481"/>
    <x v="481"/>
    <x v="6"/>
    <x v="4"/>
    <x v="481"/>
    <n v="46.08"/>
    <n v="6.59"/>
    <n v="395.3"/>
    <n v="14.3"/>
    <d v="2026-02-07T00:00:00"/>
    <n v="34.11"/>
    <x v="1"/>
  </r>
  <r>
    <x v="482"/>
    <x v="482"/>
    <x v="6"/>
    <x v="3"/>
    <x v="482"/>
    <n v="52.45"/>
    <n v="6.36"/>
    <n v="381.66"/>
    <n v="12.13"/>
    <d v="2026-02-07T00:00:00"/>
    <n v="29.84"/>
    <x v="1"/>
  </r>
  <r>
    <x v="483"/>
    <x v="483"/>
    <x v="6"/>
    <x v="0"/>
    <x v="483"/>
    <n v="37.51"/>
    <n v="2.2400000000000002"/>
    <n v="134.31"/>
    <n v="5.97"/>
    <d v="2026-02-07T00:00:00"/>
    <n v="34.229999999999997"/>
    <x v="1"/>
  </r>
  <r>
    <x v="484"/>
    <x v="484"/>
    <x v="2"/>
    <x v="0"/>
    <x v="484"/>
    <n v="58.02"/>
    <n v="9.7200000000000006"/>
    <n v="583.11"/>
    <n v="16.75"/>
    <d v="2026-02-07T00:00:00"/>
    <n v="29.37"/>
    <x v="1"/>
  </r>
  <r>
    <x v="485"/>
    <x v="485"/>
    <x v="5"/>
    <x v="4"/>
    <x v="485"/>
    <n v="41.58"/>
    <n v="6.13"/>
    <n v="367.52"/>
    <n v="14.73"/>
    <d v="2026-02-07T00:00:00"/>
    <n v="36.58"/>
    <x v="1"/>
  </r>
  <r>
    <x v="486"/>
    <x v="486"/>
    <x v="2"/>
    <x v="0"/>
    <x v="486"/>
    <n v="42.81"/>
    <n v="2.08"/>
    <n v="124.58"/>
    <n v="4.57"/>
    <d v="2026-02-07T00:00:00"/>
    <n v="30.88"/>
    <x v="1"/>
  </r>
  <r>
    <x v="487"/>
    <x v="487"/>
    <x v="2"/>
    <x v="5"/>
    <x v="487"/>
    <n v="39.32"/>
    <n v="2.14"/>
    <n v="128.6"/>
    <n v="5.45"/>
    <d v="2026-02-07T00:00:00"/>
    <n v="33.07"/>
    <x v="1"/>
  </r>
  <r>
    <x v="488"/>
    <x v="488"/>
    <x v="4"/>
    <x v="0"/>
    <x v="488"/>
    <n v="17.739999999999998"/>
    <n v="31.6"/>
    <n v="1895.9"/>
    <n v="178.12"/>
    <d v="2026-02-07T00:00:00"/>
    <n v="130.19"/>
    <x v="0"/>
  </r>
  <r>
    <x v="489"/>
    <x v="489"/>
    <x v="3"/>
    <x v="3"/>
    <x v="489"/>
    <n v="55"/>
    <n v="3.8"/>
    <n v="227.86"/>
    <n v="6.9"/>
    <d v="2026-02-07T00:00:00"/>
    <n v="25.95"/>
    <x v="1"/>
  </r>
  <r>
    <x v="490"/>
    <x v="490"/>
    <x v="1"/>
    <x v="1"/>
    <x v="490"/>
    <n v="42.81"/>
    <n v="4.32"/>
    <n v="258.92"/>
    <n v="7.2"/>
    <d v="2026-02-07T00:00:00"/>
    <n v="32.200000000000003"/>
    <x v="2"/>
  </r>
  <r>
    <x v="491"/>
    <x v="491"/>
    <x v="0"/>
    <x v="2"/>
    <x v="491"/>
    <n v="38.14"/>
    <n v="9.2200000000000006"/>
    <n v="552.91999999999996"/>
    <n v="24.16"/>
    <d v="2026-02-07T00:00:00"/>
    <n v="43.01"/>
    <x v="1"/>
  </r>
  <r>
    <x v="492"/>
    <x v="492"/>
    <x v="2"/>
    <x v="3"/>
    <x v="492"/>
    <n v="55.68"/>
    <n v="2.14"/>
    <n v="128.16999999999999"/>
    <n v="3.84"/>
    <d v="2026-02-07T00:00:00"/>
    <n v="24.08"/>
    <x v="1"/>
  </r>
  <r>
    <x v="493"/>
    <x v="493"/>
    <x v="0"/>
    <x v="2"/>
    <x v="493"/>
    <n v="42.81"/>
    <n v="7.5"/>
    <n v="449.89"/>
    <n v="22.9"/>
    <d v="2026-02-07T00:00:00"/>
    <n v="40.049999999999997"/>
    <x v="0"/>
  </r>
  <r>
    <x v="494"/>
    <x v="494"/>
    <x v="4"/>
    <x v="1"/>
    <x v="494"/>
    <n v="25.81"/>
    <n v="28.46"/>
    <n v="1707.69"/>
    <n v="110.27"/>
    <d v="2026-02-07T00:00:00"/>
    <n v="92.23"/>
    <x v="0"/>
  </r>
  <r>
    <x v="495"/>
    <x v="495"/>
    <x v="5"/>
    <x v="3"/>
    <x v="495"/>
    <n v="54.74"/>
    <n v="3.77"/>
    <n v="226.47"/>
    <n v="6.9"/>
    <d v="2026-02-07T00:00:00"/>
    <n v="26.08"/>
    <x v="1"/>
  </r>
  <r>
    <x v="496"/>
    <x v="496"/>
    <x v="6"/>
    <x v="5"/>
    <x v="496"/>
    <n v="53.79"/>
    <n v="3.5"/>
    <n v="209.73"/>
    <n v="6.5"/>
    <d v="2026-02-07T00:00:00"/>
    <n v="26.36"/>
    <x v="0"/>
  </r>
  <r>
    <x v="497"/>
    <x v="497"/>
    <x v="0"/>
    <x v="2"/>
    <x v="497"/>
    <n v="41.26"/>
    <n v="3.64"/>
    <n v="218.67"/>
    <n v="8.83"/>
    <d v="2026-02-07T00:00:00"/>
    <n v="33.79"/>
    <x v="1"/>
  </r>
  <r>
    <x v="498"/>
    <x v="498"/>
    <x v="3"/>
    <x v="2"/>
    <x v="498"/>
    <n v="40.43"/>
    <n v="1.49"/>
    <n v="89.16"/>
    <n v="3.68"/>
    <d v="2026-02-07T00:00:00"/>
    <n v="31.63"/>
    <x v="1"/>
  </r>
  <r>
    <x v="499"/>
    <x v="499"/>
    <x v="3"/>
    <x v="5"/>
    <x v="499"/>
    <n v="44.57"/>
    <n v="2.04"/>
    <n v="122.14"/>
    <n v="4.57"/>
    <d v="2026-02-07T00:00:00"/>
    <n v="30"/>
    <x v="1"/>
  </r>
  <r>
    <x v="500"/>
    <x v="500"/>
    <x v="5"/>
    <x v="3"/>
    <x v="500"/>
    <n v="48.99"/>
    <n v="7.24"/>
    <n v="434.3"/>
    <n v="14.78"/>
    <d v="2026-02-07T00:00:00"/>
    <n v="32.9"/>
    <x v="1"/>
  </r>
  <r>
    <x v="501"/>
    <x v="501"/>
    <x v="0"/>
    <x v="5"/>
    <x v="501"/>
    <n v="59.88"/>
    <n v="2.6"/>
    <n v="156.01"/>
    <n v="4.34"/>
    <d v="2026-02-07T00:00:00"/>
    <n v="22.23"/>
    <x v="0"/>
  </r>
  <r>
    <x v="502"/>
    <x v="502"/>
    <x v="3"/>
    <x v="4"/>
    <x v="502"/>
    <n v="42.11"/>
    <n v="9.42"/>
    <n v="565.48"/>
    <n v="22.38"/>
    <d v="2026-02-07T00:00:00"/>
    <n v="40.14"/>
    <x v="1"/>
  </r>
  <r>
    <x v="503"/>
    <x v="503"/>
    <x v="0"/>
    <x v="5"/>
    <x v="503"/>
    <n v="47.98"/>
    <n v="2.14"/>
    <n v="128.6"/>
    <n v="4.47"/>
    <d v="2026-02-07T00:00:00"/>
    <n v="28.25"/>
    <x v="1"/>
  </r>
  <r>
    <x v="504"/>
    <x v="504"/>
    <x v="1"/>
    <x v="5"/>
    <x v="504"/>
    <n v="55.41"/>
    <n v="5.28"/>
    <n v="317.08"/>
    <n v="9.5399999999999991"/>
    <d v="2026-02-07T00:00:00"/>
    <n v="27.07"/>
    <x v="1"/>
  </r>
  <r>
    <x v="505"/>
    <x v="505"/>
    <x v="6"/>
    <x v="5"/>
    <x v="505"/>
    <n v="50.02"/>
    <n v="2.85"/>
    <n v="171.07"/>
    <n v="5.7"/>
    <d v="2026-02-07T00:00:00"/>
    <n v="27.84"/>
    <x v="1"/>
  </r>
  <r>
    <x v="506"/>
    <x v="506"/>
    <x v="4"/>
    <x v="3"/>
    <x v="506"/>
    <n v="20.34"/>
    <n v="23.96"/>
    <n v="1437.55"/>
    <n v="117.79"/>
    <d v="2026-02-07T00:00:00"/>
    <n v="98.73"/>
    <x v="1"/>
  </r>
  <r>
    <x v="507"/>
    <x v="507"/>
    <x v="1"/>
    <x v="3"/>
    <x v="507"/>
    <n v="50.81"/>
    <n v="3"/>
    <n v="180.29"/>
    <n v="5.91"/>
    <d v="2026-02-07T00:00:00"/>
    <n v="27.55"/>
    <x v="0"/>
  </r>
  <r>
    <x v="508"/>
    <x v="508"/>
    <x v="2"/>
    <x v="3"/>
    <x v="508"/>
    <n v="48.9"/>
    <n v="4.59"/>
    <n v="275.26"/>
    <n v="9.3800000000000008"/>
    <d v="2026-02-07T00:00:00"/>
    <n v="30.24"/>
    <x v="1"/>
  </r>
  <r>
    <x v="509"/>
    <x v="509"/>
    <x v="4"/>
    <x v="4"/>
    <x v="509"/>
    <n v="17.21"/>
    <n v="37.31"/>
    <n v="2238.7199999999998"/>
    <n v="216.8"/>
    <d v="2026-02-07T00:00:00"/>
    <n v="149.80000000000001"/>
    <x v="1"/>
  </r>
  <r>
    <x v="510"/>
    <x v="510"/>
    <x v="0"/>
    <x v="4"/>
    <x v="510"/>
    <n v="41.78"/>
    <n v="2.73"/>
    <n v="163.81"/>
    <n v="6.53"/>
    <d v="2026-02-07T00:00:00"/>
    <n v="32.380000000000003"/>
    <x v="2"/>
  </r>
  <r>
    <x v="511"/>
    <x v="511"/>
    <x v="4"/>
    <x v="4"/>
    <x v="511"/>
    <n v="29.56"/>
    <n v="23.58"/>
    <n v="1414.72"/>
    <n v="79.77"/>
    <d v="2026-02-07T00:00:00"/>
    <n v="75.11"/>
    <x v="1"/>
  </r>
  <r>
    <x v="512"/>
    <x v="512"/>
    <x v="6"/>
    <x v="0"/>
    <x v="512"/>
    <n v="33.43"/>
    <n v="6.72"/>
    <n v="403.29"/>
    <n v="20.11"/>
    <d v="2026-02-07T00:00:00"/>
    <n v="43.34"/>
    <x v="1"/>
  </r>
  <r>
    <x v="513"/>
    <x v="513"/>
    <x v="0"/>
    <x v="5"/>
    <x v="513"/>
    <n v="53.19"/>
    <n v="5.44"/>
    <n v="326.57"/>
    <n v="10.23"/>
    <d v="2026-02-07T00:00:00"/>
    <n v="28.52"/>
    <x v="1"/>
  </r>
  <r>
    <x v="514"/>
    <x v="514"/>
    <x v="4"/>
    <x v="5"/>
    <x v="514"/>
    <n v="20.82"/>
    <n v="20.5"/>
    <n v="1230.06"/>
    <n v="98.47"/>
    <d v="2026-02-07T00:00:00"/>
    <n v="88.83"/>
    <x v="1"/>
  </r>
  <r>
    <x v="515"/>
    <x v="515"/>
    <x v="6"/>
    <x v="5"/>
    <x v="515"/>
    <n v="31.82"/>
    <n v="7.12"/>
    <n v="427.08"/>
    <n v="22.37"/>
    <d v="2026-02-07T00:00:00"/>
    <n v="45.28"/>
    <x v="1"/>
  </r>
  <r>
    <x v="516"/>
    <x v="516"/>
    <x v="4"/>
    <x v="4"/>
    <x v="516"/>
    <n v="24.83"/>
    <n v="15.89"/>
    <n v="953.44"/>
    <n v="64"/>
    <d v="2026-02-07T00:00:00"/>
    <n v="69.59"/>
    <x v="1"/>
  </r>
  <r>
    <x v="517"/>
    <x v="517"/>
    <x v="2"/>
    <x v="0"/>
    <x v="517"/>
    <n v="50.44"/>
    <n v="9.93"/>
    <n v="595.94000000000005"/>
    <n v="19.690000000000001"/>
    <d v="2026-02-07T00:00:00"/>
    <n v="34.630000000000003"/>
    <x v="1"/>
  </r>
  <r>
    <x v="518"/>
    <x v="518"/>
    <x v="3"/>
    <x v="1"/>
    <x v="518"/>
    <n v="41.9"/>
    <n v="1.28"/>
    <n v="76.760000000000005"/>
    <n v="3.05"/>
    <d v="2026-02-07T00:00:00"/>
    <n v="30.58"/>
    <x v="1"/>
  </r>
  <r>
    <x v="519"/>
    <x v="519"/>
    <x v="5"/>
    <x v="4"/>
    <x v="519"/>
    <n v="59.17"/>
    <n v="7.02"/>
    <n v="421.02"/>
    <n v="11.86"/>
    <d v="2026-02-07T00:00:00"/>
    <n v="26.35"/>
    <x v="1"/>
  </r>
  <r>
    <x v="520"/>
    <x v="520"/>
    <x v="6"/>
    <x v="5"/>
    <x v="520"/>
    <n v="38.630000000000003"/>
    <n v="6.64"/>
    <n v="398.1"/>
    <n v="17.18"/>
    <d v="2026-02-07T00:00:00"/>
    <n v="39.28"/>
    <x v="1"/>
  </r>
  <r>
    <x v="521"/>
    <x v="521"/>
    <x v="5"/>
    <x v="0"/>
    <x v="521"/>
    <n v="33.92"/>
    <n v="6.99"/>
    <n v="419.63"/>
    <n v="20.62"/>
    <d v="2026-02-07T00:00:00"/>
    <n v="43.35"/>
    <x v="1"/>
  </r>
  <r>
    <x v="522"/>
    <x v="522"/>
    <x v="3"/>
    <x v="3"/>
    <x v="522"/>
    <n v="39.369999999999997"/>
    <n v="1.6"/>
    <n v="96.08"/>
    <n v="4.07"/>
    <d v="2026-02-07T00:00:00"/>
    <n v="32.35"/>
    <x v="1"/>
  </r>
  <r>
    <x v="523"/>
    <x v="523"/>
    <x v="3"/>
    <x v="3"/>
    <x v="523"/>
    <n v="25.34"/>
    <n v="26.53"/>
    <n v="1592.07"/>
    <n v="104.71"/>
    <d v="2026-02-07T00:00:00"/>
    <n v="89.69"/>
    <x v="1"/>
  </r>
  <r>
    <x v="524"/>
    <x v="524"/>
    <x v="6"/>
    <x v="0"/>
    <x v="524"/>
    <n v="41.69"/>
    <n v="2.38"/>
    <n v="142.63999999999999"/>
    <n v="5.7"/>
    <d v="2026-02-07T00:00:00"/>
    <n v="32.01"/>
    <x v="1"/>
  </r>
  <r>
    <x v="525"/>
    <x v="525"/>
    <x v="0"/>
    <x v="4"/>
    <x v="525"/>
    <n v="44.48"/>
    <n v="3.45"/>
    <n v="207.2"/>
    <n v="7.76"/>
    <d v="2026-02-07T00:00:00"/>
    <n v="31.64"/>
    <x v="1"/>
  </r>
  <r>
    <x v="526"/>
    <x v="526"/>
    <x v="6"/>
    <x v="1"/>
    <x v="526"/>
    <n v="37.159999999999997"/>
    <n v="3.73"/>
    <n v="223.72"/>
    <n v="10.029999999999999"/>
    <d v="2026-02-07T00:00:00"/>
    <n v="36.44"/>
    <x v="2"/>
  </r>
  <r>
    <x v="527"/>
    <x v="527"/>
    <x v="3"/>
    <x v="3"/>
    <x v="527"/>
    <n v="46.54"/>
    <n v="1.7"/>
    <n v="101.95"/>
    <n v="3.65"/>
    <d v="2026-02-07T00:00:00"/>
    <n v="28.56"/>
    <x v="1"/>
  </r>
  <r>
    <x v="528"/>
    <x v="528"/>
    <x v="1"/>
    <x v="2"/>
    <x v="528"/>
    <n v="39.86"/>
    <n v="3.12"/>
    <n v="187.37"/>
    <n v="7.83"/>
    <d v="2026-02-07T00:00:00"/>
    <n v="33.99"/>
    <x v="1"/>
  </r>
  <r>
    <x v="529"/>
    <x v="529"/>
    <x v="5"/>
    <x v="0"/>
    <x v="529"/>
    <n v="52.73"/>
    <n v="8.1199999999999992"/>
    <n v="487.37"/>
    <n v="15.4"/>
    <d v="2026-02-07T00:00:00"/>
    <n v="31.34"/>
    <x v="1"/>
  </r>
  <r>
    <x v="530"/>
    <x v="530"/>
    <x v="1"/>
    <x v="0"/>
    <x v="530"/>
    <n v="56.26"/>
    <n v="3.12"/>
    <n v="187.28"/>
    <n v="5.55"/>
    <d v="2026-02-07T00:00:00"/>
    <n v="24.65"/>
    <x v="1"/>
  </r>
  <r>
    <x v="531"/>
    <x v="531"/>
    <x v="3"/>
    <x v="3"/>
    <x v="531"/>
    <n v="15.06"/>
    <n v="25.16"/>
    <n v="1509.77"/>
    <n v="167.08"/>
    <d v="2026-02-07T00:00:00"/>
    <n v="126.01"/>
    <x v="1"/>
  </r>
  <r>
    <x v="532"/>
    <x v="532"/>
    <x v="5"/>
    <x v="1"/>
    <x v="532"/>
    <n v="42.1"/>
    <n v="6.45"/>
    <n v="386.76"/>
    <n v="15.31"/>
    <d v="2026-02-07T00:00:00"/>
    <n v="36.61"/>
    <x v="1"/>
  </r>
  <r>
    <x v="533"/>
    <x v="533"/>
    <x v="3"/>
    <x v="0"/>
    <x v="533"/>
    <n v="48.15"/>
    <n v="1.8"/>
    <n v="108.18"/>
    <n v="3.74"/>
    <d v="2026-02-07T00:00:00"/>
    <n v="27.8"/>
    <x v="1"/>
  </r>
  <r>
    <x v="534"/>
    <x v="534"/>
    <x v="3"/>
    <x v="0"/>
    <x v="534"/>
    <n v="42.88"/>
    <n v="1.99"/>
    <n v="119.69"/>
    <n v="4.6500000000000004"/>
    <d v="2026-02-07T00:00:00"/>
    <n v="30.89"/>
    <x v="1"/>
  </r>
  <r>
    <x v="535"/>
    <x v="535"/>
    <x v="6"/>
    <x v="5"/>
    <x v="535"/>
    <n v="34.65"/>
    <n v="6.53"/>
    <n v="391.78"/>
    <n v="18.84"/>
    <d v="2026-02-07T00:00:00"/>
    <n v="42.1"/>
    <x v="1"/>
  </r>
  <r>
    <x v="536"/>
    <x v="536"/>
    <x v="3"/>
    <x v="4"/>
    <x v="536"/>
    <n v="37.78"/>
    <n v="2.79"/>
    <n v="167.34"/>
    <n v="7.38"/>
    <d v="2026-02-07T00:00:00"/>
    <n v="34.799999999999997"/>
    <x v="1"/>
  </r>
  <r>
    <x v="537"/>
    <x v="537"/>
    <x v="3"/>
    <x v="3"/>
    <x v="537"/>
    <n v="49.58"/>
    <n v="3.93"/>
    <n v="235.75"/>
    <n v="7.92"/>
    <d v="2026-02-07T00:00:00"/>
    <n v="29.17"/>
    <x v="1"/>
  </r>
  <r>
    <x v="538"/>
    <x v="538"/>
    <x v="2"/>
    <x v="3"/>
    <x v="538"/>
    <n v="55.21"/>
    <n v="8.83"/>
    <n v="530.08000000000004"/>
    <n v="16"/>
    <d v="2026-02-07T00:00:00"/>
    <n v="30.4"/>
    <x v="1"/>
  </r>
  <r>
    <x v="539"/>
    <x v="539"/>
    <x v="1"/>
    <x v="1"/>
    <x v="539"/>
    <n v="48.51"/>
    <n v="6.96"/>
    <n v="417.8"/>
    <n v="14.35"/>
    <d v="2026-02-07T00:00:00"/>
    <n v="32.92"/>
    <x v="1"/>
  </r>
  <r>
    <x v="540"/>
    <x v="540"/>
    <x v="0"/>
    <x v="3"/>
    <x v="540"/>
    <n v="34.770000000000003"/>
    <n v="3.6"/>
    <n v="216.21"/>
    <n v="10.36"/>
    <d v="2026-02-07T00:00:00"/>
    <n v="37.799999999999997"/>
    <x v="1"/>
  </r>
  <r>
    <x v="541"/>
    <x v="541"/>
    <x v="5"/>
    <x v="4"/>
    <x v="541"/>
    <n v="52.83"/>
    <n v="4.01"/>
    <n v="240.77"/>
    <n v="7.6"/>
    <d v="2026-02-07T00:00:00"/>
    <n v="27.39"/>
    <x v="1"/>
  </r>
  <r>
    <x v="542"/>
    <x v="542"/>
    <x v="3"/>
    <x v="5"/>
    <x v="542"/>
    <n v="47.18"/>
    <n v="1.1599999999999999"/>
    <n v="69.73"/>
    <n v="2.46"/>
    <d v="2026-02-07T00:00:00"/>
    <n v="27.64"/>
    <x v="1"/>
  </r>
  <r>
    <x v="543"/>
    <x v="543"/>
    <x v="4"/>
    <x v="3"/>
    <x v="543"/>
    <n v="42.81"/>
    <n v="5.72"/>
    <n v="343.315"/>
    <n v="57.65"/>
    <d v="2026-02-07T00:00:00"/>
    <n v="57.42"/>
    <x v="1"/>
  </r>
  <r>
    <x v="544"/>
    <x v="544"/>
    <x v="5"/>
    <x v="1"/>
    <x v="544"/>
    <n v="53.58"/>
    <n v="9.01"/>
    <n v="540.80999999999995"/>
    <n v="16.82"/>
    <d v="2026-02-07T00:00:00"/>
    <n v="31.62"/>
    <x v="1"/>
  </r>
  <r>
    <x v="545"/>
    <x v="545"/>
    <x v="2"/>
    <x v="0"/>
    <x v="545"/>
    <n v="42.52"/>
    <n v="7.5"/>
    <n v="450.27"/>
    <n v="17.649999999999999"/>
    <d v="2026-02-07T00:00:00"/>
    <n v="37.57"/>
    <x v="2"/>
  </r>
  <r>
    <x v="546"/>
    <x v="546"/>
    <x v="6"/>
    <x v="4"/>
    <x v="546"/>
    <n v="35.65"/>
    <n v="5.45"/>
    <n v="326.79000000000002"/>
    <n v="15.28"/>
    <d v="2026-02-07T00:00:00"/>
    <n v="39.82"/>
    <x v="1"/>
  </r>
  <r>
    <x v="547"/>
    <x v="547"/>
    <x v="1"/>
    <x v="1"/>
    <x v="547"/>
    <n v="45"/>
    <n v="5.25"/>
    <n v="315.2"/>
    <n v="11.67"/>
    <d v="2026-02-07T00:00:00"/>
    <n v="33.340000000000003"/>
    <x v="2"/>
  </r>
  <r>
    <x v="548"/>
    <x v="548"/>
    <x v="2"/>
    <x v="2"/>
    <x v="548"/>
    <n v="34.83"/>
    <n v="2.93"/>
    <n v="175.92"/>
    <n v="8.42"/>
    <d v="2026-02-07T00:00:00"/>
    <n v="36.799999999999997"/>
    <x v="1"/>
  </r>
  <r>
    <x v="549"/>
    <x v="549"/>
    <x v="4"/>
    <x v="5"/>
    <x v="549"/>
    <n v="16.600000000000001"/>
    <n v="35.5"/>
    <n v="2130.04"/>
    <n v="213.86"/>
    <d v="2026-02-07T00:00:00"/>
    <n v="148.63"/>
    <x v="1"/>
  </r>
  <r>
    <x v="550"/>
    <x v="550"/>
    <x v="2"/>
    <x v="4"/>
    <x v="550"/>
    <n v="32.950000000000003"/>
    <n v="3.43"/>
    <n v="205.85"/>
    <n v="10.41"/>
    <d v="2026-02-07T00:00:00"/>
    <n v="38.729999999999997"/>
    <x v="1"/>
  </r>
  <r>
    <x v="551"/>
    <x v="551"/>
    <x v="5"/>
    <x v="0"/>
    <x v="551"/>
    <n v="41.13"/>
    <n v="7.23"/>
    <n v="433.57"/>
    <n v="17.57"/>
    <d v="2026-02-07T00:00:00"/>
    <n v="38.22"/>
    <x v="1"/>
  </r>
  <r>
    <x v="552"/>
    <x v="552"/>
    <x v="1"/>
    <x v="0"/>
    <x v="552"/>
    <n v="37.31"/>
    <n v="7.97"/>
    <n v="478.13"/>
    <n v="21.36"/>
    <d v="2026-02-07T00:00:00"/>
    <n v="42.03"/>
    <x v="1"/>
  </r>
  <r>
    <x v="553"/>
    <x v="553"/>
    <x v="2"/>
    <x v="1"/>
    <x v="553"/>
    <n v="45.18"/>
    <n v="9.09"/>
    <n v="545.21"/>
    <n v="20.11"/>
    <d v="2026-02-07T00:00:00"/>
    <n v="37.47"/>
    <x v="1"/>
  </r>
  <r>
    <x v="554"/>
    <x v="554"/>
    <x v="4"/>
    <x v="0"/>
    <x v="554"/>
    <n v="42.81"/>
    <n v="34.07"/>
    <n v="2043.92"/>
    <n v="136.32"/>
    <d v="2026-02-07T00:00:00"/>
    <n v="96.76"/>
    <x v="1"/>
  </r>
  <r>
    <x v="555"/>
    <x v="555"/>
    <x v="0"/>
    <x v="2"/>
    <x v="555"/>
    <n v="53.31"/>
    <n v="6.28"/>
    <n v="377"/>
    <n v="11.79"/>
    <d v="2026-02-07T00:00:00"/>
    <n v="29.24"/>
    <x v="2"/>
  </r>
  <r>
    <x v="556"/>
    <x v="556"/>
    <x v="4"/>
    <x v="2"/>
    <x v="556"/>
    <n v="20.260000000000002"/>
    <n v="38.020000000000003"/>
    <n v="2281.4299999999998"/>
    <n v="187.68"/>
    <d v="2026-02-07T00:00:00"/>
    <n v="133.71"/>
    <x v="1"/>
  </r>
  <r>
    <x v="557"/>
    <x v="557"/>
    <x v="6"/>
    <x v="0"/>
    <x v="557"/>
    <n v="55.47"/>
    <n v="4.29"/>
    <n v="257.31"/>
    <n v="7.73"/>
    <d v="2026-02-07T00:00:00"/>
    <n v="26.13"/>
    <x v="2"/>
  </r>
  <r>
    <x v="558"/>
    <x v="558"/>
    <x v="2"/>
    <x v="5"/>
    <x v="558"/>
    <n v="55.39"/>
    <n v="3.2"/>
    <n v="192"/>
    <n v="5.78"/>
    <d v="2026-02-07T00:00:00"/>
    <n v="25.2"/>
    <x v="1"/>
  </r>
  <r>
    <x v="559"/>
    <x v="559"/>
    <x v="0"/>
    <x v="3"/>
    <x v="559"/>
    <n v="45.67"/>
    <n v="9.17"/>
    <n v="549.98"/>
    <n v="20.07"/>
    <d v="2026-02-07T00:00:00"/>
    <n v="37.200000000000003"/>
    <x v="1"/>
  </r>
  <r>
    <x v="560"/>
    <x v="560"/>
    <x v="4"/>
    <x v="0"/>
    <x v="560"/>
    <n v="42.81"/>
    <n v="30.68"/>
    <n v="1840.56"/>
    <n v="152.01"/>
    <d v="2026-02-07T00:00:00"/>
    <n v="104.6"/>
    <x v="2"/>
  </r>
  <r>
    <x v="561"/>
    <x v="561"/>
    <x v="5"/>
    <x v="2"/>
    <x v="561"/>
    <n v="55.73"/>
    <n v="3.68"/>
    <n v="220.6"/>
    <n v="6.6"/>
    <d v="2026-02-07T00:00:00"/>
    <n v="25.44"/>
    <x v="1"/>
  </r>
  <r>
    <x v="562"/>
    <x v="562"/>
    <x v="3"/>
    <x v="2"/>
    <x v="562"/>
    <n v="44.03"/>
    <n v="1.94"/>
    <n v="116.17"/>
    <n v="4.4000000000000004"/>
    <d v="2026-02-07T00:00:00"/>
    <n v="30.19"/>
    <x v="1"/>
  </r>
  <r>
    <x v="563"/>
    <x v="563"/>
    <x v="6"/>
    <x v="2"/>
    <x v="563"/>
    <n v="57.57"/>
    <n v="8.02"/>
    <n v="481.45"/>
    <n v="13.94"/>
    <d v="2026-02-07T00:00:00"/>
    <n v="28.19"/>
    <x v="1"/>
  </r>
  <r>
    <x v="564"/>
    <x v="564"/>
    <x v="4"/>
    <x v="2"/>
    <x v="564"/>
    <n v="21.71"/>
    <n v="25.47"/>
    <n v="1528.19"/>
    <n v="117.32"/>
    <d v="2026-02-07T00:00:00"/>
    <n v="97.81"/>
    <x v="1"/>
  </r>
  <r>
    <x v="565"/>
    <x v="565"/>
    <x v="3"/>
    <x v="2"/>
    <x v="565"/>
    <n v="39.29"/>
    <n v="2.68"/>
    <n v="160.83000000000001"/>
    <n v="6.82"/>
    <d v="2026-02-07T00:00:00"/>
    <n v="33.770000000000003"/>
    <x v="1"/>
  </r>
  <r>
    <x v="566"/>
    <x v="566"/>
    <x v="2"/>
    <x v="0"/>
    <x v="566"/>
    <n v="44.18"/>
    <n v="7.51"/>
    <n v="450.74"/>
    <n v="17"/>
    <d v="2026-02-07T00:00:00"/>
    <n v="36.409999999999997"/>
    <x v="1"/>
  </r>
  <r>
    <x v="567"/>
    <x v="567"/>
    <x v="3"/>
    <x v="4"/>
    <x v="567"/>
    <n v="39.72"/>
    <n v="2.7"/>
    <n v="162.1"/>
    <n v="6.8"/>
    <d v="2026-02-07T00:00:00"/>
    <n v="33.54"/>
    <x v="1"/>
  </r>
  <r>
    <x v="568"/>
    <x v="568"/>
    <x v="2"/>
    <x v="3"/>
    <x v="568"/>
    <n v="54.63"/>
    <n v="9.23"/>
    <n v="553.53"/>
    <n v="16.89"/>
    <d v="2026-02-07T00:00:00"/>
    <n v="31.13"/>
    <x v="1"/>
  </r>
  <r>
    <x v="569"/>
    <x v="569"/>
    <x v="0"/>
    <x v="4"/>
    <x v="569"/>
    <n v="38.729999999999997"/>
    <n v="2.25"/>
    <n v="135.05000000000001"/>
    <n v="5.81"/>
    <d v="2026-02-07T00:00:00"/>
    <n v="33.54"/>
    <x v="2"/>
  </r>
  <r>
    <x v="570"/>
    <x v="570"/>
    <x v="6"/>
    <x v="2"/>
    <x v="570"/>
    <n v="46.23"/>
    <n v="5.6"/>
    <n v="335.84"/>
    <n v="12.11"/>
    <d v="2026-02-07T00:00:00"/>
    <n v="32.94"/>
    <x v="1"/>
  </r>
  <r>
    <x v="571"/>
    <x v="571"/>
    <x v="5"/>
    <x v="2"/>
    <x v="571"/>
    <n v="48.37"/>
    <n v="5.0599999999999996"/>
    <n v="303.33999999999997"/>
    <n v="10.45"/>
    <d v="2026-02-07T00:00:00"/>
    <n v="31.04"/>
    <x v="1"/>
  </r>
  <r>
    <x v="572"/>
    <x v="572"/>
    <x v="3"/>
    <x v="3"/>
    <x v="572"/>
    <n v="45.77"/>
    <n v="1.75"/>
    <n v="104.7"/>
    <n v="3.81"/>
    <d v="2026-02-07T00:00:00"/>
    <n v="29.02"/>
    <x v="1"/>
  </r>
  <r>
    <x v="573"/>
    <x v="573"/>
    <x v="1"/>
    <x v="3"/>
    <x v="573"/>
    <n v="37.4"/>
    <n v="9.8000000000000007"/>
    <n v="588.22"/>
    <n v="26.21"/>
    <d v="2026-02-07T00:00:00"/>
    <n v="44.41"/>
    <x v="1"/>
  </r>
  <r>
    <x v="574"/>
    <x v="574"/>
    <x v="3"/>
    <x v="2"/>
    <x v="574"/>
    <n v="44.89"/>
    <n v="2.61"/>
    <n v="156.75"/>
    <n v="5.82"/>
    <d v="2026-02-07T00:00:00"/>
    <n v="30.47"/>
    <x v="1"/>
  </r>
  <r>
    <x v="575"/>
    <x v="575"/>
    <x v="5"/>
    <x v="3"/>
    <x v="575"/>
    <n v="34.4"/>
    <n v="6.08"/>
    <n v="364.86"/>
    <n v="17.68"/>
    <d v="2026-02-07T00:00:00"/>
    <n v="41.64"/>
    <x v="2"/>
  </r>
  <r>
    <x v="576"/>
    <x v="576"/>
    <x v="1"/>
    <x v="3"/>
    <x v="576"/>
    <n v="34.06"/>
    <n v="5.72"/>
    <n v="343.315"/>
    <n v="26.46"/>
    <d v="2026-02-07T00:00:00"/>
    <n v="46.2"/>
    <x v="1"/>
  </r>
  <r>
    <x v="577"/>
    <x v="577"/>
    <x v="5"/>
    <x v="5"/>
    <x v="577"/>
    <n v="48.91"/>
    <n v="7.1"/>
    <n v="425.72"/>
    <n v="14.51"/>
    <d v="2026-02-07T00:00:00"/>
    <n v="32.799999999999997"/>
    <x v="1"/>
  </r>
  <r>
    <x v="578"/>
    <x v="578"/>
    <x v="5"/>
    <x v="3"/>
    <x v="578"/>
    <n v="41.23"/>
    <n v="7.25"/>
    <n v="434.75"/>
    <n v="17.57"/>
    <d v="2026-02-07T00:00:00"/>
    <n v="38.17"/>
    <x v="1"/>
  </r>
  <r>
    <x v="579"/>
    <x v="579"/>
    <x v="0"/>
    <x v="3"/>
    <x v="579"/>
    <n v="44.75"/>
    <n v="8.3000000000000007"/>
    <n v="498.01"/>
    <n v="18.55"/>
    <d v="2026-02-07T00:00:00"/>
    <n v="36.9"/>
    <x v="1"/>
  </r>
  <r>
    <x v="580"/>
    <x v="580"/>
    <x v="6"/>
    <x v="5"/>
    <x v="580"/>
    <n v="38.46"/>
    <n v="6.95"/>
    <n v="417.19"/>
    <n v="18.079999999999998"/>
    <d v="2026-02-07T00:00:00"/>
    <n v="39.81"/>
    <x v="1"/>
  </r>
  <r>
    <x v="581"/>
    <x v="581"/>
    <x v="2"/>
    <x v="4"/>
    <x v="581"/>
    <n v="48.17"/>
    <n v="4.58"/>
    <n v="274.66000000000003"/>
    <n v="9.5"/>
    <d v="2026-02-07T00:00:00"/>
    <n v="30.67"/>
    <x v="1"/>
  </r>
  <r>
    <x v="582"/>
    <x v="582"/>
    <x v="3"/>
    <x v="1"/>
    <x v="582"/>
    <n v="38.549999999999997"/>
    <n v="2.99"/>
    <n v="179.25"/>
    <n v="7.75"/>
    <d v="2026-02-07T00:00:00"/>
    <n v="34.6"/>
    <x v="1"/>
  </r>
  <r>
    <x v="583"/>
    <x v="583"/>
    <x v="1"/>
    <x v="0"/>
    <x v="583"/>
    <n v="46.78"/>
    <n v="7.85"/>
    <n v="470.92"/>
    <n v="16.78"/>
    <d v="2026-02-07T00:00:00"/>
    <n v="35"/>
    <x v="1"/>
  </r>
  <r>
    <x v="584"/>
    <x v="584"/>
    <x v="4"/>
    <x v="4"/>
    <x v="584"/>
    <n v="25.36"/>
    <n v="16.54"/>
    <n v="992.51"/>
    <n v="65.23"/>
    <d v="2026-02-07T00:00:00"/>
    <n v="69.94"/>
    <x v="1"/>
  </r>
  <r>
    <x v="585"/>
    <x v="585"/>
    <x v="6"/>
    <x v="0"/>
    <x v="585"/>
    <n v="31.57"/>
    <n v="2.2799999999999998"/>
    <n v="137.07"/>
    <n v="7.24"/>
    <d v="2026-02-07T00:00:00"/>
    <n v="37.840000000000003"/>
    <x v="1"/>
  </r>
  <r>
    <x v="586"/>
    <x v="586"/>
    <x v="2"/>
    <x v="1"/>
    <x v="586"/>
    <n v="44.79"/>
    <n v="7.81"/>
    <n v="468.72"/>
    <n v="17.440000000000001"/>
    <d v="2026-02-07T00:00:00"/>
    <n v="36.33"/>
    <x v="1"/>
  </r>
  <r>
    <x v="587"/>
    <x v="587"/>
    <x v="6"/>
    <x v="0"/>
    <x v="587"/>
    <n v="42.09"/>
    <n v="8.7799999999999994"/>
    <n v="526.86"/>
    <n v="20.86"/>
    <d v="2026-02-07T00:00:00"/>
    <n v="39.39"/>
    <x v="1"/>
  </r>
  <r>
    <x v="588"/>
    <x v="588"/>
    <x v="0"/>
    <x v="4"/>
    <x v="588"/>
    <n v="51.82"/>
    <n v="7.98"/>
    <n v="478.55"/>
    <n v="15.39"/>
    <d v="2026-02-07T00:00:00"/>
    <n v="31.79"/>
    <x v="1"/>
  </r>
  <r>
    <x v="589"/>
    <x v="589"/>
    <x v="2"/>
    <x v="5"/>
    <x v="589"/>
    <n v="50.91"/>
    <n v="8.2899999999999991"/>
    <n v="497.51"/>
    <n v="16.29"/>
    <d v="2026-02-07T00:00:00"/>
    <n v="32.69"/>
    <x v="2"/>
  </r>
  <r>
    <x v="590"/>
    <x v="590"/>
    <x v="0"/>
    <x v="2"/>
    <x v="590"/>
    <n v="38.869999999999997"/>
    <n v="5.97"/>
    <n v="358.33"/>
    <n v="15.36"/>
    <d v="2026-02-07T00:00:00"/>
    <n v="38.25"/>
    <x v="1"/>
  </r>
  <r>
    <x v="591"/>
    <x v="591"/>
    <x v="5"/>
    <x v="5"/>
    <x v="591"/>
    <n v="31.89"/>
    <n v="9.94"/>
    <n v="596.66"/>
    <n v="31.18"/>
    <d v="2026-02-07T00:00:00"/>
    <n v="49.65"/>
    <x v="1"/>
  </r>
  <r>
    <x v="592"/>
    <x v="592"/>
    <x v="2"/>
    <x v="5"/>
    <x v="592"/>
    <n v="55.06"/>
    <n v="3.04"/>
    <n v="182.12"/>
    <n v="5.51"/>
    <d v="2026-02-07T00:00:00"/>
    <n v="25.23"/>
    <x v="2"/>
  </r>
  <r>
    <x v="593"/>
    <x v="593"/>
    <x v="5"/>
    <x v="5"/>
    <x v="593"/>
    <n v="38.54"/>
    <n v="2.99"/>
    <n v="179.21"/>
    <n v="7.75"/>
    <d v="2026-02-07T00:00:00"/>
    <n v="34.61"/>
    <x v="2"/>
  </r>
  <r>
    <x v="594"/>
    <x v="594"/>
    <x v="6"/>
    <x v="2"/>
    <x v="594"/>
    <n v="38.159999999999997"/>
    <n v="3.41"/>
    <n v="204.85"/>
    <n v="8.9499999999999993"/>
    <d v="2026-02-07T00:00:00"/>
    <n v="35.4"/>
    <x v="1"/>
  </r>
  <r>
    <x v="595"/>
    <x v="595"/>
    <x v="3"/>
    <x v="5"/>
    <x v="595"/>
    <n v="45.51"/>
    <n v="1.3"/>
    <n v="78.23"/>
    <n v="2.86"/>
    <d v="2026-02-07T00:00:00"/>
    <n v="28.68"/>
    <x v="1"/>
  </r>
  <r>
    <x v="596"/>
    <x v="596"/>
    <x v="5"/>
    <x v="2"/>
    <x v="596"/>
    <n v="37.92"/>
    <n v="5.18"/>
    <n v="310.56"/>
    <n v="13.65"/>
    <d v="2026-02-07T00:00:00"/>
    <n v="37.869999999999997"/>
    <x v="1"/>
  </r>
  <r>
    <x v="597"/>
    <x v="597"/>
    <x v="4"/>
    <x v="0"/>
    <x v="597"/>
    <n v="21.27"/>
    <n v="39.5"/>
    <n v="2369.9499999999998"/>
    <n v="185.7"/>
    <d v="2026-02-07T00:00:00"/>
    <n v="132.22"/>
    <x v="1"/>
  </r>
  <r>
    <x v="598"/>
    <x v="598"/>
    <x v="3"/>
    <x v="5"/>
    <x v="598"/>
    <n v="36.950000000000003"/>
    <n v="1.3"/>
    <n v="77.89"/>
    <n v="3.51"/>
    <d v="2026-02-07T00:00:00"/>
    <n v="33.28"/>
    <x v="1"/>
  </r>
  <r>
    <x v="599"/>
    <x v="599"/>
    <x v="0"/>
    <x v="5"/>
    <x v="599"/>
    <n v="43.66"/>
    <n v="2.89"/>
    <n v="173.43"/>
    <n v="6.62"/>
    <d v="2026-02-07T00:00:00"/>
    <n v="31.48"/>
    <x v="2"/>
  </r>
  <r>
    <x v="600"/>
    <x v="600"/>
    <x v="3"/>
    <x v="5"/>
    <x v="600"/>
    <n v="49.78"/>
    <n v="2.44"/>
    <n v="146.13999999999999"/>
    <n v="4.8899999999999997"/>
    <d v="2026-02-07T00:00:00"/>
    <n v="27.56"/>
    <x v="1"/>
  </r>
  <r>
    <x v="601"/>
    <x v="601"/>
    <x v="4"/>
    <x v="3"/>
    <x v="601"/>
    <n v="22.24"/>
    <n v="39.76"/>
    <n v="2385.5300000000002"/>
    <n v="178.77"/>
    <d v="2026-02-07T00:00:00"/>
    <n v="128.27000000000001"/>
    <x v="2"/>
  </r>
  <r>
    <x v="602"/>
    <x v="602"/>
    <x v="4"/>
    <x v="3"/>
    <x v="602"/>
    <n v="28"/>
    <n v="15.15"/>
    <n v="909.06"/>
    <n v="54.11"/>
    <d v="2026-02-07T00:00:00"/>
    <n v="63.06"/>
    <x v="2"/>
  </r>
  <r>
    <x v="603"/>
    <x v="603"/>
    <x v="5"/>
    <x v="0"/>
    <x v="603"/>
    <n v="33.89"/>
    <n v="5.72"/>
    <n v="343.315"/>
    <n v="10.01"/>
    <d v="2026-02-07T00:00:00"/>
    <n v="38.06"/>
    <x v="1"/>
  </r>
  <r>
    <x v="604"/>
    <x v="604"/>
    <x v="6"/>
    <x v="0"/>
    <x v="604"/>
    <n v="36.56"/>
    <n v="5.23"/>
    <n v="314.07"/>
    <n v="14.32"/>
    <d v="2026-02-07T00:00:00"/>
    <n v="38.880000000000003"/>
    <x v="1"/>
  </r>
  <r>
    <x v="605"/>
    <x v="605"/>
    <x v="6"/>
    <x v="1"/>
    <x v="605"/>
    <n v="30.63"/>
    <n v="3.66"/>
    <n v="219.5"/>
    <n v="11.94"/>
    <d v="2026-02-07T00:00:00"/>
    <n v="40.659999999999997"/>
    <x v="2"/>
  </r>
  <r>
    <x v="606"/>
    <x v="606"/>
    <x v="5"/>
    <x v="0"/>
    <x v="606"/>
    <n v="40.19"/>
    <n v="7.94"/>
    <n v="476.59"/>
    <n v="19.760000000000002"/>
    <d v="2026-02-07T00:00:00"/>
    <n v="39.79"/>
    <x v="1"/>
  </r>
  <r>
    <x v="607"/>
    <x v="607"/>
    <x v="3"/>
    <x v="2"/>
    <x v="607"/>
    <n v="42.81"/>
    <n v="1.84"/>
    <n v="110.18"/>
    <n v="4.95"/>
    <d v="2026-02-07T00:00:00"/>
    <n v="31.07"/>
    <x v="1"/>
  </r>
  <r>
    <x v="608"/>
    <x v="608"/>
    <x v="1"/>
    <x v="5"/>
    <x v="608"/>
    <n v="42.19"/>
    <n v="5.13"/>
    <n v="307.60000000000002"/>
    <n v="12.15"/>
    <d v="2026-02-07T00:00:00"/>
    <n v="34.979999999999997"/>
    <x v="2"/>
  </r>
  <r>
    <x v="609"/>
    <x v="609"/>
    <x v="5"/>
    <x v="2"/>
    <x v="609"/>
    <n v="51.6"/>
    <n v="3.53"/>
    <n v="212.06"/>
    <n v="6.85"/>
    <d v="2026-02-07T00:00:00"/>
    <n v="27.63"/>
    <x v="1"/>
  </r>
  <r>
    <x v="610"/>
    <x v="610"/>
    <x v="3"/>
    <x v="5"/>
    <x v="610"/>
    <n v="42.81"/>
    <n v="2.08"/>
    <n v="124.65"/>
    <n v="5.77"/>
    <d v="2026-02-07T00:00:00"/>
    <n v="31.48"/>
    <x v="2"/>
  </r>
  <r>
    <x v="611"/>
    <x v="611"/>
    <x v="0"/>
    <x v="1"/>
    <x v="611"/>
    <n v="35.81"/>
    <n v="3.36"/>
    <n v="201.47"/>
    <n v="9.3800000000000008"/>
    <d v="2026-02-07T00:00:00"/>
    <n v="36.79"/>
    <x v="2"/>
  </r>
  <r>
    <x v="612"/>
    <x v="612"/>
    <x v="0"/>
    <x v="5"/>
    <x v="612"/>
    <n v="53.95"/>
    <n v="2.2599999999999998"/>
    <n v="135.5"/>
    <n v="4.1900000000000004"/>
    <d v="2026-02-07T00:00:00"/>
    <n v="25.12"/>
    <x v="1"/>
  </r>
  <r>
    <x v="613"/>
    <x v="613"/>
    <x v="4"/>
    <x v="2"/>
    <x v="613"/>
    <n v="21.29"/>
    <n v="11.61"/>
    <n v="696.68"/>
    <n v="54.54"/>
    <d v="2026-02-07T00:00:00"/>
    <n v="66.63"/>
    <x v="2"/>
  </r>
  <r>
    <x v="614"/>
    <x v="614"/>
    <x v="0"/>
    <x v="0"/>
    <x v="614"/>
    <n v="36.729999999999997"/>
    <n v="8.1300000000000008"/>
    <n v="487.77"/>
    <n v="22.13"/>
    <d v="2026-02-07T00:00:00"/>
    <n v="42.7"/>
    <x v="1"/>
  </r>
  <r>
    <x v="615"/>
    <x v="615"/>
    <x v="6"/>
    <x v="2"/>
    <x v="615"/>
    <n v="51.51"/>
    <n v="5.0999999999999996"/>
    <n v="305.99"/>
    <n v="9.9"/>
    <d v="2026-02-07T00:00:00"/>
    <n v="29.2"/>
    <x v="1"/>
  </r>
  <r>
    <x v="616"/>
    <x v="616"/>
    <x v="3"/>
    <x v="2"/>
    <x v="616"/>
    <n v="37.49"/>
    <n v="2.75"/>
    <n v="164.94"/>
    <n v="7.33"/>
    <d v="2026-02-07T00:00:00"/>
    <n v="34.92"/>
    <x v="1"/>
  </r>
  <r>
    <x v="617"/>
    <x v="617"/>
    <x v="4"/>
    <x v="2"/>
    <x v="617"/>
    <n v="27.09"/>
    <n v="15.24"/>
    <n v="914.23"/>
    <n v="56.25"/>
    <d v="2026-02-07T00:00:00"/>
    <n v="64.58"/>
    <x v="1"/>
  </r>
  <r>
    <x v="618"/>
    <x v="618"/>
    <x v="6"/>
    <x v="5"/>
    <x v="618"/>
    <n v="42.02"/>
    <n v="3.09"/>
    <n v="185.49"/>
    <n v="7.36"/>
    <d v="2026-02-07T00:00:00"/>
    <n v="32.67"/>
    <x v="1"/>
  </r>
  <r>
    <x v="619"/>
    <x v="619"/>
    <x v="0"/>
    <x v="4"/>
    <x v="619"/>
    <n v="31.78"/>
    <n v="3.11"/>
    <n v="186.71"/>
    <n v="9.7899999999999991"/>
    <d v="2026-02-07T00:00:00"/>
    <n v="39.01"/>
    <x v="1"/>
  </r>
  <r>
    <x v="620"/>
    <x v="620"/>
    <x v="5"/>
    <x v="5"/>
    <x v="620"/>
    <n v="54.01"/>
    <n v="2.91"/>
    <n v="174.39"/>
    <n v="5.38"/>
    <d v="2026-02-07T00:00:00"/>
    <n v="25.69"/>
    <x v="1"/>
  </r>
  <r>
    <x v="621"/>
    <x v="621"/>
    <x v="0"/>
    <x v="2"/>
    <x v="621"/>
    <n v="42.81"/>
    <n v="9.99"/>
    <n v="599.15"/>
    <n v="17.100000000000001"/>
    <d v="2026-02-07T00:00:00"/>
    <n v="37.15"/>
    <x v="1"/>
  </r>
  <r>
    <x v="622"/>
    <x v="622"/>
    <x v="5"/>
    <x v="2"/>
    <x v="622"/>
    <n v="35.369999999999997"/>
    <n v="8.98"/>
    <n v="538.79"/>
    <n v="25.39"/>
    <d v="2026-02-07T00:00:00"/>
    <n v="45.01"/>
    <x v="2"/>
  </r>
  <r>
    <x v="623"/>
    <x v="623"/>
    <x v="3"/>
    <x v="3"/>
    <x v="623"/>
    <n v="36.28"/>
    <n v="1.37"/>
    <n v="82.48"/>
    <n v="3.79"/>
    <d v="2026-02-07T00:00:00"/>
    <n v="33.76"/>
    <x v="2"/>
  </r>
  <r>
    <x v="624"/>
    <x v="624"/>
    <x v="6"/>
    <x v="5"/>
    <x v="624"/>
    <n v="48.12"/>
    <n v="7.93"/>
    <n v="475.54"/>
    <n v="16.47"/>
    <d v="2026-02-07T00:00:00"/>
    <n v="34.18"/>
    <x v="1"/>
  </r>
  <r>
    <x v="625"/>
    <x v="625"/>
    <x v="6"/>
    <x v="1"/>
    <x v="625"/>
    <n v="36.89"/>
    <n v="4.32"/>
    <n v="259.3"/>
    <n v="11.72"/>
    <d v="2026-02-07T00:00:00"/>
    <n v="37.42"/>
    <x v="1"/>
  </r>
  <r>
    <x v="626"/>
    <x v="626"/>
    <x v="6"/>
    <x v="5"/>
    <x v="626"/>
    <n v="45.88"/>
    <n v="8.77"/>
    <n v="525.94000000000005"/>
    <n v="19.11"/>
    <d v="2026-02-07T00:00:00"/>
    <n v="36.619999999999997"/>
    <x v="2"/>
  </r>
  <r>
    <x v="627"/>
    <x v="627"/>
    <x v="1"/>
    <x v="1"/>
    <x v="627"/>
    <n v="39.56"/>
    <n v="3"/>
    <n v="180.18"/>
    <n v="7.59"/>
    <d v="2026-02-07T00:00:00"/>
    <n v="34.020000000000003"/>
    <x v="2"/>
  </r>
  <r>
    <x v="628"/>
    <x v="628"/>
    <x v="2"/>
    <x v="0"/>
    <x v="628"/>
    <n v="46.72"/>
    <n v="2.17"/>
    <n v="130.44999999999999"/>
    <n v="4.6500000000000004"/>
    <d v="2026-02-07T00:00:00"/>
    <n v="28.97"/>
    <x v="2"/>
  </r>
  <r>
    <x v="629"/>
    <x v="629"/>
    <x v="1"/>
    <x v="5"/>
    <x v="629"/>
    <n v="31.47"/>
    <n v="2.29"/>
    <n v="137.12"/>
    <n v="7.26"/>
    <d v="2026-02-07T00:00:00"/>
    <n v="37.9"/>
    <x v="1"/>
  </r>
  <r>
    <x v="630"/>
    <x v="630"/>
    <x v="3"/>
    <x v="4"/>
    <x v="630"/>
    <n v="36.869999999999997"/>
    <n v="1.44"/>
    <n v="86.42"/>
    <n v="3.91"/>
    <d v="2026-02-07T00:00:00"/>
    <n v="33.520000000000003"/>
    <x v="1"/>
  </r>
  <r>
    <x v="631"/>
    <x v="631"/>
    <x v="1"/>
    <x v="3"/>
    <x v="631"/>
    <n v="33.5"/>
    <n v="5.41"/>
    <n v="324.79000000000002"/>
    <n v="16.16"/>
    <d v="2026-02-07T00:00:00"/>
    <n v="41.33"/>
    <x v="1"/>
  </r>
  <r>
    <x v="632"/>
    <x v="632"/>
    <x v="5"/>
    <x v="1"/>
    <x v="632"/>
    <n v="40.15"/>
    <n v="7.5"/>
    <n v="450.24"/>
    <n v="18.690000000000001"/>
    <d v="2026-02-07T00:00:00"/>
    <n v="39.270000000000003"/>
    <x v="1"/>
  </r>
  <r>
    <x v="633"/>
    <x v="633"/>
    <x v="3"/>
    <x v="4"/>
    <x v="633"/>
    <n v="47.44"/>
    <n v="2.41"/>
    <n v="144.61000000000001"/>
    <n v="5.08"/>
    <d v="2026-02-07T00:00:00"/>
    <n v="28.82"/>
    <x v="1"/>
  </r>
  <r>
    <x v="634"/>
    <x v="634"/>
    <x v="5"/>
    <x v="5"/>
    <x v="634"/>
    <n v="54.17"/>
    <n v="8.7799999999999994"/>
    <n v="526.63"/>
    <n v="16.2"/>
    <d v="2026-02-07T00:00:00"/>
    <n v="31.02"/>
    <x v="1"/>
  </r>
  <r>
    <x v="635"/>
    <x v="635"/>
    <x v="6"/>
    <x v="1"/>
    <x v="635"/>
    <n v="51.92"/>
    <n v="8.43"/>
    <n v="506.03"/>
    <n v="16.239999999999998"/>
    <d v="2026-02-07T00:00:00"/>
    <n v="32.159999999999997"/>
    <x v="1"/>
  </r>
  <r>
    <x v="636"/>
    <x v="636"/>
    <x v="0"/>
    <x v="3"/>
    <x v="636"/>
    <n v="42.81"/>
    <n v="7.89"/>
    <n v="473.23"/>
    <n v="14.73"/>
    <d v="2026-02-07T00:00:00"/>
    <n v="35.96"/>
    <x v="2"/>
  </r>
  <r>
    <x v="637"/>
    <x v="637"/>
    <x v="2"/>
    <x v="1"/>
    <x v="637"/>
    <n v="36.44"/>
    <n v="9.4"/>
    <n v="563.79"/>
    <n v="25.79"/>
    <d v="2026-02-07T00:00:00"/>
    <n v="44.68"/>
    <x v="1"/>
  </r>
  <r>
    <x v="638"/>
    <x v="638"/>
    <x v="6"/>
    <x v="0"/>
    <x v="638"/>
    <n v="32.74"/>
    <n v="3.92"/>
    <n v="235.22"/>
    <n v="11.97"/>
    <d v="2026-02-07T00:00:00"/>
    <n v="39.619999999999997"/>
    <x v="1"/>
  </r>
  <r>
    <x v="639"/>
    <x v="639"/>
    <x v="3"/>
    <x v="5"/>
    <x v="639"/>
    <n v="43.96"/>
    <n v="1.79"/>
    <n v="107.52"/>
    <n v="4.08"/>
    <d v="2026-02-07T00:00:00"/>
    <n v="30.06"/>
    <x v="2"/>
  </r>
  <r>
    <x v="640"/>
    <x v="640"/>
    <x v="4"/>
    <x v="5"/>
    <x v="640"/>
    <n v="25.08"/>
    <n v="5.72"/>
    <n v="343.315"/>
    <n v="110.31"/>
    <d v="2026-02-07T00:00:00"/>
    <n v="92.62"/>
    <x v="1"/>
  </r>
  <r>
    <x v="641"/>
    <x v="641"/>
    <x v="6"/>
    <x v="4"/>
    <x v="641"/>
    <n v="49.9"/>
    <n v="9.74"/>
    <n v="584.49"/>
    <n v="19.52"/>
    <d v="2026-02-07T00:00:00"/>
    <n v="34.81"/>
    <x v="2"/>
  </r>
  <r>
    <x v="642"/>
    <x v="642"/>
    <x v="2"/>
    <x v="0"/>
    <x v="642"/>
    <n v="58.19"/>
    <n v="5.57"/>
    <n v="334.37"/>
    <n v="9.58"/>
    <d v="2026-02-07T00:00:00"/>
    <n v="25.7"/>
    <x v="2"/>
  </r>
  <r>
    <x v="643"/>
    <x v="643"/>
    <x v="4"/>
    <x v="0"/>
    <x v="643"/>
    <n v="25.15"/>
    <n v="17.05"/>
    <n v="1022.98"/>
    <n v="67.790000000000006"/>
    <d v="2026-02-07T00:00:00"/>
    <n v="71.319999999999993"/>
    <x v="1"/>
  </r>
  <r>
    <x v="644"/>
    <x v="644"/>
    <x v="0"/>
    <x v="4"/>
    <x v="644"/>
    <n v="58.16"/>
    <n v="5.27"/>
    <n v="316.43"/>
    <n v="9.07"/>
    <d v="2026-02-07T00:00:00"/>
    <n v="25.46"/>
    <x v="1"/>
  </r>
  <r>
    <x v="645"/>
    <x v="645"/>
    <x v="1"/>
    <x v="5"/>
    <x v="645"/>
    <n v="34.700000000000003"/>
    <n v="2.15"/>
    <n v="128.76"/>
    <n v="6.18"/>
    <d v="2026-02-07T00:00:00"/>
    <n v="35.74"/>
    <x v="2"/>
  </r>
  <r>
    <x v="646"/>
    <x v="646"/>
    <x v="1"/>
    <x v="1"/>
    <x v="646"/>
    <n v="53.28"/>
    <n v="3.29"/>
    <n v="197.15"/>
    <n v="6.17"/>
    <d v="2026-02-07T00:00:00"/>
    <n v="26.45"/>
    <x v="1"/>
  </r>
  <r>
    <x v="647"/>
    <x v="647"/>
    <x v="4"/>
    <x v="4"/>
    <x v="647"/>
    <n v="15.26"/>
    <n v="30.2"/>
    <n v="1811.98"/>
    <n v="197.9"/>
    <d v="2026-02-07T00:00:00"/>
    <n v="141.32"/>
    <x v="1"/>
  </r>
  <r>
    <x v="648"/>
    <x v="648"/>
    <x v="3"/>
    <x v="3"/>
    <x v="648"/>
    <n v="39.299999999999997"/>
    <n v="2.91"/>
    <n v="174.7"/>
    <n v="7.41"/>
    <d v="2026-02-07T00:00:00"/>
    <n v="34.06"/>
    <x v="1"/>
  </r>
  <r>
    <x v="649"/>
    <x v="649"/>
    <x v="5"/>
    <x v="2"/>
    <x v="649"/>
    <n v="33.869999999999997"/>
    <n v="8.5500000000000007"/>
    <n v="513.17999999999995"/>
    <n v="25.25"/>
    <d v="2026-02-07T00:00:00"/>
    <n v="45.69"/>
    <x v="1"/>
  </r>
  <r>
    <x v="650"/>
    <x v="650"/>
    <x v="6"/>
    <x v="4"/>
    <x v="650"/>
    <n v="58.27"/>
    <n v="2.75"/>
    <n v="165.07"/>
    <n v="4.72"/>
    <d v="2026-02-07T00:00:00"/>
    <n v="23.23"/>
    <x v="2"/>
  </r>
  <r>
    <x v="651"/>
    <x v="651"/>
    <x v="3"/>
    <x v="3"/>
    <x v="651"/>
    <n v="40.03"/>
    <n v="2.83"/>
    <n v="170.02"/>
    <n v="7.08"/>
    <d v="2026-02-07T00:00:00"/>
    <n v="33.53"/>
    <x v="1"/>
  </r>
  <r>
    <x v="652"/>
    <x v="652"/>
    <x v="3"/>
    <x v="3"/>
    <x v="652"/>
    <n v="49.95"/>
    <n v="2.85"/>
    <n v="170.79"/>
    <n v="5.7"/>
    <d v="2026-02-07T00:00:00"/>
    <n v="27.88"/>
    <x v="1"/>
  </r>
  <r>
    <x v="653"/>
    <x v="653"/>
    <x v="1"/>
    <x v="3"/>
    <x v="653"/>
    <n v="52.63"/>
    <n v="7.99"/>
    <n v="479.21"/>
    <n v="15.18"/>
    <d v="2026-02-07T00:00:00"/>
    <n v="31.28"/>
    <x v="1"/>
  </r>
  <r>
    <x v="654"/>
    <x v="654"/>
    <x v="1"/>
    <x v="2"/>
    <x v="654"/>
    <n v="36.770000000000003"/>
    <n v="7.71"/>
    <n v="462.59"/>
    <n v="20.97"/>
    <d v="2026-02-07T00:00:00"/>
    <n v="42.1"/>
    <x v="1"/>
  </r>
  <r>
    <x v="655"/>
    <x v="655"/>
    <x v="5"/>
    <x v="5"/>
    <x v="655"/>
    <n v="56.97"/>
    <n v="9.15"/>
    <n v="548.70000000000005"/>
    <n v="16.05"/>
    <d v="2026-02-07T00:00:00"/>
    <n v="29.54"/>
    <x v="2"/>
  </r>
  <r>
    <x v="656"/>
    <x v="656"/>
    <x v="0"/>
    <x v="5"/>
    <x v="656"/>
    <n v="44.39"/>
    <n v="7.72"/>
    <n v="462.99"/>
    <n v="17.38"/>
    <d v="2026-02-07T00:00:00"/>
    <n v="36.5"/>
    <x v="1"/>
  </r>
  <r>
    <x v="657"/>
    <x v="657"/>
    <x v="5"/>
    <x v="0"/>
    <x v="657"/>
    <n v="40.94"/>
    <n v="3.18"/>
    <n v="191.03"/>
    <n v="7.78"/>
    <d v="2026-02-07T00:00:00"/>
    <n v="33.42"/>
    <x v="1"/>
  </r>
  <r>
    <x v="658"/>
    <x v="658"/>
    <x v="2"/>
    <x v="3"/>
    <x v="658"/>
    <n v="46.06"/>
    <n v="7.44"/>
    <n v="446.33"/>
    <n v="16.149999999999999"/>
    <d v="2026-02-07T00:00:00"/>
    <n v="35.049999999999997"/>
    <x v="2"/>
  </r>
  <r>
    <x v="659"/>
    <x v="659"/>
    <x v="5"/>
    <x v="2"/>
    <x v="659"/>
    <n v="35.49"/>
    <n v="3.97"/>
    <n v="237.96"/>
    <n v="11.17"/>
    <d v="2026-02-07T00:00:00"/>
    <n v="37.840000000000003"/>
    <x v="2"/>
  </r>
  <r>
    <x v="660"/>
    <x v="660"/>
    <x v="1"/>
    <x v="5"/>
    <x v="660"/>
    <n v="39.229999999999997"/>
    <n v="8.5500000000000007"/>
    <n v="512.95000000000005"/>
    <n v="21.79"/>
    <d v="2026-02-07T00:00:00"/>
    <n v="41.28"/>
    <x v="2"/>
  </r>
  <r>
    <x v="661"/>
    <x v="661"/>
    <x v="1"/>
    <x v="3"/>
    <x v="661"/>
    <n v="59.73"/>
    <n v="2.2599999999999998"/>
    <n v="135.65"/>
    <n v="3.79"/>
    <d v="2026-02-07T00:00:00"/>
    <n v="22.03"/>
    <x v="1"/>
  </r>
  <r>
    <x v="662"/>
    <x v="662"/>
    <x v="4"/>
    <x v="5"/>
    <x v="662"/>
    <n v="21.59"/>
    <n v="14.15"/>
    <n v="848.87"/>
    <n v="65.53"/>
    <d v="2026-02-07T00:00:00"/>
    <n v="71.97"/>
    <x v="2"/>
  </r>
  <r>
    <x v="663"/>
    <x v="663"/>
    <x v="5"/>
    <x v="0"/>
    <x v="663"/>
    <n v="38.380000000000003"/>
    <n v="8.5399999999999991"/>
    <n v="512.29999999999995"/>
    <n v="22.25"/>
    <d v="2026-02-07T00:00:00"/>
    <n v="41.94"/>
    <x v="1"/>
  </r>
  <r>
    <x v="664"/>
    <x v="664"/>
    <x v="6"/>
    <x v="4"/>
    <x v="664"/>
    <n v="43.84"/>
    <n v="6.34"/>
    <n v="380.18"/>
    <n v="14.45"/>
    <d v="2026-02-07T00:00:00"/>
    <n v="35.31"/>
    <x v="1"/>
  </r>
  <r>
    <x v="665"/>
    <x v="665"/>
    <x v="0"/>
    <x v="2"/>
    <x v="665"/>
    <n v="40.909999999999997"/>
    <n v="6.73"/>
    <n v="404.05"/>
    <n v="16.46"/>
    <d v="2026-02-07T00:00:00"/>
    <n v="37.78"/>
    <x v="1"/>
  </r>
  <r>
    <x v="666"/>
    <x v="666"/>
    <x v="1"/>
    <x v="2"/>
    <x v="666"/>
    <n v="46.72"/>
    <n v="5.72"/>
    <n v="343.315"/>
    <n v="20.93"/>
    <d v="2026-02-07T00:00:00"/>
    <n v="37.11"/>
    <x v="1"/>
  </r>
  <r>
    <x v="667"/>
    <x v="667"/>
    <x v="1"/>
    <x v="0"/>
    <x v="667"/>
    <n v="47.12"/>
    <n v="2.34"/>
    <n v="140.19"/>
    <n v="4.96"/>
    <d v="2026-02-07T00:00:00"/>
    <n v="28.92"/>
    <x v="1"/>
  </r>
  <r>
    <x v="668"/>
    <x v="668"/>
    <x v="1"/>
    <x v="5"/>
    <x v="668"/>
    <n v="41.99"/>
    <n v="2.5"/>
    <n v="149.72"/>
    <n v="5.94"/>
    <d v="2026-02-07T00:00:00"/>
    <n v="31.98"/>
    <x v="1"/>
  </r>
  <r>
    <x v="669"/>
    <x v="669"/>
    <x v="6"/>
    <x v="1"/>
    <x v="669"/>
    <n v="46.66"/>
    <n v="3.56"/>
    <n v="213.4"/>
    <n v="7.62"/>
    <d v="2026-02-07T00:00:00"/>
    <n v="30.48"/>
    <x v="2"/>
  </r>
  <r>
    <x v="670"/>
    <x v="670"/>
    <x v="1"/>
    <x v="4"/>
    <x v="670"/>
    <n v="43.9"/>
    <n v="5.72"/>
    <n v="343.315"/>
    <n v="17.22"/>
    <d v="2026-02-07T00:00:00"/>
    <n v="36.659999999999997"/>
    <x v="2"/>
  </r>
  <r>
    <x v="671"/>
    <x v="671"/>
    <x v="0"/>
    <x v="4"/>
    <x v="671"/>
    <n v="43.09"/>
    <n v="3.26"/>
    <n v="195.54"/>
    <n v="7.56"/>
    <d v="2026-02-07T00:00:00"/>
    <n v="32.24"/>
    <x v="2"/>
  </r>
  <r>
    <x v="672"/>
    <x v="672"/>
    <x v="2"/>
    <x v="0"/>
    <x v="672"/>
    <n v="49.05"/>
    <n v="2.61"/>
    <n v="156.69999999999999"/>
    <n v="5.32"/>
    <d v="2026-02-07T00:00:00"/>
    <n v="28.14"/>
    <x v="1"/>
  </r>
  <r>
    <x v="673"/>
    <x v="673"/>
    <x v="2"/>
    <x v="4"/>
    <x v="673"/>
    <n v="40.32"/>
    <n v="5.72"/>
    <n v="343.315"/>
    <n v="5.31"/>
    <d v="2026-02-07T00:00:00"/>
    <n v="32.5"/>
    <x v="1"/>
  </r>
  <r>
    <x v="674"/>
    <x v="674"/>
    <x v="3"/>
    <x v="1"/>
    <x v="674"/>
    <n v="40.590000000000003"/>
    <n v="1.51"/>
    <n v="90.85"/>
    <n v="3.73"/>
    <d v="2026-02-07T00:00:00"/>
    <n v="31.57"/>
    <x v="1"/>
  </r>
  <r>
    <x v="675"/>
    <x v="675"/>
    <x v="1"/>
    <x v="2"/>
    <x v="675"/>
    <n v="37.15"/>
    <n v="8.2100000000000009"/>
    <n v="492.87"/>
    <n v="22.11"/>
    <d v="2026-02-07T00:00:00"/>
    <n v="42.48"/>
    <x v="2"/>
  </r>
  <r>
    <x v="676"/>
    <x v="676"/>
    <x v="6"/>
    <x v="0"/>
    <x v="676"/>
    <n v="32.89"/>
    <n v="2.9"/>
    <n v="173.88"/>
    <n v="8.81"/>
    <d v="2026-02-07T00:00:00"/>
    <n v="37.96"/>
    <x v="1"/>
  </r>
  <r>
    <x v="677"/>
    <x v="677"/>
    <x v="3"/>
    <x v="4"/>
    <x v="677"/>
    <n v="44.44"/>
    <n v="2.68"/>
    <n v="160.5"/>
    <n v="6.02"/>
    <d v="2026-02-07T00:00:00"/>
    <n v="30.79"/>
    <x v="2"/>
  </r>
  <r>
    <x v="678"/>
    <x v="678"/>
    <x v="1"/>
    <x v="1"/>
    <x v="678"/>
    <n v="51.96"/>
    <n v="6.02"/>
    <n v="361.35"/>
    <n v="11.59"/>
    <d v="2026-02-07T00:00:00"/>
    <n v="29.82"/>
    <x v="2"/>
  </r>
  <r>
    <x v="679"/>
    <x v="679"/>
    <x v="0"/>
    <x v="5"/>
    <x v="679"/>
    <n v="42.81"/>
    <n v="6.54"/>
    <n v="392.5"/>
    <n v="12.65"/>
    <d v="2026-02-07T00:00:00"/>
    <n v="34.92"/>
    <x v="1"/>
  </r>
  <r>
    <x v="680"/>
    <x v="680"/>
    <x v="5"/>
    <x v="1"/>
    <x v="680"/>
    <n v="47.87"/>
    <n v="2.77"/>
    <n v="166.2"/>
    <n v="5.79"/>
    <d v="2026-02-07T00:00:00"/>
    <n v="28.96"/>
    <x v="1"/>
  </r>
  <r>
    <x v="681"/>
    <x v="681"/>
    <x v="1"/>
    <x v="0"/>
    <x v="681"/>
    <n v="53.83"/>
    <n v="3.41"/>
    <n v="204.56"/>
    <n v="6.33"/>
    <d v="2026-02-07T00:00:00"/>
    <n v="26.25"/>
    <x v="1"/>
  </r>
  <r>
    <x v="682"/>
    <x v="682"/>
    <x v="1"/>
    <x v="4"/>
    <x v="682"/>
    <n v="53.59"/>
    <n v="5.28"/>
    <n v="316.94"/>
    <n v="9.86"/>
    <d v="2026-02-07T00:00:00"/>
    <n v="28.14"/>
    <x v="1"/>
  </r>
  <r>
    <x v="683"/>
    <x v="683"/>
    <x v="3"/>
    <x v="3"/>
    <x v="683"/>
    <n v="29.42"/>
    <n v="12.59"/>
    <n v="755.59"/>
    <n v="42.8"/>
    <d v="2026-02-07T00:00:00"/>
    <n v="56.69"/>
    <x v="1"/>
  </r>
  <r>
    <x v="684"/>
    <x v="684"/>
    <x v="6"/>
    <x v="4"/>
    <x v="684"/>
    <n v="32.799999999999997"/>
    <n v="6.76"/>
    <n v="405.57"/>
    <n v="20.61"/>
    <d v="2026-02-07T00:00:00"/>
    <n v="43.91"/>
    <x v="1"/>
  </r>
  <r>
    <x v="685"/>
    <x v="685"/>
    <x v="4"/>
    <x v="5"/>
    <x v="685"/>
    <n v="16.43"/>
    <n v="23.62"/>
    <n v="1417.24"/>
    <n v="143.77000000000001"/>
    <d v="2026-02-07T00:00:00"/>
    <n v="113.67"/>
    <x v="1"/>
  </r>
  <r>
    <x v="686"/>
    <x v="686"/>
    <x v="6"/>
    <x v="5"/>
    <x v="686"/>
    <n v="36.880000000000003"/>
    <n v="8.6999999999999993"/>
    <n v="521.73"/>
    <n v="23.58"/>
    <d v="2026-02-07T00:00:00"/>
    <n v="43.35"/>
    <x v="1"/>
  </r>
  <r>
    <x v="687"/>
    <x v="687"/>
    <x v="1"/>
    <x v="2"/>
    <x v="687"/>
    <n v="49.27"/>
    <n v="2.37"/>
    <n v="142.18"/>
    <n v="4.8099999999999996"/>
    <d v="2026-02-07T00:00:00"/>
    <n v="27.77"/>
    <x v="2"/>
  </r>
  <r>
    <x v="688"/>
    <x v="688"/>
    <x v="5"/>
    <x v="1"/>
    <x v="688"/>
    <n v="54.91"/>
    <n v="3.52"/>
    <n v="211.27"/>
    <n v="6.41"/>
    <d v="2026-02-07T00:00:00"/>
    <n v="25.75"/>
    <x v="2"/>
  </r>
  <r>
    <x v="689"/>
    <x v="689"/>
    <x v="0"/>
    <x v="0"/>
    <x v="689"/>
    <n v="49.39"/>
    <n v="2.3199999999999998"/>
    <n v="139.18"/>
    <n v="4.7"/>
    <d v="2026-02-07T00:00:00"/>
    <n v="27.66"/>
    <x v="2"/>
  </r>
  <r>
    <x v="690"/>
    <x v="690"/>
    <x v="0"/>
    <x v="0"/>
    <x v="690"/>
    <n v="56.34"/>
    <n v="2.91"/>
    <n v="174.51"/>
    <n v="5.16"/>
    <d v="2026-02-07T00:00:00"/>
    <n v="24.41"/>
    <x v="2"/>
  </r>
  <r>
    <x v="691"/>
    <x v="691"/>
    <x v="2"/>
    <x v="3"/>
    <x v="691"/>
    <n v="52.75"/>
    <n v="2.0099999999999998"/>
    <n v="120.69"/>
    <n v="3.81"/>
    <d v="2026-02-07T00:00:00"/>
    <n v="25.53"/>
    <x v="1"/>
  </r>
  <r>
    <x v="692"/>
    <x v="692"/>
    <x v="2"/>
    <x v="5"/>
    <x v="692"/>
    <n v="30.03"/>
    <n v="6.49"/>
    <n v="389.55"/>
    <n v="21.62"/>
    <d v="2026-02-07T00:00:00"/>
    <n v="45.8"/>
    <x v="1"/>
  </r>
  <r>
    <x v="693"/>
    <x v="693"/>
    <x v="5"/>
    <x v="3"/>
    <x v="693"/>
    <n v="34.380000000000003"/>
    <n v="3.54"/>
    <n v="212.33"/>
    <n v="10.29"/>
    <d v="2026-02-07T00:00:00"/>
    <n v="37.96"/>
    <x v="1"/>
  </r>
  <r>
    <x v="694"/>
    <x v="694"/>
    <x v="6"/>
    <x v="0"/>
    <x v="694"/>
    <n v="48.77"/>
    <n v="8.9600000000000009"/>
    <n v="537.36"/>
    <n v="18.36"/>
    <d v="2026-02-07T00:00:00"/>
    <n v="34.799999999999997"/>
    <x v="1"/>
  </r>
  <r>
    <x v="695"/>
    <x v="695"/>
    <x v="1"/>
    <x v="1"/>
    <x v="695"/>
    <n v="59.18"/>
    <n v="3.11"/>
    <n v="186.43"/>
    <n v="5.25"/>
    <d v="2026-02-07T00:00:00"/>
    <n v="23.04"/>
    <x v="1"/>
  </r>
  <r>
    <x v="696"/>
    <x v="696"/>
    <x v="5"/>
    <x v="0"/>
    <x v="696"/>
    <n v="32.950000000000003"/>
    <n v="2.21"/>
    <n v="132.63"/>
    <n v="6.71"/>
    <d v="2026-02-07T00:00:00"/>
    <n v="36.880000000000003"/>
    <x v="2"/>
  </r>
  <r>
    <x v="697"/>
    <x v="697"/>
    <x v="6"/>
    <x v="4"/>
    <x v="697"/>
    <n v="41.68"/>
    <n v="3.94"/>
    <n v="236.57"/>
    <n v="9.4600000000000009"/>
    <d v="2026-02-07T00:00:00"/>
    <n v="33.89"/>
    <x v="1"/>
  </r>
  <r>
    <x v="698"/>
    <x v="698"/>
    <x v="6"/>
    <x v="0"/>
    <x v="698"/>
    <n v="47.55"/>
    <n v="8.15"/>
    <n v="488.95"/>
    <n v="17.14"/>
    <d v="2026-02-07T00:00:00"/>
    <n v="34.799999999999997"/>
    <x v="2"/>
  </r>
  <r>
    <x v="699"/>
    <x v="699"/>
    <x v="6"/>
    <x v="5"/>
    <x v="699"/>
    <n v="55.95"/>
    <n v="5.22"/>
    <n v="313.27"/>
    <n v="9.33"/>
    <d v="2026-02-07T00:00:00"/>
    <n v="26.69"/>
    <x v="1"/>
  </r>
  <r>
    <x v="700"/>
    <x v="700"/>
    <x v="6"/>
    <x v="1"/>
    <x v="700"/>
    <n v="48.05"/>
    <n v="8.8699999999999992"/>
    <n v="532.34"/>
    <n v="18.46"/>
    <d v="2026-02-07T00:00:00"/>
    <n v="35.21"/>
    <x v="2"/>
  </r>
  <r>
    <x v="701"/>
    <x v="701"/>
    <x v="1"/>
    <x v="3"/>
    <x v="701"/>
    <n v="49.69"/>
    <n v="8.32"/>
    <n v="499.15"/>
    <n v="16.739999999999998"/>
    <d v="2026-02-07T00:00:00"/>
    <n v="33.53"/>
    <x v="1"/>
  </r>
  <r>
    <x v="702"/>
    <x v="702"/>
    <x v="4"/>
    <x v="2"/>
    <x v="702"/>
    <n v="28.96"/>
    <n v="34.369999999999997"/>
    <n v="2062.04"/>
    <n v="118.67"/>
    <d v="2026-02-07T00:00:00"/>
    <n v="94.86"/>
    <x v="1"/>
  </r>
  <r>
    <x v="703"/>
    <x v="703"/>
    <x v="2"/>
    <x v="0"/>
    <x v="703"/>
    <n v="32.54"/>
    <n v="9.4600000000000009"/>
    <n v="567.64"/>
    <n v="29.07"/>
    <d v="2026-02-07T00:00:00"/>
    <n v="48.27"/>
    <x v="1"/>
  </r>
  <r>
    <x v="704"/>
    <x v="704"/>
    <x v="0"/>
    <x v="5"/>
    <x v="704"/>
    <n v="49.41"/>
    <n v="2.2400000000000002"/>
    <n v="134.69"/>
    <n v="4.54"/>
    <d v="2026-02-07T00:00:00"/>
    <n v="27.57"/>
    <x v="1"/>
  </r>
  <r>
    <x v="705"/>
    <x v="705"/>
    <x v="3"/>
    <x v="5"/>
    <x v="705"/>
    <n v="46.04"/>
    <n v="2.71"/>
    <n v="162.76"/>
    <n v="5.89"/>
    <d v="2026-02-07T00:00:00"/>
    <n v="29.93"/>
    <x v="2"/>
  </r>
  <r>
    <x v="706"/>
    <x v="706"/>
    <x v="4"/>
    <x v="4"/>
    <x v="706"/>
    <n v="42.81"/>
    <n v="36.520000000000003"/>
    <n v="2191.44"/>
    <n v="172.61"/>
    <d v="2026-02-07T00:00:00"/>
    <n v="114.9"/>
    <x v="1"/>
  </r>
  <r>
    <x v="707"/>
    <x v="707"/>
    <x v="0"/>
    <x v="0"/>
    <x v="707"/>
    <n v="56.02"/>
    <n v="6.81"/>
    <n v="408.86"/>
    <n v="12.16"/>
    <d v="2026-02-07T00:00:00"/>
    <n v="28.07"/>
    <x v="2"/>
  </r>
  <r>
    <x v="708"/>
    <x v="708"/>
    <x v="3"/>
    <x v="2"/>
    <x v="708"/>
    <n v="37.76"/>
    <n v="2.54"/>
    <n v="152.29"/>
    <n v="6.72"/>
    <d v="2026-02-07T00:00:00"/>
    <n v="34.479999999999997"/>
    <x v="2"/>
  </r>
  <r>
    <x v="709"/>
    <x v="709"/>
    <x v="5"/>
    <x v="1"/>
    <x v="709"/>
    <n v="55.93"/>
    <n v="4.38"/>
    <n v="262.51"/>
    <n v="7.82"/>
    <d v="2026-02-07T00:00:00"/>
    <n v="25.95"/>
    <x v="1"/>
  </r>
  <r>
    <x v="710"/>
    <x v="710"/>
    <x v="6"/>
    <x v="3"/>
    <x v="710"/>
    <n v="55.27"/>
    <n v="3.89"/>
    <n v="233.25"/>
    <n v="7.03"/>
    <d v="2026-02-07T00:00:00"/>
    <n v="25.88"/>
    <x v="1"/>
  </r>
  <r>
    <x v="711"/>
    <x v="711"/>
    <x v="3"/>
    <x v="1"/>
    <x v="711"/>
    <n v="47.33"/>
    <n v="1.84"/>
    <n v="110.3"/>
    <n v="3.88"/>
    <d v="2026-02-07T00:00:00"/>
    <n v="28.28"/>
    <x v="2"/>
  </r>
  <r>
    <x v="712"/>
    <x v="712"/>
    <x v="2"/>
    <x v="4"/>
    <x v="712"/>
    <n v="42.81"/>
    <n v="2.81"/>
    <n v="168.43"/>
    <n v="9.0500000000000007"/>
    <d v="2026-02-07T00:00:00"/>
    <n v="33.119999999999997"/>
    <x v="2"/>
  </r>
  <r>
    <x v="713"/>
    <x v="713"/>
    <x v="3"/>
    <x v="3"/>
    <x v="713"/>
    <n v="35.659999999999997"/>
    <n v="1.24"/>
    <n v="74.12"/>
    <n v="3.46"/>
    <d v="2026-02-07T00:00:00"/>
    <n v="33.9"/>
    <x v="1"/>
  </r>
  <r>
    <x v="714"/>
    <x v="714"/>
    <x v="1"/>
    <x v="5"/>
    <x v="714"/>
    <n v="31.61"/>
    <n v="4.99"/>
    <n v="299.5"/>
    <n v="15.79"/>
    <d v="2026-02-07T00:00:00"/>
    <n v="42.09"/>
    <x v="1"/>
  </r>
  <r>
    <x v="715"/>
    <x v="715"/>
    <x v="6"/>
    <x v="2"/>
    <x v="715"/>
    <n v="45.62"/>
    <n v="7.69"/>
    <n v="461.3"/>
    <n v="16.850000000000001"/>
    <d v="2026-02-07T00:00:00"/>
    <n v="35.619999999999997"/>
    <x v="2"/>
  </r>
  <r>
    <x v="716"/>
    <x v="716"/>
    <x v="1"/>
    <x v="4"/>
    <x v="716"/>
    <n v="55.76"/>
    <n v="4.3600000000000003"/>
    <n v="261.88"/>
    <n v="7.83"/>
    <d v="2026-02-07T00:00:00"/>
    <n v="26.04"/>
    <x v="1"/>
  </r>
  <r>
    <x v="717"/>
    <x v="717"/>
    <x v="2"/>
    <x v="4"/>
    <x v="717"/>
    <n v="46.2"/>
    <n v="3.73"/>
    <n v="223.98"/>
    <n v="8.08"/>
    <d v="2026-02-07T00:00:00"/>
    <n v="30.94"/>
    <x v="2"/>
  </r>
  <r>
    <x v="718"/>
    <x v="718"/>
    <x v="3"/>
    <x v="5"/>
    <x v="718"/>
    <n v="36.56"/>
    <n v="2.92"/>
    <n v="175.45"/>
    <n v="8"/>
    <d v="2026-02-07T00:00:00"/>
    <n v="35.72"/>
    <x v="1"/>
  </r>
  <r>
    <x v="719"/>
    <x v="719"/>
    <x v="4"/>
    <x v="4"/>
    <x v="719"/>
    <n v="18.3"/>
    <n v="15.5"/>
    <n v="929.91"/>
    <n v="84.69"/>
    <d v="2026-02-07T00:00:00"/>
    <n v="83.2"/>
    <x v="1"/>
  </r>
  <r>
    <x v="720"/>
    <x v="720"/>
    <x v="6"/>
    <x v="2"/>
    <x v="720"/>
    <n v="50.13"/>
    <n v="8.07"/>
    <n v="484"/>
    <n v="16.09"/>
    <d v="2026-02-07T00:00:00"/>
    <n v="32.979999999999997"/>
    <x v="2"/>
  </r>
  <r>
    <x v="721"/>
    <x v="721"/>
    <x v="1"/>
    <x v="3"/>
    <x v="721"/>
    <n v="57.17"/>
    <n v="4.1900000000000004"/>
    <n v="251.18"/>
    <n v="7.32"/>
    <d v="2026-02-07T00:00:00"/>
    <n v="25.08"/>
    <x v="1"/>
  </r>
  <r>
    <x v="722"/>
    <x v="722"/>
    <x v="5"/>
    <x v="2"/>
    <x v="722"/>
    <n v="32.880000000000003"/>
    <n v="5.72"/>
    <n v="343.315"/>
    <n v="15.36"/>
    <d v="2026-02-07T00:00:00"/>
    <n v="41.24"/>
    <x v="2"/>
  </r>
  <r>
    <x v="723"/>
    <x v="723"/>
    <x v="5"/>
    <x v="3"/>
    <x v="723"/>
    <n v="49.47"/>
    <n v="2.6"/>
    <n v="156.01"/>
    <n v="5.26"/>
    <d v="2026-02-07T00:00:00"/>
    <n v="27.9"/>
    <x v="2"/>
  </r>
  <r>
    <x v="724"/>
    <x v="724"/>
    <x v="6"/>
    <x v="0"/>
    <x v="724"/>
    <n v="47.86"/>
    <n v="4.45"/>
    <n v="267.16000000000003"/>
    <n v="9.3000000000000007"/>
    <d v="2026-02-07T00:00:00"/>
    <n v="30.72"/>
    <x v="1"/>
  </r>
  <r>
    <x v="725"/>
    <x v="725"/>
    <x v="3"/>
    <x v="4"/>
    <x v="725"/>
    <n v="37.36"/>
    <n v="1.96"/>
    <n v="117.39"/>
    <n v="5.24"/>
    <d v="2026-02-07T00:00:00"/>
    <n v="33.94"/>
    <x v="1"/>
  </r>
  <r>
    <x v="726"/>
    <x v="726"/>
    <x v="1"/>
    <x v="0"/>
    <x v="726"/>
    <n v="52.82"/>
    <n v="6.58"/>
    <n v="395.01"/>
    <n v="12.46"/>
    <d v="2026-02-07T00:00:00"/>
    <n v="29.82"/>
    <x v="2"/>
  </r>
  <r>
    <x v="727"/>
    <x v="727"/>
    <x v="3"/>
    <x v="3"/>
    <x v="727"/>
    <n v="38.700000000000003"/>
    <n v="2.8"/>
    <n v="167.8"/>
    <n v="7.23"/>
    <d v="2026-02-07T00:00:00"/>
    <n v="34.270000000000003"/>
    <x v="1"/>
  </r>
  <r>
    <x v="728"/>
    <x v="728"/>
    <x v="5"/>
    <x v="0"/>
    <x v="728"/>
    <n v="51.7"/>
    <n v="9.9700000000000006"/>
    <n v="598.30999999999995"/>
    <n v="19.29"/>
    <d v="2026-02-07T00:00:00"/>
    <n v="33.799999999999997"/>
    <x v="1"/>
  </r>
  <r>
    <x v="729"/>
    <x v="729"/>
    <x v="5"/>
    <x v="1"/>
    <x v="729"/>
    <n v="45.75"/>
    <n v="5.72"/>
    <n v="343.315"/>
    <n v="11.41"/>
    <d v="2026-02-07T00:00:00"/>
    <n v="32.83"/>
    <x v="2"/>
  </r>
  <r>
    <x v="730"/>
    <x v="730"/>
    <x v="1"/>
    <x v="3"/>
    <x v="730"/>
    <n v="52.54"/>
    <n v="7.39"/>
    <n v="443.44"/>
    <n v="14.07"/>
    <d v="2026-02-07T00:00:00"/>
    <n v="30.77"/>
    <x v="1"/>
  </r>
  <r>
    <x v="731"/>
    <x v="731"/>
    <x v="2"/>
    <x v="2"/>
    <x v="731"/>
    <n v="56.17"/>
    <n v="4.46"/>
    <n v="267.58999999999997"/>
    <n v="7.94"/>
    <d v="2026-02-07T00:00:00"/>
    <n v="25.89"/>
    <x v="2"/>
  </r>
  <r>
    <x v="732"/>
    <x v="732"/>
    <x v="1"/>
    <x v="5"/>
    <x v="732"/>
    <n v="46.45"/>
    <n v="8.93"/>
    <n v="535.72"/>
    <n v="19.22"/>
    <d v="2026-02-07T00:00:00"/>
    <n v="36.39"/>
    <x v="1"/>
  </r>
  <r>
    <x v="733"/>
    <x v="733"/>
    <x v="0"/>
    <x v="2"/>
    <x v="733"/>
    <n v="43.67"/>
    <n v="9.65"/>
    <n v="578.83000000000004"/>
    <n v="22.09"/>
    <d v="2026-02-07T00:00:00"/>
    <n v="39.21"/>
    <x v="1"/>
  </r>
  <r>
    <x v="734"/>
    <x v="734"/>
    <x v="0"/>
    <x v="2"/>
    <x v="734"/>
    <n v="38.4"/>
    <n v="6.27"/>
    <n v="376.3"/>
    <n v="16.329999999999998"/>
    <d v="2026-02-07T00:00:00"/>
    <n v="38.97"/>
    <x v="2"/>
  </r>
  <r>
    <x v="735"/>
    <x v="735"/>
    <x v="4"/>
    <x v="3"/>
    <x v="735"/>
    <n v="17.82"/>
    <n v="28.73"/>
    <n v="1723.71"/>
    <n v="161.21"/>
    <d v="2026-02-07T00:00:00"/>
    <n v="121.7"/>
    <x v="1"/>
  </r>
  <r>
    <x v="736"/>
    <x v="736"/>
    <x v="4"/>
    <x v="3"/>
    <x v="736"/>
    <n v="42.81"/>
    <n v="24.25"/>
    <n v="1454.82"/>
    <n v="116.91"/>
    <d v="2026-02-07T00:00:00"/>
    <n v="87.05"/>
    <x v="2"/>
  </r>
  <r>
    <x v="737"/>
    <x v="737"/>
    <x v="6"/>
    <x v="2"/>
    <x v="737"/>
    <n v="42.92"/>
    <n v="7.19"/>
    <n v="431.52"/>
    <n v="16.760000000000002"/>
    <d v="2026-02-07T00:00:00"/>
    <n v="36.92"/>
    <x v="2"/>
  </r>
  <r>
    <x v="738"/>
    <x v="738"/>
    <x v="6"/>
    <x v="2"/>
    <x v="738"/>
    <n v="35.799999999999997"/>
    <n v="7.2"/>
    <n v="432.04"/>
    <n v="20.11"/>
    <d v="2026-02-07T00:00:00"/>
    <n v="42.16"/>
    <x v="2"/>
  </r>
  <r>
    <x v="739"/>
    <x v="739"/>
    <x v="1"/>
    <x v="5"/>
    <x v="739"/>
    <n v="52.54"/>
    <n v="5.17"/>
    <n v="309.94"/>
    <n v="9.83"/>
    <d v="2026-02-07T00:00:00"/>
    <n v="28.65"/>
    <x v="2"/>
  </r>
  <r>
    <x v="740"/>
    <x v="740"/>
    <x v="5"/>
    <x v="0"/>
    <x v="740"/>
    <n v="43.98"/>
    <n v="4.49"/>
    <n v="269.31"/>
    <n v="10.210000000000001"/>
    <d v="2026-02-07T00:00:00"/>
    <n v="33.119999999999997"/>
    <x v="2"/>
  </r>
  <r>
    <x v="741"/>
    <x v="741"/>
    <x v="3"/>
    <x v="4"/>
    <x v="741"/>
    <n v="42.81"/>
    <n v="1.92"/>
    <n v="115.27"/>
    <n v="4.24"/>
    <d v="2026-02-07T00:00:00"/>
    <n v="30.72"/>
    <x v="2"/>
  </r>
  <r>
    <x v="742"/>
    <x v="742"/>
    <x v="6"/>
    <x v="5"/>
    <x v="742"/>
    <n v="47.13"/>
    <n v="7.83"/>
    <n v="469.72"/>
    <n v="16.61"/>
    <d v="2026-02-07T00:00:00"/>
    <n v="34.74"/>
    <x v="1"/>
  </r>
  <r>
    <x v="743"/>
    <x v="743"/>
    <x v="2"/>
    <x v="5"/>
    <x v="743"/>
    <n v="54.15"/>
    <n v="4.41"/>
    <n v="264.33999999999997"/>
    <n v="8.14"/>
    <d v="2026-02-07T00:00:00"/>
    <n v="27"/>
    <x v="2"/>
  </r>
  <r>
    <x v="744"/>
    <x v="744"/>
    <x v="1"/>
    <x v="3"/>
    <x v="744"/>
    <n v="50.18"/>
    <n v="9.0299999999999994"/>
    <n v="541.9"/>
    <n v="18"/>
    <d v="2026-02-07T00:00:00"/>
    <n v="33.909999999999997"/>
    <x v="1"/>
  </r>
  <r>
    <x v="745"/>
    <x v="745"/>
    <x v="3"/>
    <x v="5"/>
    <x v="745"/>
    <n v="56.39"/>
    <n v="7.73"/>
    <n v="463.52"/>
    <n v="13.7"/>
    <d v="2026-02-07T00:00:00"/>
    <n v="28.66"/>
    <x v="2"/>
  </r>
  <r>
    <x v="746"/>
    <x v="746"/>
    <x v="4"/>
    <x v="1"/>
    <x v="746"/>
    <n v="19.510000000000002"/>
    <n v="36.54"/>
    <n v="2192.2399999999998"/>
    <n v="187.27"/>
    <d v="2026-02-07T00:00:00"/>
    <n v="133.88"/>
    <x v="2"/>
  </r>
  <r>
    <x v="747"/>
    <x v="747"/>
    <x v="0"/>
    <x v="4"/>
    <x v="747"/>
    <n v="44.29"/>
    <n v="7.83"/>
    <n v="469.89"/>
    <n v="17.68"/>
    <d v="2026-02-07T00:00:00"/>
    <n v="36.700000000000003"/>
    <x v="2"/>
  </r>
  <r>
    <x v="748"/>
    <x v="748"/>
    <x v="2"/>
    <x v="5"/>
    <x v="748"/>
    <n v="59.65"/>
    <n v="8.06"/>
    <n v="483.57"/>
    <n v="13.51"/>
    <d v="2026-02-07T00:00:00"/>
    <n v="26.93"/>
    <x v="1"/>
  </r>
  <r>
    <x v="749"/>
    <x v="749"/>
    <x v="6"/>
    <x v="4"/>
    <x v="749"/>
    <n v="31.65"/>
    <n v="8.92"/>
    <n v="534.91999999999996"/>
    <n v="28.17"/>
    <d v="2026-02-07T00:00:00"/>
    <n v="48.26"/>
    <x v="1"/>
  </r>
  <r>
    <x v="750"/>
    <x v="750"/>
    <x v="1"/>
    <x v="4"/>
    <x v="750"/>
    <n v="56.93"/>
    <n v="4.91"/>
    <n v="294.43"/>
    <n v="8.6199999999999992"/>
    <d v="2026-02-07T00:00:00"/>
    <n v="25.85"/>
    <x v="2"/>
  </r>
  <r>
    <x v="751"/>
    <x v="751"/>
    <x v="1"/>
    <x v="2"/>
    <x v="751"/>
    <n v="53.98"/>
    <n v="2.1800000000000002"/>
    <n v="130.9"/>
    <n v="4.04"/>
    <d v="2026-02-07T00:00:00"/>
    <n v="25.03"/>
    <x v="1"/>
  </r>
  <r>
    <x v="752"/>
    <x v="752"/>
    <x v="2"/>
    <x v="3"/>
    <x v="752"/>
    <n v="53.78"/>
    <n v="2.1800000000000002"/>
    <n v="131"/>
    <n v="4.0599999999999996"/>
    <d v="2026-02-07T00:00:00"/>
    <n v="25.14"/>
    <x v="2"/>
  </r>
  <r>
    <x v="753"/>
    <x v="753"/>
    <x v="3"/>
    <x v="0"/>
    <x v="753"/>
    <n v="18.920000000000002"/>
    <n v="25.76"/>
    <n v="1545.85"/>
    <n v="136.16999999999999"/>
    <d v="2026-02-07T00:00:00"/>
    <n v="108.63"/>
    <x v="1"/>
  </r>
  <r>
    <x v="754"/>
    <x v="754"/>
    <x v="0"/>
    <x v="1"/>
    <x v="754"/>
    <n v="54.91"/>
    <n v="8.86"/>
    <n v="531.67999999999995"/>
    <n v="16.14"/>
    <d v="2026-02-07T00:00:00"/>
    <n v="30.62"/>
    <x v="1"/>
  </r>
  <r>
    <x v="755"/>
    <x v="755"/>
    <x v="2"/>
    <x v="5"/>
    <x v="755"/>
    <n v="51.45"/>
    <n v="3.72"/>
    <n v="223.33"/>
    <n v="7.23"/>
    <d v="2026-02-07T00:00:00"/>
    <n v="27.89"/>
    <x v="2"/>
  </r>
  <r>
    <x v="756"/>
    <x v="756"/>
    <x v="2"/>
    <x v="5"/>
    <x v="756"/>
    <n v="47.18"/>
    <n v="3.53"/>
    <n v="211.69"/>
    <n v="7.48"/>
    <d v="2026-02-07T00:00:00"/>
    <n v="30.15"/>
    <x v="2"/>
  </r>
  <r>
    <x v="757"/>
    <x v="757"/>
    <x v="1"/>
    <x v="2"/>
    <x v="757"/>
    <n v="54.44"/>
    <n v="5.72"/>
    <n v="343.315"/>
    <n v="16.93"/>
    <d v="2026-02-07T00:00:00"/>
    <n v="31.25"/>
    <x v="2"/>
  </r>
  <r>
    <x v="758"/>
    <x v="758"/>
    <x v="0"/>
    <x v="3"/>
    <x v="758"/>
    <n v="52.23"/>
    <n v="4.28"/>
    <n v="256.77"/>
    <n v="8.19"/>
    <d v="2026-02-07T00:00:00"/>
    <n v="27.98"/>
    <x v="1"/>
  </r>
  <r>
    <x v="759"/>
    <x v="759"/>
    <x v="5"/>
    <x v="0"/>
    <x v="759"/>
    <n v="54.82"/>
    <n v="8.8699999999999992"/>
    <n v="532.33000000000004"/>
    <n v="16.18"/>
    <d v="2026-02-07T00:00:00"/>
    <n v="30.68"/>
    <x v="2"/>
  </r>
  <r>
    <x v="760"/>
    <x v="760"/>
    <x v="5"/>
    <x v="1"/>
    <x v="760"/>
    <n v="35.93"/>
    <n v="3.4"/>
    <n v="203.75"/>
    <n v="9.4499999999999993"/>
    <d v="2026-02-07T00:00:00"/>
    <n v="36.76"/>
    <x v="2"/>
  </r>
  <r>
    <x v="761"/>
    <x v="761"/>
    <x v="3"/>
    <x v="1"/>
    <x v="761"/>
    <n v="39.01"/>
    <n v="2.7"/>
    <n v="161.97"/>
    <n v="6.92"/>
    <d v="2026-02-07T00:00:00"/>
    <n v="33.96"/>
    <x v="2"/>
  </r>
  <r>
    <x v="762"/>
    <x v="762"/>
    <x v="3"/>
    <x v="2"/>
    <x v="762"/>
    <n v="42.32"/>
    <n v="2.46"/>
    <n v="147.32"/>
    <n v="5.8"/>
    <d v="2026-02-07T00:00:00"/>
    <n v="31.74"/>
    <x v="3"/>
  </r>
  <r>
    <x v="763"/>
    <x v="763"/>
    <x v="2"/>
    <x v="4"/>
    <x v="763"/>
    <n v="44.24"/>
    <n v="9.26"/>
    <n v="555.88"/>
    <n v="20.94"/>
    <d v="2026-02-07T00:00:00"/>
    <n v="38.35"/>
    <x v="1"/>
  </r>
  <r>
    <x v="764"/>
    <x v="764"/>
    <x v="2"/>
    <x v="2"/>
    <x v="764"/>
    <n v="43.53"/>
    <n v="7.71"/>
    <n v="462.55"/>
    <n v="17.71"/>
    <d v="2026-02-07T00:00:00"/>
    <n v="37.090000000000003"/>
    <x v="3"/>
  </r>
  <r>
    <x v="765"/>
    <x v="765"/>
    <x v="3"/>
    <x v="2"/>
    <x v="765"/>
    <n v="38.68"/>
    <n v="2.99"/>
    <n v="179.3"/>
    <n v="7.73"/>
    <d v="2026-02-07T00:00:00"/>
    <n v="34.53"/>
    <x v="1"/>
  </r>
  <r>
    <x v="766"/>
    <x v="766"/>
    <x v="2"/>
    <x v="0"/>
    <x v="766"/>
    <n v="43.94"/>
    <n v="3.63"/>
    <n v="217.86"/>
    <n v="8.26"/>
    <d v="2026-02-07T00:00:00"/>
    <n v="32.159999999999997"/>
    <x v="1"/>
  </r>
  <r>
    <x v="767"/>
    <x v="767"/>
    <x v="5"/>
    <x v="5"/>
    <x v="767"/>
    <n v="53.85"/>
    <n v="4.3600000000000003"/>
    <n v="261.67"/>
    <n v="8.1"/>
    <d v="2026-02-07T00:00:00"/>
    <n v="27.13"/>
    <x v="2"/>
  </r>
  <r>
    <x v="768"/>
    <x v="768"/>
    <x v="4"/>
    <x v="3"/>
    <x v="768"/>
    <n v="28.83"/>
    <n v="12.23"/>
    <n v="733.86"/>
    <n v="42.42"/>
    <d v="2026-02-07T00:00:00"/>
    <n v="56.8"/>
    <x v="2"/>
  </r>
  <r>
    <x v="769"/>
    <x v="769"/>
    <x v="4"/>
    <x v="1"/>
    <x v="769"/>
    <n v="28.25"/>
    <n v="17.47"/>
    <n v="1048.18"/>
    <n v="61.84"/>
    <d v="2026-02-07T00:00:00"/>
    <n v="66.8"/>
    <x v="1"/>
  </r>
  <r>
    <x v="770"/>
    <x v="770"/>
    <x v="0"/>
    <x v="0"/>
    <x v="770"/>
    <n v="54.92"/>
    <n v="6.11"/>
    <n v="366.46"/>
    <n v="11.12"/>
    <d v="2026-02-07T00:00:00"/>
    <n v="28.1"/>
    <x v="1"/>
  </r>
  <r>
    <x v="771"/>
    <x v="771"/>
    <x v="5"/>
    <x v="4"/>
    <x v="771"/>
    <n v="56.27"/>
    <n v="9.73"/>
    <n v="583.72"/>
    <n v="17.29"/>
    <d v="2026-02-07T00:00:00"/>
    <n v="30.51"/>
    <x v="1"/>
  </r>
  <r>
    <x v="772"/>
    <x v="772"/>
    <x v="4"/>
    <x v="2"/>
    <x v="772"/>
    <n v="19.75"/>
    <n v="38.909999999999997"/>
    <n v="2334.61"/>
    <n v="197.01"/>
    <d v="2026-02-07T00:00:00"/>
    <n v="138.63"/>
    <x v="2"/>
  </r>
  <r>
    <x v="773"/>
    <x v="773"/>
    <x v="4"/>
    <x v="2"/>
    <x v="773"/>
    <n v="21.48"/>
    <n v="21.64"/>
    <n v="1298.3800000000001"/>
    <n v="100.74"/>
    <d v="2026-02-07T00:00:00"/>
    <n v="89.63"/>
    <x v="2"/>
  </r>
  <r>
    <x v="774"/>
    <x v="774"/>
    <x v="3"/>
    <x v="3"/>
    <x v="774"/>
    <n v="45.58"/>
    <n v="1.63"/>
    <n v="97.91"/>
    <n v="3.58"/>
    <d v="2026-02-07T00:00:00"/>
    <n v="29"/>
    <x v="1"/>
  </r>
  <r>
    <x v="775"/>
    <x v="775"/>
    <x v="5"/>
    <x v="2"/>
    <x v="775"/>
    <n v="43.31"/>
    <n v="2.7"/>
    <n v="161.77000000000001"/>
    <n v="6.23"/>
    <d v="2026-02-07T00:00:00"/>
    <n v="31.46"/>
    <x v="3"/>
  </r>
  <r>
    <x v="776"/>
    <x v="776"/>
    <x v="3"/>
    <x v="2"/>
    <x v="776"/>
    <n v="37.72"/>
    <n v="2.2400000000000002"/>
    <n v="134.55000000000001"/>
    <n v="5.95"/>
    <d v="2026-02-07T00:00:00"/>
    <n v="34.119999999999997"/>
    <x v="1"/>
  </r>
  <r>
    <x v="777"/>
    <x v="777"/>
    <x v="6"/>
    <x v="5"/>
    <x v="777"/>
    <n v="43.23"/>
    <n v="9.2799999999999994"/>
    <n v="556.5"/>
    <n v="21.46"/>
    <d v="2026-02-07T00:00:00"/>
    <n v="39.119999999999997"/>
    <x v="1"/>
  </r>
  <r>
    <x v="778"/>
    <x v="778"/>
    <x v="6"/>
    <x v="0"/>
    <x v="778"/>
    <n v="46.18"/>
    <n v="7.47"/>
    <n v="448.16"/>
    <n v="16.170000000000002"/>
    <d v="2026-02-07T00:00:00"/>
    <n v="35"/>
    <x v="2"/>
  </r>
  <r>
    <x v="779"/>
    <x v="779"/>
    <x v="6"/>
    <x v="1"/>
    <x v="779"/>
    <n v="44.05"/>
    <n v="5.72"/>
    <n v="343.315"/>
    <n v="13.59"/>
    <d v="2026-02-07T00:00:00"/>
    <n v="34.770000000000003"/>
    <x v="1"/>
  </r>
  <r>
    <x v="780"/>
    <x v="780"/>
    <x v="5"/>
    <x v="4"/>
    <x v="780"/>
    <n v="40.46"/>
    <n v="2.97"/>
    <n v="177.99"/>
    <n v="7.33"/>
    <d v="2026-02-07T00:00:00"/>
    <n v="33.44"/>
    <x v="3"/>
  </r>
  <r>
    <x v="781"/>
    <x v="781"/>
    <x v="2"/>
    <x v="0"/>
    <x v="781"/>
    <n v="38.119999999999997"/>
    <n v="7.55"/>
    <n v="452.93"/>
    <n v="19.8"/>
    <d v="2026-02-07T00:00:00"/>
    <n v="40.840000000000003"/>
    <x v="1"/>
  </r>
  <r>
    <x v="782"/>
    <x v="782"/>
    <x v="6"/>
    <x v="4"/>
    <x v="782"/>
    <n v="44.52"/>
    <n v="6.83"/>
    <n v="409.96"/>
    <n v="15.35"/>
    <d v="2026-02-07T00:00:00"/>
    <n v="35.42"/>
    <x v="1"/>
  </r>
  <r>
    <x v="783"/>
    <x v="783"/>
    <x v="0"/>
    <x v="0"/>
    <x v="783"/>
    <n v="49.54"/>
    <n v="2.14"/>
    <n v="128.37"/>
    <n v="4.32"/>
    <d v="2026-02-07T00:00:00"/>
    <n v="27.39"/>
    <x v="3"/>
  </r>
  <r>
    <x v="784"/>
    <x v="784"/>
    <x v="4"/>
    <x v="1"/>
    <x v="784"/>
    <n v="27.54"/>
    <n v="22.42"/>
    <n v="1345.04"/>
    <n v="81.400000000000006"/>
    <d v="2026-02-07T00:00:00"/>
    <n v="76.930000000000007"/>
    <x v="2"/>
  </r>
  <r>
    <x v="785"/>
    <x v="785"/>
    <x v="0"/>
    <x v="1"/>
    <x v="785"/>
    <n v="32.340000000000003"/>
    <n v="4.1500000000000004"/>
    <n v="249"/>
    <n v="12.83"/>
    <d v="2026-02-07T00:00:00"/>
    <n v="40.25"/>
    <x v="1"/>
  </r>
  <r>
    <x v="786"/>
    <x v="786"/>
    <x v="3"/>
    <x v="0"/>
    <x v="786"/>
    <n v="47.24"/>
    <n v="1.82"/>
    <n v="109.39"/>
    <n v="3.86"/>
    <d v="2026-02-07T00:00:00"/>
    <n v="28.31"/>
    <x v="1"/>
  </r>
  <r>
    <x v="787"/>
    <x v="787"/>
    <x v="3"/>
    <x v="3"/>
    <x v="787"/>
    <n v="48.79"/>
    <n v="1.18"/>
    <n v="70.67"/>
    <n v="2.41"/>
    <d v="2026-02-07T00:00:00"/>
    <n v="26.81"/>
    <x v="2"/>
  </r>
  <r>
    <x v="788"/>
    <x v="788"/>
    <x v="6"/>
    <x v="5"/>
    <x v="788"/>
    <n v="48.36"/>
    <n v="2.67"/>
    <n v="160.35"/>
    <n v="5.53"/>
    <d v="2026-02-07T00:00:00"/>
    <n v="28.59"/>
    <x v="2"/>
  </r>
  <r>
    <x v="789"/>
    <x v="789"/>
    <x v="0"/>
    <x v="4"/>
    <x v="789"/>
    <n v="55.76"/>
    <n v="5.69"/>
    <n v="341.55"/>
    <n v="10.210000000000001"/>
    <d v="2026-02-07T00:00:00"/>
    <n v="27.23"/>
    <x v="2"/>
  </r>
  <r>
    <x v="790"/>
    <x v="790"/>
    <x v="1"/>
    <x v="4"/>
    <x v="790"/>
    <n v="47.76"/>
    <n v="7.62"/>
    <n v="457.4"/>
    <n v="15.96"/>
    <d v="2026-02-07T00:00:00"/>
    <n v="34.1"/>
    <x v="2"/>
  </r>
  <r>
    <x v="791"/>
    <x v="791"/>
    <x v="4"/>
    <x v="3"/>
    <x v="791"/>
    <n v="20.94"/>
    <n v="39.909999999999997"/>
    <n v="2394.38"/>
    <n v="190.57"/>
    <d v="2026-02-07T00:00:00"/>
    <n v="134.82"/>
    <x v="2"/>
  </r>
  <r>
    <x v="792"/>
    <x v="792"/>
    <x v="5"/>
    <x v="2"/>
    <x v="792"/>
    <n v="42.81"/>
    <n v="8.42"/>
    <n v="505.41"/>
    <n v="21.04"/>
    <d v="2026-02-07T00:00:00"/>
    <n v="39.119999999999997"/>
    <x v="2"/>
  </r>
  <r>
    <x v="793"/>
    <x v="793"/>
    <x v="3"/>
    <x v="2"/>
    <x v="793"/>
    <n v="41.27"/>
    <n v="1.19"/>
    <n v="71.5"/>
    <n v="2.89"/>
    <d v="2026-02-07T00:00:00"/>
    <n v="30.81"/>
    <x v="1"/>
  </r>
  <r>
    <x v="794"/>
    <x v="794"/>
    <x v="6"/>
    <x v="1"/>
    <x v="794"/>
    <n v="45.66"/>
    <n v="7.76"/>
    <n v="465.57"/>
    <n v="16.989999999999998"/>
    <d v="2026-02-07T00:00:00"/>
    <n v="35.67"/>
    <x v="1"/>
  </r>
  <r>
    <x v="795"/>
    <x v="795"/>
    <x v="1"/>
    <x v="5"/>
    <x v="795"/>
    <n v="43.56"/>
    <n v="8.49"/>
    <n v="509.36"/>
    <n v="19.489999999999998"/>
    <d v="2026-02-07T00:00:00"/>
    <n v="37.97"/>
    <x v="2"/>
  </r>
  <r>
    <x v="796"/>
    <x v="796"/>
    <x v="6"/>
    <x v="1"/>
    <x v="796"/>
    <n v="59.57"/>
    <n v="7.32"/>
    <n v="439.48"/>
    <n v="12.3"/>
    <d v="2026-02-07T00:00:00"/>
    <n v="26.37"/>
    <x v="2"/>
  </r>
  <r>
    <x v="797"/>
    <x v="797"/>
    <x v="6"/>
    <x v="3"/>
    <x v="797"/>
    <n v="30.39"/>
    <n v="4.29"/>
    <n v="257.25"/>
    <n v="14.11"/>
    <d v="2026-02-07T00:00:00"/>
    <n v="41.86"/>
    <x v="1"/>
  </r>
  <r>
    <x v="798"/>
    <x v="798"/>
    <x v="5"/>
    <x v="4"/>
    <x v="798"/>
    <n v="30.76"/>
    <n v="4.57"/>
    <n v="274.04000000000002"/>
    <n v="14.85"/>
    <d v="2026-02-07T00:00:00"/>
    <n v="42.05"/>
    <x v="2"/>
  </r>
  <r>
    <x v="799"/>
    <x v="799"/>
    <x v="3"/>
    <x v="5"/>
    <x v="799"/>
    <n v="44.82"/>
    <n v="2.63"/>
    <n v="157.87"/>
    <n v="5.87"/>
    <d v="2026-02-07T00:00:00"/>
    <n v="30.53"/>
    <x v="2"/>
  </r>
  <r>
    <x v="800"/>
    <x v="800"/>
    <x v="5"/>
    <x v="2"/>
    <x v="800"/>
    <n v="48.84"/>
    <n v="8.84"/>
    <n v="530.47"/>
    <n v="18.100000000000001"/>
    <d v="2026-02-07T00:00:00"/>
    <n v="34.630000000000003"/>
    <x v="3"/>
  </r>
  <r>
    <x v="801"/>
    <x v="801"/>
    <x v="2"/>
    <x v="5"/>
    <x v="801"/>
    <n v="59.6"/>
    <n v="6.19"/>
    <n v="371.44"/>
    <n v="10.39"/>
    <d v="2026-02-07T00:00:00"/>
    <n v="25.4"/>
    <x v="1"/>
  </r>
  <r>
    <x v="802"/>
    <x v="802"/>
    <x v="4"/>
    <x v="1"/>
    <x v="802"/>
    <n v="15.35"/>
    <n v="36.200000000000003"/>
    <n v="2172.0100000000002"/>
    <n v="235.83"/>
    <d v="2026-02-07T00:00:00"/>
    <n v="160.24"/>
    <x v="1"/>
  </r>
  <r>
    <x v="803"/>
    <x v="803"/>
    <x v="5"/>
    <x v="2"/>
    <x v="803"/>
    <n v="49.34"/>
    <n v="8.36"/>
    <n v="501.56"/>
    <n v="16.940000000000001"/>
    <d v="2026-02-07T00:00:00"/>
    <n v="33.799999999999997"/>
    <x v="2"/>
  </r>
  <r>
    <x v="804"/>
    <x v="804"/>
    <x v="0"/>
    <x v="3"/>
    <x v="804"/>
    <n v="57.45"/>
    <n v="4.05"/>
    <n v="243.19"/>
    <n v="7.06"/>
    <d v="2026-02-07T00:00:00"/>
    <n v="24.81"/>
    <x v="2"/>
  </r>
  <r>
    <x v="805"/>
    <x v="805"/>
    <x v="0"/>
    <x v="0"/>
    <x v="805"/>
    <n v="53.24"/>
    <n v="3.59"/>
    <n v="215.14"/>
    <n v="6.73"/>
    <d v="2026-02-07T00:00:00"/>
    <n v="26.75"/>
    <x v="1"/>
  </r>
  <r>
    <x v="806"/>
    <x v="806"/>
    <x v="6"/>
    <x v="3"/>
    <x v="806"/>
    <n v="41.96"/>
    <n v="6.83"/>
    <n v="409.82"/>
    <n v="16.28"/>
    <d v="2026-02-07T00:00:00"/>
    <n v="37.159999999999997"/>
    <x v="2"/>
  </r>
  <r>
    <x v="807"/>
    <x v="807"/>
    <x v="0"/>
    <x v="5"/>
    <x v="807"/>
    <n v="55.65"/>
    <n v="3.25"/>
    <n v="194.93"/>
    <n v="5.84"/>
    <d v="2026-02-07T00:00:00"/>
    <n v="25.1"/>
    <x v="1"/>
  </r>
  <r>
    <x v="808"/>
    <x v="808"/>
    <x v="1"/>
    <x v="1"/>
    <x v="808"/>
    <n v="35.56"/>
    <n v="9.0399999999999991"/>
    <n v="542.23"/>
    <n v="25.41"/>
    <d v="2026-02-07T00:00:00"/>
    <n v="44.93"/>
    <x v="3"/>
  </r>
  <r>
    <x v="809"/>
    <x v="809"/>
    <x v="2"/>
    <x v="3"/>
    <x v="809"/>
    <n v="59.95"/>
    <n v="9.1999999999999993"/>
    <n v="551.74"/>
    <n v="15.34"/>
    <d v="2026-02-07T00:00:00"/>
    <n v="27.7"/>
    <x v="1"/>
  </r>
  <r>
    <x v="810"/>
    <x v="810"/>
    <x v="6"/>
    <x v="4"/>
    <x v="810"/>
    <n v="51.78"/>
    <n v="3.65"/>
    <n v="219.25"/>
    <n v="7.06"/>
    <d v="2026-02-07T00:00:00"/>
    <n v="27.64"/>
    <x v="2"/>
  </r>
  <r>
    <x v="811"/>
    <x v="811"/>
    <x v="4"/>
    <x v="5"/>
    <x v="811"/>
    <n v="42.81"/>
    <n v="20.85"/>
    <n v="1251"/>
    <n v="74.92"/>
    <d v="2026-02-07T00:00:00"/>
    <n v="66.06"/>
    <x v="2"/>
  </r>
  <r>
    <x v="812"/>
    <x v="812"/>
    <x v="4"/>
    <x v="5"/>
    <x v="812"/>
    <n v="18.78"/>
    <n v="24.4"/>
    <n v="1464.18"/>
    <n v="129.94"/>
    <d v="2026-02-07T00:00:00"/>
    <n v="105.58"/>
    <x v="2"/>
  </r>
  <r>
    <x v="813"/>
    <x v="813"/>
    <x v="3"/>
    <x v="2"/>
    <x v="813"/>
    <n v="46.59"/>
    <n v="9.15"/>
    <n v="548.99"/>
    <n v="19.64"/>
    <d v="2026-02-07T00:00:00"/>
    <n v="36.53"/>
    <x v="3"/>
  </r>
  <r>
    <x v="814"/>
    <x v="814"/>
    <x v="5"/>
    <x v="4"/>
    <x v="814"/>
    <n v="58.69"/>
    <n v="8.9700000000000006"/>
    <n v="538.11"/>
    <n v="15.28"/>
    <d v="2026-02-07T00:00:00"/>
    <n v="28.3"/>
    <x v="2"/>
  </r>
  <r>
    <x v="815"/>
    <x v="815"/>
    <x v="1"/>
    <x v="0"/>
    <x v="815"/>
    <n v="30.42"/>
    <n v="9.1300000000000008"/>
    <n v="547.92999999999995"/>
    <n v="30.02"/>
    <d v="2026-02-07T00:00:00"/>
    <n v="49.8"/>
    <x v="2"/>
  </r>
  <r>
    <x v="816"/>
    <x v="816"/>
    <x v="3"/>
    <x v="5"/>
    <x v="816"/>
    <n v="43.16"/>
    <n v="3"/>
    <n v="179.71"/>
    <n v="6.94"/>
    <d v="2026-02-07T00:00:00"/>
    <n v="31.89"/>
    <x v="1"/>
  </r>
  <r>
    <x v="817"/>
    <x v="817"/>
    <x v="4"/>
    <x v="3"/>
    <x v="817"/>
    <n v="26.21"/>
    <n v="29.99"/>
    <n v="1799.21"/>
    <n v="114.41"/>
    <d v="2026-02-07T00:00:00"/>
    <n v="94.1"/>
    <x v="2"/>
  </r>
  <r>
    <x v="818"/>
    <x v="818"/>
    <x v="2"/>
    <x v="0"/>
    <x v="818"/>
    <n v="34.89"/>
    <n v="2.19"/>
    <n v="131.52000000000001"/>
    <n v="6.28"/>
    <d v="2026-02-07T00:00:00"/>
    <n v="35.700000000000003"/>
    <x v="1"/>
  </r>
  <r>
    <x v="819"/>
    <x v="819"/>
    <x v="3"/>
    <x v="0"/>
    <x v="819"/>
    <n v="43.08"/>
    <n v="2.99"/>
    <n v="179.6"/>
    <n v="6.95"/>
    <d v="2026-02-07T00:00:00"/>
    <n v="31.94"/>
    <x v="2"/>
  </r>
  <r>
    <x v="820"/>
    <x v="820"/>
    <x v="6"/>
    <x v="5"/>
    <x v="820"/>
    <n v="34.79"/>
    <n v="6.32"/>
    <n v="379.31"/>
    <n v="18.170000000000002"/>
    <d v="2026-02-07T00:00:00"/>
    <n v="41.69"/>
    <x v="2"/>
  </r>
  <r>
    <x v="821"/>
    <x v="821"/>
    <x v="0"/>
    <x v="5"/>
    <x v="821"/>
    <n v="36.17"/>
    <n v="7.5"/>
    <n v="450.06"/>
    <n v="20.74"/>
    <d v="2026-02-07T00:00:00"/>
    <n v="42.29"/>
    <x v="3"/>
  </r>
  <r>
    <x v="822"/>
    <x v="822"/>
    <x v="6"/>
    <x v="3"/>
    <x v="822"/>
    <n v="59.61"/>
    <n v="2.4900000000000002"/>
    <n v="149.62"/>
    <n v="4.18"/>
    <d v="2026-02-07T00:00:00"/>
    <n v="22.29"/>
    <x v="1"/>
  </r>
  <r>
    <x v="823"/>
    <x v="823"/>
    <x v="4"/>
    <x v="1"/>
    <x v="823"/>
    <n v="28.63"/>
    <n v="27.9"/>
    <n v="1674.08"/>
    <n v="97.45"/>
    <d v="2026-02-07T00:00:00"/>
    <n v="84.41"/>
    <x v="2"/>
  </r>
  <r>
    <x v="824"/>
    <x v="824"/>
    <x v="5"/>
    <x v="0"/>
    <x v="824"/>
    <n v="50.51"/>
    <n v="2.09"/>
    <n v="125.55"/>
    <n v="4.1399999999999997"/>
    <d v="2026-02-07T00:00:00"/>
    <n v="26.82"/>
    <x v="3"/>
  </r>
  <r>
    <x v="825"/>
    <x v="825"/>
    <x v="0"/>
    <x v="1"/>
    <x v="825"/>
    <n v="57.74"/>
    <n v="6.24"/>
    <n v="374.13"/>
    <n v="10.8"/>
    <d v="2026-02-07T00:00:00"/>
    <n v="26.53"/>
    <x v="1"/>
  </r>
  <r>
    <x v="826"/>
    <x v="826"/>
    <x v="5"/>
    <x v="3"/>
    <x v="826"/>
    <n v="54.99"/>
    <n v="2.08"/>
    <n v="124.91"/>
    <n v="3.79"/>
    <d v="2026-02-07T00:00:00"/>
    <n v="24.4"/>
    <x v="1"/>
  </r>
  <r>
    <x v="827"/>
    <x v="827"/>
    <x v="4"/>
    <x v="5"/>
    <x v="827"/>
    <n v="20.59"/>
    <n v="33.68"/>
    <n v="2020.64"/>
    <n v="163.56"/>
    <d v="2026-02-07T00:00:00"/>
    <n v="121.49"/>
    <x v="1"/>
  </r>
  <r>
    <x v="828"/>
    <x v="828"/>
    <x v="0"/>
    <x v="1"/>
    <x v="828"/>
    <n v="56.19"/>
    <n v="6.84"/>
    <n v="410.63"/>
    <n v="12.18"/>
    <d v="2026-02-07T00:00:00"/>
    <n v="28"/>
    <x v="1"/>
  </r>
  <r>
    <x v="829"/>
    <x v="829"/>
    <x v="6"/>
    <x v="5"/>
    <x v="829"/>
    <n v="35.81"/>
    <n v="9.07"/>
    <n v="544.07000000000005"/>
    <n v="25.32"/>
    <d v="2026-02-07T00:00:00"/>
    <n v="44.76"/>
    <x v="1"/>
  </r>
  <r>
    <x v="830"/>
    <x v="830"/>
    <x v="6"/>
    <x v="4"/>
    <x v="830"/>
    <n v="30.49"/>
    <n v="7.88"/>
    <n v="472.86"/>
    <n v="25.85"/>
    <d v="2026-02-07T00:00:00"/>
    <n v="47.68"/>
    <x v="3"/>
  </r>
  <r>
    <x v="831"/>
    <x v="831"/>
    <x v="2"/>
    <x v="4"/>
    <x v="831"/>
    <n v="38.22"/>
    <n v="2.09"/>
    <n v="125.4"/>
    <n v="5.47"/>
    <d v="2026-02-07T00:00:00"/>
    <n v="33.630000000000003"/>
    <x v="2"/>
  </r>
  <r>
    <x v="832"/>
    <x v="832"/>
    <x v="2"/>
    <x v="5"/>
    <x v="832"/>
    <n v="53.3"/>
    <n v="4.71"/>
    <n v="282.56"/>
    <n v="8.84"/>
    <d v="2026-02-07T00:00:00"/>
    <n v="27.77"/>
    <x v="1"/>
  </r>
  <r>
    <x v="833"/>
    <x v="833"/>
    <x v="3"/>
    <x v="2"/>
    <x v="833"/>
    <n v="45.11"/>
    <n v="1.88"/>
    <n v="112.78"/>
    <n v="4.17"/>
    <d v="2026-02-07T00:00:00"/>
    <n v="29.53"/>
    <x v="1"/>
  </r>
  <r>
    <x v="834"/>
    <x v="834"/>
    <x v="2"/>
    <x v="5"/>
    <x v="834"/>
    <n v="32.14"/>
    <n v="6.73"/>
    <n v="403.53"/>
    <n v="20.93"/>
    <d v="2026-02-07T00:00:00"/>
    <n v="44.4"/>
    <x v="2"/>
  </r>
  <r>
    <x v="835"/>
    <x v="835"/>
    <x v="3"/>
    <x v="0"/>
    <x v="835"/>
    <n v="43.67"/>
    <n v="1.77"/>
    <n v="106.01"/>
    <n v="4.05"/>
    <d v="2026-02-07T00:00:00"/>
    <n v="30.19"/>
    <x v="2"/>
  </r>
  <r>
    <x v="836"/>
    <x v="836"/>
    <x v="4"/>
    <x v="3"/>
    <x v="836"/>
    <n v="22.95"/>
    <n v="26.95"/>
    <n v="1617.04"/>
    <n v="117.43"/>
    <d v="2026-02-07T00:00:00"/>
    <n v="97.24"/>
    <x v="3"/>
  </r>
  <r>
    <x v="837"/>
    <x v="837"/>
    <x v="1"/>
    <x v="5"/>
    <x v="837"/>
    <n v="41.44"/>
    <n v="7.7"/>
    <n v="462.22"/>
    <n v="18.59"/>
    <d v="2026-02-07T00:00:00"/>
    <n v="38.58"/>
    <x v="1"/>
  </r>
  <r>
    <x v="838"/>
    <x v="838"/>
    <x v="1"/>
    <x v="4"/>
    <x v="838"/>
    <n v="52.16"/>
    <n v="5.03"/>
    <n v="301.55"/>
    <n v="9.64"/>
    <d v="2026-02-07T00:00:00"/>
    <n v="28.74"/>
    <x v="2"/>
  </r>
  <r>
    <x v="839"/>
    <x v="839"/>
    <x v="0"/>
    <x v="5"/>
    <x v="839"/>
    <n v="46.15"/>
    <n v="3.33"/>
    <n v="199.67"/>
    <n v="7.21"/>
    <d v="2026-02-07T00:00:00"/>
    <n v="30.53"/>
    <x v="2"/>
  </r>
  <r>
    <x v="840"/>
    <x v="840"/>
    <x v="3"/>
    <x v="1"/>
    <x v="840"/>
    <n v="38.229999999999997"/>
    <n v="2"/>
    <n v="119.77"/>
    <n v="5.22"/>
    <d v="2026-02-07T00:00:00"/>
    <n v="33.5"/>
    <x v="2"/>
  </r>
  <r>
    <x v="841"/>
    <x v="841"/>
    <x v="3"/>
    <x v="0"/>
    <x v="841"/>
    <n v="39.340000000000003"/>
    <n v="2.17"/>
    <n v="130.13999999999999"/>
    <n v="5.51"/>
    <d v="2026-02-07T00:00:00"/>
    <n v="33.090000000000003"/>
    <x v="1"/>
  </r>
  <r>
    <x v="842"/>
    <x v="842"/>
    <x v="3"/>
    <x v="4"/>
    <x v="842"/>
    <n v="39.409999999999997"/>
    <n v="5.1100000000000003"/>
    <n v="306.60000000000002"/>
    <n v="12.97"/>
    <d v="2026-02-07T00:00:00"/>
    <n v="36.78"/>
    <x v="1"/>
  </r>
  <r>
    <x v="843"/>
    <x v="843"/>
    <x v="3"/>
    <x v="0"/>
    <x v="843"/>
    <n v="45.66"/>
    <n v="2.88"/>
    <n v="172.91"/>
    <n v="6.31"/>
    <d v="2026-02-07T00:00:00"/>
    <n v="30.33"/>
    <x v="2"/>
  </r>
  <r>
    <x v="844"/>
    <x v="844"/>
    <x v="6"/>
    <x v="0"/>
    <x v="844"/>
    <n v="54.62"/>
    <n v="3.73"/>
    <n v="223.88"/>
    <n v="6.83"/>
    <d v="2026-02-07T00:00:00"/>
    <n v="26.11"/>
    <x v="2"/>
  </r>
  <r>
    <x v="845"/>
    <x v="845"/>
    <x v="6"/>
    <x v="1"/>
    <x v="845"/>
    <n v="51.72"/>
    <n v="4.16"/>
    <n v="249.33"/>
    <n v="8.0299999999999994"/>
    <d v="2026-02-07T00:00:00"/>
    <n v="28.16"/>
    <x v="2"/>
  </r>
  <r>
    <x v="846"/>
    <x v="846"/>
    <x v="4"/>
    <x v="2"/>
    <x v="846"/>
    <n v="28.62"/>
    <n v="27.4"/>
    <n v="1643.82"/>
    <n v="95.73"/>
    <d v="2026-02-07T00:00:00"/>
    <n v="83.56"/>
    <x v="2"/>
  </r>
  <r>
    <x v="847"/>
    <x v="847"/>
    <x v="4"/>
    <x v="5"/>
    <x v="847"/>
    <n v="22.23"/>
    <n v="29.93"/>
    <n v="1795.64"/>
    <n v="134.63"/>
    <d v="2026-02-07T00:00:00"/>
    <n v="106.2"/>
    <x v="2"/>
  </r>
  <r>
    <x v="848"/>
    <x v="848"/>
    <x v="3"/>
    <x v="3"/>
    <x v="848"/>
    <n v="49.7"/>
    <n v="1.2"/>
    <n v="71.88"/>
    <n v="2.41"/>
    <d v="2026-02-07T00:00:00"/>
    <n v="26.36"/>
    <x v="2"/>
  </r>
  <r>
    <x v="849"/>
    <x v="849"/>
    <x v="3"/>
    <x v="2"/>
    <x v="849"/>
    <n v="40.58"/>
    <n v="1.1599999999999999"/>
    <n v="69.72"/>
    <n v="2.86"/>
    <d v="2026-02-07T00:00:00"/>
    <n v="31.14"/>
    <x v="2"/>
  </r>
  <r>
    <x v="850"/>
    <x v="850"/>
    <x v="0"/>
    <x v="3"/>
    <x v="850"/>
    <n v="47.13"/>
    <n v="4.6500000000000004"/>
    <n v="278.7"/>
    <n v="9.86"/>
    <d v="2026-02-07T00:00:00"/>
    <n v="31.37"/>
    <x v="2"/>
  </r>
  <r>
    <x v="851"/>
    <x v="851"/>
    <x v="1"/>
    <x v="2"/>
    <x v="851"/>
    <n v="32.14"/>
    <n v="6.22"/>
    <n v="373.15"/>
    <n v="19.350000000000001"/>
    <d v="2026-02-07T00:00:00"/>
    <n v="43.61"/>
    <x v="1"/>
  </r>
  <r>
    <x v="852"/>
    <x v="852"/>
    <x v="2"/>
    <x v="5"/>
    <x v="852"/>
    <n v="42.81"/>
    <n v="9.7799999999999994"/>
    <n v="586.89"/>
    <n v="25.06"/>
    <d v="2026-02-07T00:00:00"/>
    <n v="41.13"/>
    <x v="1"/>
  </r>
  <r>
    <x v="853"/>
    <x v="853"/>
    <x v="0"/>
    <x v="5"/>
    <x v="853"/>
    <n v="36.26"/>
    <n v="6.58"/>
    <n v="394.94"/>
    <n v="18.149999999999999"/>
    <d v="2026-02-07T00:00:00"/>
    <n v="40.950000000000003"/>
    <x v="1"/>
  </r>
  <r>
    <x v="854"/>
    <x v="854"/>
    <x v="0"/>
    <x v="0"/>
    <x v="854"/>
    <n v="43.28"/>
    <n v="7.49"/>
    <n v="449.69"/>
    <n v="17.32"/>
    <d v="2026-02-07T00:00:00"/>
    <n v="37.020000000000003"/>
    <x v="2"/>
  </r>
  <r>
    <x v="855"/>
    <x v="855"/>
    <x v="6"/>
    <x v="1"/>
    <x v="855"/>
    <n v="53.06"/>
    <n v="9.56"/>
    <n v="573.67999999999995"/>
    <n v="18.02"/>
    <d v="2026-02-07T00:00:00"/>
    <n v="32.479999999999997"/>
    <x v="2"/>
  </r>
  <r>
    <x v="856"/>
    <x v="856"/>
    <x v="0"/>
    <x v="1"/>
    <x v="856"/>
    <n v="35.340000000000003"/>
    <n v="6.59"/>
    <n v="395.34"/>
    <n v="18.64"/>
    <d v="2026-02-07T00:00:00"/>
    <n v="41.65"/>
    <x v="2"/>
  </r>
  <r>
    <x v="857"/>
    <x v="857"/>
    <x v="4"/>
    <x v="2"/>
    <x v="857"/>
    <n v="28.06"/>
    <n v="32.340000000000003"/>
    <n v="1940.29"/>
    <n v="115.25"/>
    <d v="2026-02-07T00:00:00"/>
    <n v="93.6"/>
    <x v="2"/>
  </r>
  <r>
    <x v="858"/>
    <x v="858"/>
    <x v="3"/>
    <x v="0"/>
    <x v="858"/>
    <n v="41.08"/>
    <n v="2.33"/>
    <n v="139.5"/>
    <n v="5.66"/>
    <d v="2026-02-07T00:00:00"/>
    <n v="32.29"/>
    <x v="1"/>
  </r>
  <r>
    <x v="859"/>
    <x v="859"/>
    <x v="0"/>
    <x v="3"/>
    <x v="859"/>
    <n v="30.36"/>
    <n v="3.17"/>
    <n v="189.9"/>
    <n v="10.42"/>
    <d v="2026-02-07T00:00:00"/>
    <n v="40.03"/>
    <x v="2"/>
  </r>
  <r>
    <x v="860"/>
    <x v="860"/>
    <x v="3"/>
    <x v="0"/>
    <x v="860"/>
    <n v="40.44"/>
    <n v="1.27"/>
    <n v="76.22"/>
    <n v="3.14"/>
    <d v="2026-02-07T00:00:00"/>
    <n v="31.35"/>
    <x v="1"/>
  </r>
  <r>
    <x v="861"/>
    <x v="861"/>
    <x v="2"/>
    <x v="5"/>
    <x v="861"/>
    <n v="42.81"/>
    <n v="6.95"/>
    <n v="417.28"/>
    <n v="12.24"/>
    <d v="2026-02-07T00:00:00"/>
    <n v="34.72"/>
    <x v="2"/>
  </r>
  <r>
    <x v="862"/>
    <x v="862"/>
    <x v="2"/>
    <x v="5"/>
    <x v="862"/>
    <n v="52.67"/>
    <n v="6.77"/>
    <n v="406.11"/>
    <n v="12.85"/>
    <d v="2026-02-07T00:00:00"/>
    <n v="30.09"/>
    <x v="2"/>
  </r>
  <r>
    <x v="863"/>
    <x v="863"/>
    <x v="5"/>
    <x v="5"/>
    <x v="863"/>
    <n v="55.54"/>
    <n v="9.1300000000000008"/>
    <n v="547.5"/>
    <n v="16.43"/>
    <d v="2026-02-07T00:00:00"/>
    <n v="30.45"/>
    <x v="1"/>
  </r>
  <r>
    <x v="864"/>
    <x v="864"/>
    <x v="5"/>
    <x v="0"/>
    <x v="864"/>
    <n v="42.81"/>
    <n v="6.03"/>
    <n v="362.01"/>
    <n v="14.13"/>
    <d v="2026-02-07T00:00:00"/>
    <n v="35.659999999999997"/>
    <x v="3"/>
  </r>
  <r>
    <x v="865"/>
    <x v="865"/>
    <x v="4"/>
    <x v="4"/>
    <x v="865"/>
    <n v="28.59"/>
    <n v="35.56"/>
    <n v="2133.89"/>
    <n v="124.4"/>
    <d v="2026-02-07T00:00:00"/>
    <n v="97.91"/>
    <x v="1"/>
  </r>
  <r>
    <x v="866"/>
    <x v="866"/>
    <x v="2"/>
    <x v="2"/>
    <x v="866"/>
    <n v="56.42"/>
    <n v="7.7"/>
    <n v="461.97"/>
    <n v="13.65"/>
    <d v="2026-02-07T00:00:00"/>
    <n v="28.62"/>
    <x v="3"/>
  </r>
  <r>
    <x v="867"/>
    <x v="867"/>
    <x v="1"/>
    <x v="3"/>
    <x v="867"/>
    <n v="56.58"/>
    <n v="6.83"/>
    <n v="409.57"/>
    <n v="12.06"/>
    <d v="2026-02-07T00:00:00"/>
    <n v="27.74"/>
    <x v="2"/>
  </r>
  <r>
    <x v="868"/>
    <x v="868"/>
    <x v="5"/>
    <x v="0"/>
    <x v="868"/>
    <n v="30.41"/>
    <n v="7.72"/>
    <n v="462.96"/>
    <n v="25.37"/>
    <d v="2026-02-07T00:00:00"/>
    <n v="47.48"/>
    <x v="2"/>
  </r>
  <r>
    <x v="869"/>
    <x v="869"/>
    <x v="6"/>
    <x v="4"/>
    <x v="869"/>
    <n v="59.21"/>
    <n v="7.04"/>
    <n v="422.36"/>
    <n v="11.89"/>
    <d v="2026-02-07T00:00:00"/>
    <n v="26.34"/>
    <x v="2"/>
  </r>
  <r>
    <x v="870"/>
    <x v="870"/>
    <x v="2"/>
    <x v="3"/>
    <x v="870"/>
    <n v="42.59"/>
    <n v="8.01"/>
    <n v="480.76"/>
    <n v="18.809999999999999"/>
    <d v="2026-02-07T00:00:00"/>
    <n v="38.11"/>
    <x v="2"/>
  </r>
  <r>
    <x v="871"/>
    <x v="871"/>
    <x v="2"/>
    <x v="2"/>
    <x v="871"/>
    <n v="48.29"/>
    <n v="9.98"/>
    <n v="598.83000000000004"/>
    <n v="20.67"/>
    <d v="2026-02-07T00:00:00"/>
    <n v="36.19"/>
    <x v="1"/>
  </r>
  <r>
    <x v="872"/>
    <x v="872"/>
    <x v="4"/>
    <x v="5"/>
    <x v="872"/>
    <n v="27.91"/>
    <n v="38.450000000000003"/>
    <n v="2307.27"/>
    <n v="137.78"/>
    <d v="2026-02-07T00:00:00"/>
    <n v="104.94"/>
    <x v="3"/>
  </r>
  <r>
    <x v="873"/>
    <x v="873"/>
    <x v="3"/>
    <x v="3"/>
    <x v="873"/>
    <n v="41.74"/>
    <n v="1.88"/>
    <n v="112.82"/>
    <n v="4.5"/>
    <d v="2026-02-07T00:00:00"/>
    <n v="31.38"/>
    <x v="2"/>
  </r>
  <r>
    <x v="874"/>
    <x v="874"/>
    <x v="3"/>
    <x v="4"/>
    <x v="874"/>
    <n v="48.85"/>
    <n v="1.96"/>
    <n v="117.56"/>
    <n v="4.01"/>
    <d v="2026-02-07T00:00:00"/>
    <n v="27.58"/>
    <x v="3"/>
  </r>
  <r>
    <x v="875"/>
    <x v="875"/>
    <x v="4"/>
    <x v="3"/>
    <x v="875"/>
    <n v="21.86"/>
    <n v="12.81"/>
    <n v="768.74"/>
    <n v="58.61"/>
    <d v="2026-02-07T00:00:00"/>
    <n v="68.38"/>
    <x v="2"/>
  </r>
  <r>
    <x v="876"/>
    <x v="876"/>
    <x v="3"/>
    <x v="5"/>
    <x v="876"/>
    <n v="41.21"/>
    <n v="2.5299999999999998"/>
    <n v="151.87"/>
    <n v="6.14"/>
    <d v="2026-02-07T00:00:00"/>
    <n v="32.47"/>
    <x v="2"/>
  </r>
  <r>
    <x v="877"/>
    <x v="877"/>
    <x v="4"/>
    <x v="3"/>
    <x v="877"/>
    <n v="28.2"/>
    <n v="29.9"/>
    <n v="1794.19"/>
    <n v="106.04"/>
    <d v="2026-02-07T00:00:00"/>
    <n v="88.92"/>
    <x v="1"/>
  </r>
  <r>
    <x v="878"/>
    <x v="878"/>
    <x v="2"/>
    <x v="2"/>
    <x v="878"/>
    <n v="52.9"/>
    <n v="8.4700000000000006"/>
    <n v="507.98"/>
    <n v="16"/>
    <d v="2026-02-07T00:00:00"/>
    <n v="31.55"/>
    <x v="2"/>
  </r>
  <r>
    <x v="879"/>
    <x v="879"/>
    <x v="3"/>
    <x v="4"/>
    <x v="879"/>
    <n v="36.200000000000003"/>
    <n v="1.87"/>
    <n v="112.47"/>
    <n v="5.18"/>
    <d v="2026-02-07T00:00:00"/>
    <n v="34.49"/>
    <x v="2"/>
  </r>
  <r>
    <x v="880"/>
    <x v="880"/>
    <x v="1"/>
    <x v="0"/>
    <x v="880"/>
    <n v="47.03"/>
    <n v="8.61"/>
    <n v="516.41"/>
    <n v="18.3"/>
    <d v="2026-02-07T00:00:00"/>
    <n v="35.64"/>
    <x v="2"/>
  </r>
  <r>
    <x v="881"/>
    <x v="881"/>
    <x v="2"/>
    <x v="5"/>
    <x v="881"/>
    <n v="44.09"/>
    <n v="6.21"/>
    <n v="372.46"/>
    <n v="14.08"/>
    <d v="2026-02-07T00:00:00"/>
    <n v="35"/>
    <x v="1"/>
  </r>
  <r>
    <x v="882"/>
    <x v="882"/>
    <x v="0"/>
    <x v="4"/>
    <x v="882"/>
    <n v="59.42"/>
    <n v="4.72"/>
    <n v="283.23"/>
    <n v="7.94"/>
    <d v="2026-02-07T00:00:00"/>
    <n v="24.26"/>
    <x v="1"/>
  </r>
  <r>
    <x v="883"/>
    <x v="883"/>
    <x v="1"/>
    <x v="2"/>
    <x v="883"/>
    <n v="56.59"/>
    <n v="7.7"/>
    <n v="461.96"/>
    <n v="13.61"/>
    <d v="2026-02-07T00:00:00"/>
    <n v="28.51"/>
    <x v="3"/>
  </r>
  <r>
    <x v="884"/>
    <x v="884"/>
    <x v="5"/>
    <x v="5"/>
    <x v="884"/>
    <n v="43.26"/>
    <n v="3.55"/>
    <n v="212.91"/>
    <n v="8.1999999999999993"/>
    <d v="2026-02-07T00:00:00"/>
    <n v="32.47"/>
    <x v="2"/>
  </r>
  <r>
    <x v="885"/>
    <x v="885"/>
    <x v="2"/>
    <x v="3"/>
    <x v="885"/>
    <n v="57.31"/>
    <n v="9.75"/>
    <n v="585.08000000000004"/>
    <n v="17.02"/>
    <d v="2026-02-07T00:00:00"/>
    <n v="29.86"/>
    <x v="2"/>
  </r>
  <r>
    <x v="886"/>
    <x v="886"/>
    <x v="6"/>
    <x v="0"/>
    <x v="886"/>
    <n v="46.9"/>
    <n v="8.2799999999999994"/>
    <n v="496.84"/>
    <n v="17.66"/>
    <d v="2026-02-07T00:00:00"/>
    <n v="35.380000000000003"/>
    <x v="2"/>
  </r>
  <r>
    <x v="887"/>
    <x v="887"/>
    <x v="6"/>
    <x v="1"/>
    <x v="887"/>
    <n v="39.65"/>
    <n v="5.72"/>
    <n v="343.315"/>
    <n v="24.48"/>
    <d v="2026-02-07T00:00:00"/>
    <n v="42.42"/>
    <x v="2"/>
  </r>
  <r>
    <x v="888"/>
    <x v="888"/>
    <x v="1"/>
    <x v="0"/>
    <x v="888"/>
    <n v="42.81"/>
    <n v="9.1999999999999993"/>
    <n v="552.15"/>
    <n v="17.809999999999999"/>
    <d v="2026-02-07T00:00:00"/>
    <n v="37.5"/>
    <x v="3"/>
  </r>
  <r>
    <x v="889"/>
    <x v="889"/>
    <x v="1"/>
    <x v="3"/>
    <x v="889"/>
    <n v="56.96"/>
    <n v="5.65"/>
    <n v="339.21"/>
    <n v="9.93"/>
    <d v="2026-02-07T00:00:00"/>
    <n v="26.49"/>
    <x v="2"/>
  </r>
  <r>
    <x v="890"/>
    <x v="890"/>
    <x v="6"/>
    <x v="2"/>
    <x v="890"/>
    <n v="49.87"/>
    <n v="8.7100000000000009"/>
    <n v="522.72"/>
    <n v="17.47"/>
    <d v="2026-02-07T00:00:00"/>
    <n v="33.799999999999997"/>
    <x v="3"/>
  </r>
  <r>
    <x v="891"/>
    <x v="891"/>
    <x v="4"/>
    <x v="4"/>
    <x v="891"/>
    <n v="15.25"/>
    <n v="24.9"/>
    <n v="1494.02"/>
    <n v="163.28"/>
    <d v="2026-02-07T00:00:00"/>
    <n v="124.02"/>
    <x v="2"/>
  </r>
  <r>
    <x v="892"/>
    <x v="892"/>
    <x v="3"/>
    <x v="2"/>
    <x v="892"/>
    <n v="39.72"/>
    <n v="6.36"/>
    <n v="381.66"/>
    <n v="16.010000000000002"/>
    <d v="2026-02-07T00:00:00"/>
    <n v="38.15"/>
    <x v="2"/>
  </r>
  <r>
    <x v="893"/>
    <x v="893"/>
    <x v="5"/>
    <x v="1"/>
    <x v="893"/>
    <n v="49.73"/>
    <n v="5.77"/>
    <n v="346.49"/>
    <n v="11.61"/>
    <d v="2026-02-07T00:00:00"/>
    <n v="30.94"/>
    <x v="3"/>
  </r>
  <r>
    <x v="894"/>
    <x v="894"/>
    <x v="3"/>
    <x v="4"/>
    <x v="894"/>
    <n v="43.03"/>
    <n v="2.37"/>
    <n v="142.25"/>
    <n v="5.51"/>
    <d v="2026-02-07T00:00:00"/>
    <n v="31.24"/>
    <x v="2"/>
  </r>
  <r>
    <x v="895"/>
    <x v="895"/>
    <x v="6"/>
    <x v="5"/>
    <x v="895"/>
    <n v="57.84"/>
    <n v="5.74"/>
    <n v="344.11"/>
    <n v="9.92"/>
    <d v="2026-02-07T00:00:00"/>
    <n v="26.04"/>
    <x v="2"/>
  </r>
  <r>
    <x v="896"/>
    <x v="896"/>
    <x v="3"/>
    <x v="4"/>
    <x v="896"/>
    <n v="49.15"/>
    <n v="1.94"/>
    <n v="116.62"/>
    <n v="3.95"/>
    <d v="2026-02-07T00:00:00"/>
    <n v="27.4"/>
    <x v="3"/>
  </r>
  <r>
    <x v="897"/>
    <x v="897"/>
    <x v="6"/>
    <x v="5"/>
    <x v="897"/>
    <n v="51.12"/>
    <n v="3.6"/>
    <n v="216.03"/>
    <n v="7.04"/>
    <d v="2026-02-07T00:00:00"/>
    <n v="27.96"/>
    <x v="1"/>
  </r>
  <r>
    <x v="898"/>
    <x v="898"/>
    <x v="4"/>
    <x v="0"/>
    <x v="898"/>
    <n v="23.03"/>
    <n v="31.02"/>
    <n v="1861.47"/>
    <n v="134.71"/>
    <d v="2026-02-07T00:00:00"/>
    <n v="105.84"/>
    <x v="2"/>
  </r>
  <r>
    <x v="899"/>
    <x v="899"/>
    <x v="5"/>
    <x v="1"/>
    <x v="899"/>
    <n v="39.049999999999997"/>
    <n v="2.25"/>
    <n v="134.72"/>
    <n v="5.75"/>
    <d v="2026-02-07T00:00:00"/>
    <n v="33.35"/>
    <x v="3"/>
  </r>
  <r>
    <x v="900"/>
    <x v="900"/>
    <x v="0"/>
    <x v="3"/>
    <x v="900"/>
    <n v="54.96"/>
    <n v="4.13"/>
    <n v="247.63"/>
    <n v="7.51"/>
    <d v="2026-02-07T00:00:00"/>
    <n v="26.28"/>
    <x v="2"/>
  </r>
  <r>
    <x v="901"/>
    <x v="901"/>
    <x v="3"/>
    <x v="2"/>
    <x v="901"/>
    <n v="40.270000000000003"/>
    <n v="2.95"/>
    <n v="177.28"/>
    <n v="7.34"/>
    <d v="2026-02-07T00:00:00"/>
    <n v="33.54"/>
    <x v="3"/>
  </r>
  <r>
    <x v="902"/>
    <x v="902"/>
    <x v="0"/>
    <x v="5"/>
    <x v="902"/>
    <n v="55.78"/>
    <n v="8.51"/>
    <n v="510.49"/>
    <n v="15.25"/>
    <d v="2026-02-07T00:00:00"/>
    <n v="29.74"/>
    <x v="1"/>
  </r>
  <r>
    <x v="903"/>
    <x v="903"/>
    <x v="4"/>
    <x v="4"/>
    <x v="903"/>
    <n v="29.46"/>
    <n v="20"/>
    <n v="1199.74"/>
    <n v="67.87"/>
    <d v="2026-02-07T00:00:00"/>
    <n v="69.209999999999994"/>
    <x v="2"/>
  </r>
  <r>
    <x v="904"/>
    <x v="904"/>
    <x v="2"/>
    <x v="0"/>
    <x v="904"/>
    <n v="42.81"/>
    <n v="5.31"/>
    <n v="318.85000000000002"/>
    <n v="10.09"/>
    <d v="2026-02-07T00:00:00"/>
    <n v="33.64"/>
    <x v="3"/>
  </r>
  <r>
    <x v="905"/>
    <x v="905"/>
    <x v="0"/>
    <x v="1"/>
    <x v="905"/>
    <n v="56.86"/>
    <n v="8.35"/>
    <n v="500.74"/>
    <n v="14.68"/>
    <d v="2026-02-07T00:00:00"/>
    <n v="28.91"/>
    <x v="2"/>
  </r>
  <r>
    <x v="906"/>
    <x v="906"/>
    <x v="5"/>
    <x v="2"/>
    <x v="906"/>
    <n v="55.31"/>
    <n v="3.49"/>
    <n v="209.29"/>
    <n v="6.31"/>
    <d v="2026-02-07T00:00:00"/>
    <n v="25.5"/>
    <x v="2"/>
  </r>
  <r>
    <x v="907"/>
    <x v="907"/>
    <x v="4"/>
    <x v="2"/>
    <x v="907"/>
    <n v="28.05"/>
    <n v="16.18"/>
    <n v="971.08"/>
    <n v="57.7"/>
    <d v="2026-02-07T00:00:00"/>
    <n v="64.83"/>
    <x v="3"/>
  </r>
  <r>
    <x v="908"/>
    <x v="908"/>
    <x v="6"/>
    <x v="1"/>
    <x v="908"/>
    <n v="49.25"/>
    <n v="8.25"/>
    <n v="495.15"/>
    <n v="16.760000000000002"/>
    <d v="2026-02-07T00:00:00"/>
    <n v="33.76"/>
    <x v="3"/>
  </r>
  <r>
    <x v="909"/>
    <x v="909"/>
    <x v="2"/>
    <x v="5"/>
    <x v="909"/>
    <n v="37.36"/>
    <n v="8.4600000000000009"/>
    <n v="507.39"/>
    <n v="22.64"/>
    <d v="2026-02-07T00:00:00"/>
    <n v="42.64"/>
    <x v="3"/>
  </r>
  <r>
    <x v="910"/>
    <x v="910"/>
    <x v="6"/>
    <x v="4"/>
    <x v="910"/>
    <n v="55.48"/>
    <n v="9.4600000000000009"/>
    <n v="567.84"/>
    <n v="17.059999999999999"/>
    <d v="2026-02-07T00:00:00"/>
    <n v="30.79"/>
    <x v="3"/>
  </r>
  <r>
    <x v="911"/>
    <x v="911"/>
    <x v="1"/>
    <x v="3"/>
    <x v="911"/>
    <n v="46.27"/>
    <n v="5.49"/>
    <n v="329.5"/>
    <n v="11.87"/>
    <d v="2026-02-07T00:00:00"/>
    <n v="32.799999999999997"/>
    <x v="2"/>
  </r>
  <r>
    <x v="912"/>
    <x v="912"/>
    <x v="0"/>
    <x v="5"/>
    <x v="912"/>
    <n v="58.67"/>
    <n v="9.4700000000000006"/>
    <n v="568.16999999999996"/>
    <n v="16.14"/>
    <d v="2026-02-07T00:00:00"/>
    <n v="28.74"/>
    <x v="1"/>
  </r>
  <r>
    <x v="913"/>
    <x v="913"/>
    <x v="6"/>
    <x v="5"/>
    <x v="913"/>
    <n v="38.14"/>
    <n v="3.06"/>
    <n v="183.6"/>
    <n v="8.02"/>
    <d v="2026-02-07T00:00:00"/>
    <n v="34.94"/>
    <x v="2"/>
  </r>
  <r>
    <x v="914"/>
    <x v="914"/>
    <x v="0"/>
    <x v="1"/>
    <x v="914"/>
    <n v="33.99"/>
    <n v="7.84"/>
    <n v="470.16"/>
    <n v="23.05"/>
    <d v="2026-02-07T00:00:00"/>
    <n v="44.53"/>
    <x v="1"/>
  </r>
  <r>
    <x v="915"/>
    <x v="915"/>
    <x v="1"/>
    <x v="4"/>
    <x v="915"/>
    <n v="54.84"/>
    <n v="2.57"/>
    <n v="154.18"/>
    <n v="4.6900000000000004"/>
    <d v="2026-02-07T00:00:00"/>
    <n v="24.93"/>
    <x v="2"/>
  </r>
  <r>
    <x v="916"/>
    <x v="916"/>
    <x v="1"/>
    <x v="4"/>
    <x v="916"/>
    <n v="40.700000000000003"/>
    <n v="3.47"/>
    <n v="207.94"/>
    <n v="8.52"/>
    <d v="2026-02-07T00:00:00"/>
    <n v="33.909999999999997"/>
    <x v="2"/>
  </r>
  <r>
    <x v="917"/>
    <x v="917"/>
    <x v="0"/>
    <x v="5"/>
    <x v="917"/>
    <n v="55.25"/>
    <n v="5.69"/>
    <n v="341.24"/>
    <n v="10.29"/>
    <d v="2026-02-07T00:00:00"/>
    <n v="27.52"/>
    <x v="1"/>
  </r>
  <r>
    <x v="918"/>
    <x v="918"/>
    <x v="3"/>
    <x v="1"/>
    <x v="918"/>
    <n v="49.79"/>
    <n v="2.56"/>
    <n v="153.74"/>
    <n v="5.15"/>
    <d v="2026-02-07T00:00:00"/>
    <n v="27.68"/>
    <x v="2"/>
  </r>
  <r>
    <x v="919"/>
    <x v="919"/>
    <x v="5"/>
    <x v="2"/>
    <x v="919"/>
    <n v="55.05"/>
    <n v="3.61"/>
    <n v="216.33"/>
    <n v="6.55"/>
    <d v="2026-02-07T00:00:00"/>
    <n v="25.75"/>
    <x v="1"/>
  </r>
  <r>
    <x v="920"/>
    <x v="920"/>
    <x v="3"/>
    <x v="0"/>
    <x v="920"/>
    <n v="38.619999999999997"/>
    <n v="1.43"/>
    <n v="85.92"/>
    <n v="3.71"/>
    <d v="2026-02-07T00:00:00"/>
    <n v="32.549999999999997"/>
    <x v="3"/>
  </r>
  <r>
    <x v="921"/>
    <x v="921"/>
    <x v="5"/>
    <x v="2"/>
    <x v="921"/>
    <n v="47.92"/>
    <n v="7.97"/>
    <n v="478.01"/>
    <n v="16.63"/>
    <d v="2026-02-07T00:00:00"/>
    <n v="34.36"/>
    <x v="2"/>
  </r>
  <r>
    <x v="922"/>
    <x v="922"/>
    <x v="1"/>
    <x v="0"/>
    <x v="922"/>
    <n v="36.72"/>
    <n v="5.38"/>
    <n v="322.54000000000002"/>
    <n v="14.64"/>
    <d v="2026-02-07T00:00:00"/>
    <n v="38.96"/>
    <x v="3"/>
  </r>
  <r>
    <x v="923"/>
    <x v="923"/>
    <x v="2"/>
    <x v="3"/>
    <x v="923"/>
    <n v="49.6"/>
    <n v="2.1800000000000002"/>
    <n v="130.62"/>
    <n v="4.3899999999999997"/>
    <d v="2026-02-07T00:00:00"/>
    <n v="27.4"/>
    <x v="1"/>
  </r>
  <r>
    <x v="924"/>
    <x v="924"/>
    <x v="2"/>
    <x v="4"/>
    <x v="924"/>
    <n v="58.08"/>
    <n v="7.99"/>
    <n v="479.57"/>
    <n v="13.76"/>
    <d v="2026-02-07T00:00:00"/>
    <n v="27.84"/>
    <x v="2"/>
  </r>
  <r>
    <x v="925"/>
    <x v="925"/>
    <x v="1"/>
    <x v="3"/>
    <x v="925"/>
    <n v="33.799999999999997"/>
    <n v="8"/>
    <n v="480.23"/>
    <n v="23.68"/>
    <d v="2026-02-07T00:00:00"/>
    <n v="44.94"/>
    <x v="3"/>
  </r>
  <r>
    <x v="926"/>
    <x v="926"/>
    <x v="3"/>
    <x v="1"/>
    <x v="926"/>
    <n v="47.28"/>
    <n v="1.39"/>
    <n v="83.47"/>
    <n v="2.94"/>
    <d v="2026-02-07T00:00:00"/>
    <n v="27.83"/>
    <x v="3"/>
  </r>
  <r>
    <x v="927"/>
    <x v="927"/>
    <x v="1"/>
    <x v="4"/>
    <x v="927"/>
    <n v="38.44"/>
    <n v="7.12"/>
    <n v="427.06"/>
    <n v="18.52"/>
    <d v="2026-02-07T00:00:00"/>
    <n v="40.04"/>
    <x v="1"/>
  </r>
  <r>
    <x v="928"/>
    <x v="928"/>
    <x v="5"/>
    <x v="5"/>
    <x v="928"/>
    <n v="57.88"/>
    <n v="9.6199999999999992"/>
    <n v="577.27"/>
    <n v="16.62"/>
    <d v="2026-02-07T00:00:00"/>
    <n v="29.37"/>
    <x v="3"/>
  </r>
  <r>
    <x v="929"/>
    <x v="929"/>
    <x v="5"/>
    <x v="1"/>
    <x v="929"/>
    <n v="53.92"/>
    <n v="7.49"/>
    <n v="449.29"/>
    <n v="13.89"/>
    <d v="2026-02-07T00:00:00"/>
    <n v="29.99"/>
    <x v="2"/>
  </r>
  <r>
    <x v="930"/>
    <x v="930"/>
    <x v="4"/>
    <x v="1"/>
    <x v="930"/>
    <n v="22.57"/>
    <n v="12.77"/>
    <n v="765.91"/>
    <n v="56.56"/>
    <d v="2026-02-07T00:00:00"/>
    <n v="67"/>
    <x v="3"/>
  </r>
  <r>
    <x v="931"/>
    <x v="931"/>
    <x v="1"/>
    <x v="5"/>
    <x v="931"/>
    <n v="43.41"/>
    <n v="6.08"/>
    <n v="364.7"/>
    <n v="14"/>
    <d v="2026-02-07T00:00:00"/>
    <n v="35.299999999999997"/>
    <x v="3"/>
  </r>
  <r>
    <x v="932"/>
    <x v="932"/>
    <x v="0"/>
    <x v="2"/>
    <x v="932"/>
    <n v="42.3"/>
    <n v="9.48"/>
    <n v="569.03"/>
    <n v="22.42"/>
    <d v="2026-02-07T00:00:00"/>
    <n v="40.06"/>
    <x v="1"/>
  </r>
  <r>
    <x v="933"/>
    <x v="933"/>
    <x v="1"/>
    <x v="2"/>
    <x v="933"/>
    <n v="59.06"/>
    <n v="2.35"/>
    <n v="140.81"/>
    <n v="3.97"/>
    <d v="2026-02-07T00:00:00"/>
    <n v="22.46"/>
    <x v="2"/>
  </r>
  <r>
    <x v="934"/>
    <x v="934"/>
    <x v="3"/>
    <x v="4"/>
    <x v="934"/>
    <n v="42.19"/>
    <n v="1.83"/>
    <n v="109.88"/>
    <n v="4.34"/>
    <d v="2026-02-07T00:00:00"/>
    <n v="31.08"/>
    <x v="2"/>
  </r>
  <r>
    <x v="935"/>
    <x v="935"/>
    <x v="6"/>
    <x v="1"/>
    <x v="935"/>
    <n v="39.770000000000003"/>
    <n v="4.21"/>
    <n v="252.71"/>
    <n v="10.59"/>
    <d v="2026-02-07T00:00:00"/>
    <n v="35.409999999999997"/>
    <x v="3"/>
  </r>
  <r>
    <x v="936"/>
    <x v="936"/>
    <x v="3"/>
    <x v="1"/>
    <x v="936"/>
    <n v="44.3"/>
    <n v="1.36"/>
    <n v="81.55"/>
    <n v="3.07"/>
    <d v="2026-02-07T00:00:00"/>
    <n v="29.39"/>
    <x v="3"/>
  </r>
  <r>
    <x v="937"/>
    <x v="937"/>
    <x v="4"/>
    <x v="4"/>
    <x v="937"/>
    <n v="27.43"/>
    <n v="14.47"/>
    <n v="868.21"/>
    <n v="52.75"/>
    <d v="2026-02-07T00:00:00"/>
    <n v="62.66"/>
    <x v="2"/>
  </r>
  <r>
    <x v="938"/>
    <x v="938"/>
    <x v="6"/>
    <x v="4"/>
    <x v="938"/>
    <n v="40.18"/>
    <n v="2.82"/>
    <n v="169.18"/>
    <n v="7.02"/>
    <d v="2026-02-07T00:00:00"/>
    <n v="33.42"/>
    <x v="2"/>
  </r>
  <r>
    <x v="939"/>
    <x v="939"/>
    <x v="3"/>
    <x v="5"/>
    <x v="939"/>
    <n v="37.68"/>
    <n v="1.56"/>
    <n v="93.59"/>
    <n v="4.1399999999999997"/>
    <d v="2026-02-07T00:00:00"/>
    <n v="33.229999999999997"/>
    <x v="2"/>
  </r>
  <r>
    <x v="940"/>
    <x v="940"/>
    <x v="6"/>
    <x v="2"/>
    <x v="940"/>
    <n v="55.16"/>
    <n v="4.2699999999999996"/>
    <n v="256.05"/>
    <n v="7.74"/>
    <d v="2026-02-07T00:00:00"/>
    <n v="26.29"/>
    <x v="3"/>
  </r>
  <r>
    <x v="941"/>
    <x v="941"/>
    <x v="2"/>
    <x v="0"/>
    <x v="941"/>
    <n v="34.229999999999997"/>
    <n v="9.86"/>
    <n v="591.67999999999995"/>
    <n v="28.81"/>
    <d v="2026-02-07T00:00:00"/>
    <n v="47.29"/>
    <x v="1"/>
  </r>
  <r>
    <x v="942"/>
    <x v="942"/>
    <x v="0"/>
    <x v="0"/>
    <x v="942"/>
    <n v="57.9"/>
    <n v="2.02"/>
    <n v="121.16"/>
    <n v="3.49"/>
    <d v="2026-02-07T00:00:00"/>
    <n v="22.8"/>
    <x v="2"/>
  </r>
  <r>
    <x v="943"/>
    <x v="943"/>
    <x v="5"/>
    <x v="2"/>
    <x v="943"/>
    <n v="54.94"/>
    <n v="5.07"/>
    <n v="304.45"/>
    <n v="9.24"/>
    <d v="2026-02-07T00:00:00"/>
    <n v="27.15"/>
    <x v="2"/>
  </r>
  <r>
    <x v="944"/>
    <x v="944"/>
    <x v="4"/>
    <x v="0"/>
    <x v="944"/>
    <n v="29.73"/>
    <n v="22.01"/>
    <n v="1320.46"/>
    <n v="74.03"/>
    <d v="2026-02-07T00:00:00"/>
    <n v="72.150000000000006"/>
    <x v="3"/>
  </r>
  <r>
    <x v="945"/>
    <x v="945"/>
    <x v="1"/>
    <x v="5"/>
    <x v="945"/>
    <n v="49.58"/>
    <n v="5"/>
    <n v="300.05"/>
    <n v="10.09"/>
    <d v="2026-02-07T00:00:00"/>
    <n v="30.26"/>
    <x v="2"/>
  </r>
  <r>
    <x v="946"/>
    <x v="946"/>
    <x v="6"/>
    <x v="5"/>
    <x v="946"/>
    <n v="57.65"/>
    <n v="8.8800000000000008"/>
    <n v="532.94000000000005"/>
    <n v="15.41"/>
    <d v="2026-02-07T00:00:00"/>
    <n v="28.88"/>
    <x v="2"/>
  </r>
  <r>
    <x v="947"/>
    <x v="947"/>
    <x v="3"/>
    <x v="4"/>
    <x v="947"/>
    <n v="39.69"/>
    <n v="1.27"/>
    <n v="76.05"/>
    <n v="3.19"/>
    <d v="2026-02-07T00:00:00"/>
    <n v="31.75"/>
    <x v="2"/>
  </r>
  <r>
    <x v="948"/>
    <x v="948"/>
    <x v="5"/>
    <x v="2"/>
    <x v="948"/>
    <n v="48.33"/>
    <n v="6.01"/>
    <n v="360.88"/>
    <n v="12.44"/>
    <d v="2026-02-07T00:00:00"/>
    <n v="32.06"/>
    <x v="2"/>
  </r>
  <r>
    <x v="949"/>
    <x v="949"/>
    <x v="5"/>
    <x v="4"/>
    <x v="949"/>
    <n v="52.44"/>
    <n v="3.83"/>
    <n v="229.82"/>
    <n v="7.3"/>
    <d v="2026-02-07T00:00:00"/>
    <n v="27.43"/>
    <x v="2"/>
  </r>
  <r>
    <x v="950"/>
    <x v="950"/>
    <x v="0"/>
    <x v="2"/>
    <x v="950"/>
    <n v="46.64"/>
    <n v="5.72"/>
    <n v="343.315"/>
    <n v="5.42"/>
    <d v="2026-02-07T00:00:00"/>
    <n v="29.39"/>
    <x v="1"/>
  </r>
  <r>
    <x v="951"/>
    <x v="951"/>
    <x v="5"/>
    <x v="1"/>
    <x v="951"/>
    <n v="49.01"/>
    <n v="5.78"/>
    <n v="346.87"/>
    <n v="11.8"/>
    <d v="2026-02-07T00:00:00"/>
    <n v="31.4"/>
    <x v="2"/>
  </r>
  <r>
    <x v="952"/>
    <x v="952"/>
    <x v="4"/>
    <x v="4"/>
    <x v="952"/>
    <n v="17.68"/>
    <n v="27.94"/>
    <n v="1676.3"/>
    <n v="158.02000000000001"/>
    <d v="2026-02-07T00:00:00"/>
    <n v="120.17"/>
    <x v="3"/>
  </r>
  <r>
    <x v="953"/>
    <x v="953"/>
    <x v="1"/>
    <x v="5"/>
    <x v="953"/>
    <n v="49.56"/>
    <n v="5.65"/>
    <n v="339.12"/>
    <n v="11.4"/>
    <d v="2026-02-07T00:00:00"/>
    <n v="30.92"/>
    <x v="1"/>
  </r>
  <r>
    <x v="954"/>
    <x v="954"/>
    <x v="3"/>
    <x v="0"/>
    <x v="954"/>
    <n v="48.12"/>
    <n v="2.09"/>
    <n v="125.29"/>
    <n v="4.34"/>
    <d v="2026-02-07T00:00:00"/>
    <n v="28.11"/>
    <x v="1"/>
  </r>
  <r>
    <x v="955"/>
    <x v="955"/>
    <x v="3"/>
    <x v="5"/>
    <x v="955"/>
    <n v="48.78"/>
    <n v="1.5"/>
    <n v="90.07"/>
    <n v="3.08"/>
    <d v="2026-02-07T00:00:00"/>
    <n v="27.15"/>
    <x v="2"/>
  </r>
  <r>
    <x v="956"/>
    <x v="956"/>
    <x v="4"/>
    <x v="4"/>
    <x v="956"/>
    <n v="25.05"/>
    <n v="11.92"/>
    <n v="715.09"/>
    <n v="47.58"/>
    <d v="2026-02-07T00:00:00"/>
    <n v="61.27"/>
    <x v="1"/>
  </r>
  <r>
    <x v="957"/>
    <x v="957"/>
    <x v="3"/>
    <x v="5"/>
    <x v="957"/>
    <n v="35.299999999999997"/>
    <n v="1.98"/>
    <n v="118.56"/>
    <n v="5.6"/>
    <d v="2026-02-07T00:00:00"/>
    <n v="35.15"/>
    <x v="2"/>
  </r>
  <r>
    <x v="958"/>
    <x v="958"/>
    <x v="2"/>
    <x v="1"/>
    <x v="958"/>
    <n v="50.05"/>
    <n v="9.81"/>
    <n v="588.85"/>
    <n v="19.61"/>
    <d v="2026-02-07T00:00:00"/>
    <n v="34.78"/>
    <x v="1"/>
  </r>
  <r>
    <x v="959"/>
    <x v="959"/>
    <x v="4"/>
    <x v="4"/>
    <x v="959"/>
    <n v="26.8"/>
    <n v="24.9"/>
    <n v="1494.09"/>
    <n v="92.92"/>
    <d v="2026-02-07T00:00:00"/>
    <n v="83.06"/>
    <x v="2"/>
  </r>
  <r>
    <x v="960"/>
    <x v="960"/>
    <x v="4"/>
    <x v="5"/>
    <x v="960"/>
    <n v="19.72"/>
    <n v="12.15"/>
    <n v="728.71"/>
    <n v="61.59"/>
    <d v="2026-02-07T00:00:00"/>
    <n v="70.94"/>
    <x v="2"/>
  </r>
  <r>
    <x v="961"/>
    <x v="961"/>
    <x v="5"/>
    <x v="0"/>
    <x v="961"/>
    <n v="44.84"/>
    <n v="3.67"/>
    <n v="220.18"/>
    <n v="8.18"/>
    <d v="2026-02-07T00:00:00"/>
    <n v="31.67"/>
    <x v="2"/>
  </r>
  <r>
    <x v="962"/>
    <x v="962"/>
    <x v="6"/>
    <x v="2"/>
    <x v="962"/>
    <n v="58.21"/>
    <n v="6.95"/>
    <n v="417.29"/>
    <n v="11.95"/>
    <d v="2026-02-07T00:00:00"/>
    <n v="26.87"/>
    <x v="2"/>
  </r>
  <r>
    <x v="963"/>
    <x v="963"/>
    <x v="3"/>
    <x v="0"/>
    <x v="963"/>
    <n v="41.48"/>
    <n v="2.63"/>
    <n v="157.88999999999999"/>
    <n v="6.34"/>
    <d v="2026-02-07T00:00:00"/>
    <n v="32.43"/>
    <x v="2"/>
  </r>
  <r>
    <x v="964"/>
    <x v="964"/>
    <x v="5"/>
    <x v="0"/>
    <x v="964"/>
    <n v="42.69"/>
    <n v="8.44"/>
    <n v="506.25"/>
    <n v="19.760000000000002"/>
    <d v="2026-02-07T00:00:00"/>
    <n v="38.54"/>
    <x v="2"/>
  </r>
  <r>
    <x v="965"/>
    <x v="965"/>
    <x v="6"/>
    <x v="1"/>
    <x v="965"/>
    <n v="56.16"/>
    <n v="9.07"/>
    <n v="544.41"/>
    <n v="16.16"/>
    <d v="2026-02-07T00:00:00"/>
    <n v="30"/>
    <x v="1"/>
  </r>
  <r>
    <x v="966"/>
    <x v="966"/>
    <x v="6"/>
    <x v="5"/>
    <x v="966"/>
    <n v="43.45"/>
    <n v="7.06"/>
    <n v="423.5"/>
    <n v="16.239999999999998"/>
    <d v="2026-02-07T00:00:00"/>
    <n v="36.4"/>
    <x v="2"/>
  </r>
  <r>
    <x v="967"/>
    <x v="967"/>
    <x v="0"/>
    <x v="3"/>
    <x v="967"/>
    <n v="55.14"/>
    <n v="4.3499999999999996"/>
    <n v="261.27999999999997"/>
    <n v="7.9"/>
    <d v="2026-02-07T00:00:00"/>
    <n v="26.38"/>
    <x v="2"/>
  </r>
  <r>
    <x v="968"/>
    <x v="968"/>
    <x v="0"/>
    <x v="4"/>
    <x v="968"/>
    <n v="31.43"/>
    <n v="3.23"/>
    <n v="193.57"/>
    <n v="10.26"/>
    <d v="2026-02-07T00:00:00"/>
    <n v="39.42"/>
    <x v="3"/>
  </r>
  <r>
    <x v="969"/>
    <x v="969"/>
    <x v="5"/>
    <x v="4"/>
    <x v="969"/>
    <n v="52.3"/>
    <n v="5.27"/>
    <n v="315.93"/>
    <n v="10.07"/>
    <d v="2026-02-07T00:00:00"/>
    <n v="28.89"/>
    <x v="2"/>
  </r>
  <r>
    <x v="970"/>
    <x v="970"/>
    <x v="4"/>
    <x v="2"/>
    <x v="970"/>
    <n v="27.49"/>
    <n v="39.81"/>
    <n v="2388.79"/>
    <n v="144.83000000000001"/>
    <d v="2026-02-07T00:00:00"/>
    <n v="108.67"/>
    <x v="2"/>
  </r>
  <r>
    <x v="971"/>
    <x v="971"/>
    <x v="6"/>
    <x v="2"/>
    <x v="971"/>
    <n v="57.88"/>
    <n v="4.49"/>
    <n v="269.12"/>
    <n v="7.75"/>
    <d v="2026-02-07T00:00:00"/>
    <n v="24.94"/>
    <x v="2"/>
  </r>
  <r>
    <x v="972"/>
    <x v="972"/>
    <x v="4"/>
    <x v="4"/>
    <x v="972"/>
    <n v="27.55"/>
    <n v="25.94"/>
    <n v="1556.61"/>
    <n v="94.17"/>
    <d v="2026-02-07T00:00:00"/>
    <n v="83.31"/>
    <x v="1"/>
  </r>
  <r>
    <x v="973"/>
    <x v="973"/>
    <x v="1"/>
    <x v="0"/>
    <x v="973"/>
    <n v="57.62"/>
    <n v="6.67"/>
    <n v="400.03"/>
    <n v="11.57"/>
    <d v="2026-02-07T00:00:00"/>
    <n v="26.98"/>
    <x v="3"/>
  </r>
  <r>
    <x v="974"/>
    <x v="974"/>
    <x v="2"/>
    <x v="5"/>
    <x v="974"/>
    <n v="43.94"/>
    <n v="5.81"/>
    <n v="348.57"/>
    <n v="13.22"/>
    <d v="2026-02-07T00:00:00"/>
    <n v="34.64"/>
    <x v="2"/>
  </r>
  <r>
    <x v="975"/>
    <x v="975"/>
    <x v="0"/>
    <x v="2"/>
    <x v="975"/>
    <n v="43.44"/>
    <n v="4.6399999999999997"/>
    <n v="278.62"/>
    <n v="10.69"/>
    <d v="2026-02-07T00:00:00"/>
    <n v="33.630000000000003"/>
    <x v="2"/>
  </r>
  <r>
    <x v="976"/>
    <x v="976"/>
    <x v="4"/>
    <x v="0"/>
    <x v="976"/>
    <n v="15.93"/>
    <n v="16.86"/>
    <n v="1011.71"/>
    <n v="105.85"/>
    <d v="2026-02-07T00:00:00"/>
    <n v="94.96"/>
    <x v="3"/>
  </r>
  <r>
    <x v="977"/>
    <x v="977"/>
    <x v="3"/>
    <x v="4"/>
    <x v="977"/>
    <n v="39.81"/>
    <n v="6.27"/>
    <n v="376.38"/>
    <n v="15.76"/>
    <d v="2026-02-07T00:00:00"/>
    <n v="37.979999999999997"/>
    <x v="2"/>
  </r>
  <r>
    <x v="978"/>
    <x v="978"/>
    <x v="3"/>
    <x v="5"/>
    <x v="978"/>
    <n v="39.840000000000003"/>
    <n v="1.6"/>
    <n v="96.04"/>
    <n v="4.0199999999999996"/>
    <d v="2026-02-07T00:00:00"/>
    <n v="32.090000000000003"/>
    <x v="2"/>
  </r>
  <r>
    <x v="979"/>
    <x v="979"/>
    <x v="4"/>
    <x v="4"/>
    <x v="979"/>
    <n v="19.010000000000002"/>
    <n v="27.44"/>
    <n v="1646.62"/>
    <n v="144.36000000000001"/>
    <d v="2026-02-07T00:00:00"/>
    <n v="112.68"/>
    <x v="2"/>
  </r>
  <r>
    <x v="980"/>
    <x v="980"/>
    <x v="2"/>
    <x v="1"/>
    <x v="980"/>
    <n v="54.55"/>
    <n v="7.11"/>
    <n v="426.85"/>
    <n v="13.04"/>
    <d v="2026-02-07T00:00:00"/>
    <n v="29.25"/>
    <x v="2"/>
  </r>
  <r>
    <x v="981"/>
    <x v="981"/>
    <x v="0"/>
    <x v="3"/>
    <x v="981"/>
    <n v="38.659999999999997"/>
    <n v="3.89"/>
    <n v="233.4"/>
    <n v="10.06"/>
    <d v="2026-02-07T00:00:00"/>
    <n v="35.700000000000003"/>
    <x v="3"/>
  </r>
  <r>
    <x v="982"/>
    <x v="982"/>
    <x v="6"/>
    <x v="0"/>
    <x v="982"/>
    <n v="31.41"/>
    <n v="2.52"/>
    <n v="151.18"/>
    <n v="8.02"/>
    <d v="2026-02-07T00:00:00"/>
    <n v="38.31"/>
    <x v="2"/>
  </r>
  <r>
    <x v="983"/>
    <x v="983"/>
    <x v="2"/>
    <x v="4"/>
    <x v="983"/>
    <n v="57.79"/>
    <n v="2.31"/>
    <n v="138.56"/>
    <n v="4"/>
    <d v="2026-02-07T00:00:00"/>
    <n v="23.11"/>
    <x v="2"/>
  </r>
  <r>
    <x v="984"/>
    <x v="984"/>
    <x v="5"/>
    <x v="3"/>
    <x v="984"/>
    <n v="58.63"/>
    <n v="3.44"/>
    <n v="206.56"/>
    <n v="5.87"/>
    <d v="2026-02-07T00:00:00"/>
    <n v="23.62"/>
    <x v="2"/>
  </r>
  <r>
    <x v="985"/>
    <x v="985"/>
    <x v="3"/>
    <x v="2"/>
    <x v="985"/>
    <n v="35.799999999999997"/>
    <n v="2.65"/>
    <n v="158.88"/>
    <n v="7.4"/>
    <d v="2026-02-07T00:00:00"/>
    <n v="35.799999999999997"/>
    <x v="3"/>
  </r>
  <r>
    <x v="986"/>
    <x v="986"/>
    <x v="0"/>
    <x v="1"/>
    <x v="986"/>
    <n v="51.81"/>
    <n v="2.25"/>
    <n v="134.72"/>
    <n v="4.33"/>
    <d v="2026-02-07T00:00:00"/>
    <n v="26.26"/>
    <x v="2"/>
  </r>
  <r>
    <x v="987"/>
    <x v="987"/>
    <x v="6"/>
    <x v="1"/>
    <x v="987"/>
    <n v="42"/>
    <n v="5.12"/>
    <n v="307.11"/>
    <n v="12.19"/>
    <d v="2026-02-07T00:00:00"/>
    <n v="35.1"/>
    <x v="2"/>
  </r>
  <r>
    <x v="988"/>
    <x v="988"/>
    <x v="5"/>
    <x v="1"/>
    <x v="988"/>
    <n v="58.36"/>
    <n v="7.17"/>
    <n v="429.9"/>
    <n v="12.28"/>
    <d v="2026-02-07T00:00:00"/>
    <n v="26.96"/>
    <x v="3"/>
  </r>
  <r>
    <x v="989"/>
    <x v="989"/>
    <x v="6"/>
    <x v="0"/>
    <x v="989"/>
    <n v="41.83"/>
    <n v="8.19"/>
    <n v="491.53"/>
    <n v="19.579999999999998"/>
    <d v="2026-02-07T00:00:00"/>
    <n v="38.880000000000003"/>
    <x v="2"/>
  </r>
  <r>
    <x v="990"/>
    <x v="990"/>
    <x v="1"/>
    <x v="3"/>
    <x v="990"/>
    <n v="30.26"/>
    <n v="4.82"/>
    <n v="289.11"/>
    <n v="15.92"/>
    <d v="2026-02-07T00:00:00"/>
    <n v="42.83"/>
    <x v="2"/>
  </r>
  <r>
    <x v="991"/>
    <x v="991"/>
    <x v="1"/>
    <x v="2"/>
    <x v="991"/>
    <n v="49.05"/>
    <n v="9.1199999999999992"/>
    <n v="547.29999999999995"/>
    <n v="18.600000000000001"/>
    <d v="2026-02-07T00:00:00"/>
    <n v="34.78"/>
    <x v="3"/>
  </r>
  <r>
    <x v="992"/>
    <x v="992"/>
    <x v="0"/>
    <x v="3"/>
    <x v="992"/>
    <n v="47.7"/>
    <n v="5.94"/>
    <n v="356.27"/>
    <n v="12.45"/>
    <d v="2026-02-07T00:00:00"/>
    <n v="32.380000000000003"/>
    <x v="2"/>
  </r>
  <r>
    <x v="993"/>
    <x v="993"/>
    <x v="3"/>
    <x v="0"/>
    <x v="993"/>
    <n v="44.8"/>
    <n v="2.48"/>
    <n v="148.57"/>
    <n v="5.53"/>
    <d v="2026-02-07T00:00:00"/>
    <n v="30.37"/>
    <x v="3"/>
  </r>
  <r>
    <x v="994"/>
    <x v="994"/>
    <x v="0"/>
    <x v="2"/>
    <x v="994"/>
    <n v="41.99"/>
    <n v="4.43"/>
    <n v="266.02"/>
    <n v="10.56"/>
    <d v="2026-02-07T00:00:00"/>
    <n v="34.29"/>
    <x v="2"/>
  </r>
  <r>
    <x v="995"/>
    <x v="995"/>
    <x v="1"/>
    <x v="1"/>
    <x v="995"/>
    <n v="34.450000000000003"/>
    <n v="7.94"/>
    <n v="476.27"/>
    <n v="23.04"/>
    <d v="2026-02-07T00:00:00"/>
    <n v="44.3"/>
    <x v="2"/>
  </r>
  <r>
    <x v="996"/>
    <x v="996"/>
    <x v="4"/>
    <x v="5"/>
    <x v="996"/>
    <n v="27.69"/>
    <n v="28.24"/>
    <n v="1694.14"/>
    <n v="101.97"/>
    <d v="2026-02-07T00:00:00"/>
    <n v="87.14"/>
    <x v="2"/>
  </r>
  <r>
    <x v="997"/>
    <x v="997"/>
    <x v="4"/>
    <x v="2"/>
    <x v="997"/>
    <n v="26"/>
    <n v="5.72"/>
    <n v="343.315"/>
    <n v="73.77"/>
    <d v="2026-02-07T00:00:00"/>
    <n v="73.89"/>
    <x v="2"/>
  </r>
  <r>
    <x v="998"/>
    <x v="998"/>
    <x v="2"/>
    <x v="2"/>
    <x v="998"/>
    <n v="42.81"/>
    <n v="8.08"/>
    <n v="484.96"/>
    <n v="16.809999999999999"/>
    <d v="2026-02-07T00:00:00"/>
    <n v="37"/>
    <x v="2"/>
  </r>
  <r>
    <x v="999"/>
    <x v="999"/>
    <x v="1"/>
    <x v="5"/>
    <x v="999"/>
    <n v="58.05"/>
    <n v="3.48"/>
    <n v="208.87"/>
    <n v="6"/>
    <d v="2026-02-07T00:00:00"/>
    <n v="23.98"/>
    <x v="2"/>
  </r>
  <r>
    <x v="1000"/>
    <x v="1000"/>
    <x v="6"/>
    <x v="4"/>
    <x v="1000"/>
    <n v="50.59"/>
    <n v="3.73"/>
    <n v="223.79"/>
    <n v="7.37"/>
    <d v="2026-02-07T00:00:00"/>
    <n v="28.39"/>
    <x v="2"/>
  </r>
  <r>
    <x v="1001"/>
    <x v="1001"/>
    <x v="3"/>
    <x v="4"/>
    <x v="1001"/>
    <n v="41.26"/>
    <n v="1.99"/>
    <n v="119.11"/>
    <n v="4.8099999999999996"/>
    <d v="2026-02-07T00:00:00"/>
    <n v="31.78"/>
    <x v="2"/>
  </r>
  <r>
    <x v="1002"/>
    <x v="1002"/>
    <x v="0"/>
    <x v="4"/>
    <x v="1002"/>
    <n v="33.44"/>
    <n v="7.72"/>
    <n v="463.31"/>
    <n v="23.09"/>
    <d v="2026-02-07T00:00:00"/>
    <n v="44.83"/>
    <x v="3"/>
  </r>
  <r>
    <x v="1003"/>
    <x v="1003"/>
    <x v="5"/>
    <x v="0"/>
    <x v="1003"/>
    <n v="43.09"/>
    <n v="7.02"/>
    <n v="421.42"/>
    <n v="16.3"/>
    <d v="2026-02-07T00:00:00"/>
    <n v="36.61"/>
    <x v="2"/>
  </r>
  <r>
    <x v="1004"/>
    <x v="1004"/>
    <x v="1"/>
    <x v="2"/>
    <x v="1004"/>
    <n v="36.229999999999997"/>
    <n v="3.24"/>
    <n v="194.48"/>
    <n v="8.9499999999999993"/>
    <d v="2026-02-07T00:00:00"/>
    <n v="36.36"/>
    <x v="3"/>
  </r>
  <r>
    <x v="1005"/>
    <x v="1005"/>
    <x v="1"/>
    <x v="5"/>
    <x v="1005"/>
    <n v="48.58"/>
    <n v="7.15"/>
    <n v="428.77"/>
    <n v="14.71"/>
    <d v="2026-02-07T00:00:00"/>
    <n v="33.07"/>
    <x v="3"/>
  </r>
  <r>
    <x v="1006"/>
    <x v="1006"/>
    <x v="6"/>
    <x v="2"/>
    <x v="1006"/>
    <n v="57.03"/>
    <n v="3.81"/>
    <n v="228.78"/>
    <n v="6.69"/>
    <d v="2026-02-07T00:00:00"/>
    <n v="24.83"/>
    <x v="3"/>
  </r>
  <r>
    <x v="1007"/>
    <x v="1007"/>
    <x v="2"/>
    <x v="4"/>
    <x v="1007"/>
    <n v="48.57"/>
    <n v="2.67"/>
    <n v="160.27000000000001"/>
    <n v="5.5"/>
    <d v="2026-02-07T00:00:00"/>
    <n v="28.47"/>
    <x v="2"/>
  </r>
  <r>
    <x v="1008"/>
    <x v="1008"/>
    <x v="5"/>
    <x v="4"/>
    <x v="1008"/>
    <n v="44.61"/>
    <n v="7.52"/>
    <n v="451.43"/>
    <n v="16.87"/>
    <d v="2026-02-07T00:00:00"/>
    <n v="36.130000000000003"/>
    <x v="3"/>
  </r>
  <r>
    <x v="1009"/>
    <x v="1009"/>
    <x v="0"/>
    <x v="3"/>
    <x v="1009"/>
    <n v="31.49"/>
    <n v="5.0999999999999996"/>
    <n v="305.74"/>
    <n v="16.18"/>
    <d v="2026-02-07T00:00:00"/>
    <n v="42.35"/>
    <x v="3"/>
  </r>
  <r>
    <x v="1010"/>
    <x v="1010"/>
    <x v="3"/>
    <x v="3"/>
    <x v="1010"/>
    <n v="36.43"/>
    <n v="2.67"/>
    <n v="160.44"/>
    <n v="7.34"/>
    <d v="2026-02-07T00:00:00"/>
    <n v="35.46"/>
    <x v="2"/>
  </r>
  <r>
    <x v="1011"/>
    <x v="1011"/>
    <x v="3"/>
    <x v="3"/>
    <x v="1011"/>
    <n v="45.68"/>
    <n v="2.29"/>
    <n v="137.43"/>
    <n v="5.01"/>
    <d v="2026-02-07T00:00:00"/>
    <n v="29.67"/>
    <x v="2"/>
  </r>
  <r>
    <x v="1012"/>
    <x v="1012"/>
    <x v="3"/>
    <x v="3"/>
    <x v="1012"/>
    <n v="48.35"/>
    <n v="2.74"/>
    <n v="164.65"/>
    <n v="5.68"/>
    <d v="2026-02-07T00:00:00"/>
    <n v="28.67"/>
    <x v="3"/>
  </r>
  <r>
    <x v="1013"/>
    <x v="1013"/>
    <x v="5"/>
    <x v="5"/>
    <x v="1013"/>
    <n v="48.88"/>
    <n v="5.24"/>
    <n v="314.37"/>
    <n v="10.72"/>
    <d v="2026-02-07T00:00:00"/>
    <n v="30.92"/>
    <x v="2"/>
  </r>
  <r>
    <x v="1014"/>
    <x v="1014"/>
    <x v="0"/>
    <x v="3"/>
    <x v="1014"/>
    <n v="30.1"/>
    <n v="7.75"/>
    <n v="464.98"/>
    <n v="25.75"/>
    <d v="2026-02-07T00:00:00"/>
    <n v="47.83"/>
    <x v="2"/>
  </r>
  <r>
    <x v="1015"/>
    <x v="1015"/>
    <x v="1"/>
    <x v="3"/>
    <x v="1015"/>
    <n v="47.43"/>
    <n v="9.83"/>
    <n v="589.9"/>
    <n v="20.73"/>
    <d v="2026-02-07T00:00:00"/>
    <n v="36.65"/>
    <x v="2"/>
  </r>
  <r>
    <x v="1016"/>
    <x v="1016"/>
    <x v="3"/>
    <x v="4"/>
    <x v="1016"/>
    <n v="44.29"/>
    <n v="1.76"/>
    <n v="105.81"/>
    <n v="3.98"/>
    <d v="2026-02-07T00:00:00"/>
    <n v="29.85"/>
    <x v="3"/>
  </r>
  <r>
    <x v="1017"/>
    <x v="1017"/>
    <x v="6"/>
    <x v="2"/>
    <x v="1017"/>
    <n v="59.12"/>
    <n v="2.11"/>
    <n v="126.45"/>
    <n v="3.56"/>
    <d v="2026-02-07T00:00:00"/>
    <n v="22.22"/>
    <x v="2"/>
  </r>
  <r>
    <x v="1018"/>
    <x v="1018"/>
    <x v="4"/>
    <x v="1"/>
    <x v="1018"/>
    <n v="15.34"/>
    <n v="12.64"/>
    <n v="758.5"/>
    <n v="82.41"/>
    <d v="2026-02-07T00:00:00"/>
    <n v="83.54"/>
    <x v="3"/>
  </r>
  <r>
    <x v="1019"/>
    <x v="1019"/>
    <x v="2"/>
    <x v="0"/>
    <x v="1019"/>
    <n v="49.13"/>
    <n v="4.12"/>
    <n v="247.49"/>
    <n v="8.4"/>
    <d v="2026-02-07T00:00:00"/>
    <n v="29.64"/>
    <x v="3"/>
  </r>
  <r>
    <x v="1020"/>
    <x v="1020"/>
    <x v="2"/>
    <x v="0"/>
    <x v="1020"/>
    <n v="52.63"/>
    <n v="2.41"/>
    <n v="144.84"/>
    <n v="4.59"/>
    <d v="2026-02-07T00:00:00"/>
    <n v="25.98"/>
    <x v="2"/>
  </r>
  <r>
    <x v="1021"/>
    <x v="1021"/>
    <x v="2"/>
    <x v="4"/>
    <x v="1021"/>
    <n v="50.58"/>
    <n v="7.77"/>
    <n v="466.3"/>
    <n v="15.37"/>
    <d v="2026-02-07T00:00:00"/>
    <n v="32.4"/>
    <x v="2"/>
  </r>
  <r>
    <x v="1022"/>
    <x v="1022"/>
    <x v="3"/>
    <x v="0"/>
    <x v="1022"/>
    <n v="49.97"/>
    <n v="2.5299999999999998"/>
    <n v="151.84"/>
    <n v="5.0599999999999996"/>
    <d v="2026-02-07T00:00:00"/>
    <n v="27.55"/>
    <x v="3"/>
  </r>
  <r>
    <x v="1023"/>
    <x v="1023"/>
    <x v="3"/>
    <x v="5"/>
    <x v="1023"/>
    <n v="38.96"/>
    <n v="5.72"/>
    <n v="343.315"/>
    <n v="4.43"/>
    <d v="2026-02-07T00:00:00"/>
    <n v="32.74"/>
    <x v="2"/>
  </r>
  <r>
    <x v="1024"/>
    <x v="1024"/>
    <x v="0"/>
    <x v="0"/>
    <x v="1024"/>
    <n v="39.43"/>
    <n v="3.92"/>
    <n v="235.02"/>
    <n v="9.93"/>
    <d v="2026-02-07T00:00:00"/>
    <n v="35.25"/>
    <x v="2"/>
  </r>
  <r>
    <x v="1025"/>
    <x v="1025"/>
    <x v="1"/>
    <x v="5"/>
    <x v="1025"/>
    <n v="46.82"/>
    <n v="9.65"/>
    <n v="578.78"/>
    <n v="20.6"/>
    <d v="2026-02-07T00:00:00"/>
    <n v="36.89"/>
    <x v="2"/>
  </r>
  <r>
    <x v="1026"/>
    <x v="1026"/>
    <x v="1"/>
    <x v="4"/>
    <x v="1026"/>
    <n v="48.54"/>
    <n v="9.4700000000000006"/>
    <n v="568.01"/>
    <n v="19.5"/>
    <d v="2026-02-07T00:00:00"/>
    <n v="35.479999999999997"/>
    <x v="2"/>
  </r>
  <r>
    <x v="1027"/>
    <x v="1027"/>
    <x v="5"/>
    <x v="3"/>
    <x v="1027"/>
    <n v="38.07"/>
    <n v="7.36"/>
    <n v="441.64"/>
    <n v="19.329999999999998"/>
    <d v="2026-02-07T00:00:00"/>
    <n v="40.630000000000003"/>
    <x v="2"/>
  </r>
  <r>
    <x v="1028"/>
    <x v="1028"/>
    <x v="5"/>
    <x v="3"/>
    <x v="1028"/>
    <n v="33.549999999999997"/>
    <n v="2.11"/>
    <n v="126.72"/>
    <n v="6.3"/>
    <d v="2026-02-07T00:00:00"/>
    <n v="36.380000000000003"/>
    <x v="2"/>
  </r>
  <r>
    <x v="1029"/>
    <x v="1029"/>
    <x v="3"/>
    <x v="4"/>
    <x v="1029"/>
    <n v="44.08"/>
    <n v="2.66"/>
    <n v="159.51"/>
    <n v="6.03"/>
    <d v="2026-02-07T00:00:00"/>
    <n v="30.98"/>
    <x v="2"/>
  </r>
  <r>
    <x v="1030"/>
    <x v="1030"/>
    <x v="3"/>
    <x v="1"/>
    <x v="1030"/>
    <n v="40.770000000000003"/>
    <n v="1.1299999999999999"/>
    <n v="67.739999999999995"/>
    <n v="2.77"/>
    <d v="2026-02-07T00:00:00"/>
    <n v="31"/>
    <x v="3"/>
  </r>
  <r>
    <x v="1031"/>
    <x v="1031"/>
    <x v="6"/>
    <x v="1"/>
    <x v="1031"/>
    <n v="54.56"/>
    <n v="8.92"/>
    <n v="535.30999999999995"/>
    <n v="16.350000000000001"/>
    <d v="2026-02-07T00:00:00"/>
    <n v="30.9"/>
    <x v="2"/>
  </r>
  <r>
    <x v="1032"/>
    <x v="1032"/>
    <x v="3"/>
    <x v="2"/>
    <x v="1032"/>
    <n v="35.380000000000003"/>
    <n v="1.79"/>
    <n v="107.43"/>
    <n v="5.0599999999999996"/>
    <d v="2026-02-07T00:00:00"/>
    <n v="34.840000000000003"/>
    <x v="2"/>
  </r>
  <r>
    <x v="1033"/>
    <x v="1033"/>
    <x v="5"/>
    <x v="4"/>
    <x v="1033"/>
    <n v="58.74"/>
    <n v="5.61"/>
    <n v="336.64"/>
    <n v="9.5500000000000007"/>
    <d v="2026-02-07T00:00:00"/>
    <n v="25.41"/>
    <x v="3"/>
  </r>
  <r>
    <x v="1034"/>
    <x v="1034"/>
    <x v="4"/>
    <x v="3"/>
    <x v="1034"/>
    <n v="22.96"/>
    <n v="5.72"/>
    <n v="343.315"/>
    <n v="137.69"/>
    <d v="2026-02-07T00:00:00"/>
    <n v="107.37"/>
    <x v="3"/>
  </r>
  <r>
    <x v="1035"/>
    <x v="1035"/>
    <x v="4"/>
    <x v="5"/>
    <x v="1035"/>
    <n v="22.34"/>
    <n v="31.82"/>
    <n v="1909.06"/>
    <n v="142.41999999999999"/>
    <d v="2026-02-07T00:00:00"/>
    <n v="110.04"/>
    <x v="2"/>
  </r>
  <r>
    <x v="1036"/>
    <x v="1036"/>
    <x v="6"/>
    <x v="1"/>
    <x v="1036"/>
    <n v="37.97"/>
    <n v="5.72"/>
    <n v="343.315"/>
    <n v="21.3"/>
    <d v="2026-02-07T00:00:00"/>
    <n v="41.67"/>
    <x v="2"/>
  </r>
  <r>
    <x v="1037"/>
    <x v="1037"/>
    <x v="0"/>
    <x v="3"/>
    <x v="1037"/>
    <n v="33.43"/>
    <n v="2.41"/>
    <n v="144.88"/>
    <n v="7.22"/>
    <d v="2026-02-07T00:00:00"/>
    <n v="36.9"/>
    <x v="3"/>
  </r>
  <r>
    <x v="1038"/>
    <x v="1038"/>
    <x v="6"/>
    <x v="4"/>
    <x v="1038"/>
    <n v="54.41"/>
    <n v="7.97"/>
    <n v="478.03"/>
    <n v="14.64"/>
    <d v="2026-02-07T00:00:00"/>
    <n v="30.12"/>
    <x v="2"/>
  </r>
  <r>
    <x v="1039"/>
    <x v="1039"/>
    <x v="0"/>
    <x v="3"/>
    <x v="1039"/>
    <n v="30.47"/>
    <n v="9.89"/>
    <n v="593.37"/>
    <n v="32.46"/>
    <d v="2026-02-07T00:00:00"/>
    <n v="51"/>
    <x v="2"/>
  </r>
  <r>
    <x v="1040"/>
    <x v="1040"/>
    <x v="2"/>
    <x v="5"/>
    <x v="1040"/>
    <n v="41.95"/>
    <n v="5.69"/>
    <n v="341.27"/>
    <n v="13.56"/>
    <d v="2026-02-07T00:00:00"/>
    <n v="35.81"/>
    <x v="3"/>
  </r>
  <r>
    <x v="1041"/>
    <x v="1041"/>
    <x v="6"/>
    <x v="0"/>
    <x v="1041"/>
    <n v="42.81"/>
    <n v="9.73"/>
    <n v="583.69000000000005"/>
    <n v="19.41"/>
    <d v="2026-02-07T00:00:00"/>
    <n v="38.299999999999997"/>
    <x v="2"/>
  </r>
  <r>
    <x v="1042"/>
    <x v="1042"/>
    <x v="3"/>
    <x v="0"/>
    <x v="1042"/>
    <n v="46.37"/>
    <n v="1.7"/>
    <n v="102.14"/>
    <n v="3.67"/>
    <d v="2026-02-07T00:00:00"/>
    <n v="28.65"/>
    <x v="2"/>
  </r>
  <r>
    <x v="1043"/>
    <x v="1043"/>
    <x v="5"/>
    <x v="5"/>
    <x v="1043"/>
    <n v="55.53"/>
    <n v="9.74"/>
    <n v="584.54999999999995"/>
    <n v="17.54"/>
    <d v="2026-02-07T00:00:00"/>
    <n v="31.01"/>
    <x v="2"/>
  </r>
  <r>
    <x v="1044"/>
    <x v="1044"/>
    <x v="2"/>
    <x v="2"/>
    <x v="1044"/>
    <n v="55.37"/>
    <n v="6.65"/>
    <n v="398.8"/>
    <n v="12"/>
    <d v="2026-02-07T00:00:00"/>
    <n v="28.32"/>
    <x v="2"/>
  </r>
  <r>
    <x v="1045"/>
    <x v="1045"/>
    <x v="2"/>
    <x v="0"/>
    <x v="1045"/>
    <n v="59.63"/>
    <n v="5.41"/>
    <n v="324.52"/>
    <n v="9.07"/>
    <d v="2026-02-07T00:00:00"/>
    <n v="24.72"/>
    <x v="3"/>
  </r>
  <r>
    <x v="1046"/>
    <x v="1046"/>
    <x v="6"/>
    <x v="0"/>
    <x v="1046"/>
    <n v="34.06"/>
    <n v="7.16"/>
    <n v="429.6"/>
    <n v="21.02"/>
    <d v="2026-02-07T00:00:00"/>
    <n v="43.48"/>
    <x v="3"/>
  </r>
  <r>
    <x v="1047"/>
    <x v="1047"/>
    <x v="2"/>
    <x v="3"/>
    <x v="1047"/>
    <n v="39.020000000000003"/>
    <n v="7.64"/>
    <n v="458.14"/>
    <n v="19.57"/>
    <d v="2026-02-07T00:00:00"/>
    <n v="40.28"/>
    <x v="3"/>
  </r>
  <r>
    <x v="1048"/>
    <x v="1048"/>
    <x v="0"/>
    <x v="5"/>
    <x v="1048"/>
    <n v="57.52"/>
    <n v="3.09"/>
    <n v="185.54"/>
    <n v="5.38"/>
    <d v="2026-02-07T00:00:00"/>
    <n v="23.93"/>
    <x v="2"/>
  </r>
  <r>
    <x v="1049"/>
    <x v="1049"/>
    <x v="5"/>
    <x v="5"/>
    <x v="1049"/>
    <n v="57.52"/>
    <n v="8.15"/>
    <n v="489.03"/>
    <n v="14.17"/>
    <d v="2026-02-07T00:00:00"/>
    <n v="28.33"/>
    <x v="3"/>
  </r>
  <r>
    <x v="1050"/>
    <x v="1050"/>
    <x v="4"/>
    <x v="1"/>
    <x v="1050"/>
    <n v="29.8"/>
    <n v="10.220000000000001"/>
    <n v="613.13"/>
    <n v="34.29"/>
    <d v="2026-02-07T00:00:00"/>
    <n v="52.25"/>
    <x v="3"/>
  </r>
  <r>
    <x v="1051"/>
    <x v="1051"/>
    <x v="1"/>
    <x v="2"/>
    <x v="1051"/>
    <n v="53.95"/>
    <n v="2.29"/>
    <n v="137.66"/>
    <n v="4.25"/>
    <d v="2026-02-07T00:00:00"/>
    <n v="25.15"/>
    <x v="2"/>
  </r>
  <r>
    <x v="1052"/>
    <x v="1052"/>
    <x v="6"/>
    <x v="4"/>
    <x v="1052"/>
    <n v="59.26"/>
    <n v="2.76"/>
    <n v="165.66"/>
    <n v="4.66"/>
    <d v="2026-02-07T00:00:00"/>
    <n v="22.7"/>
    <x v="3"/>
  </r>
  <r>
    <x v="1053"/>
    <x v="1053"/>
    <x v="1"/>
    <x v="5"/>
    <x v="1053"/>
    <n v="57.65"/>
    <n v="7.41"/>
    <n v="444.82"/>
    <n v="12.86"/>
    <d v="2026-02-07T00:00:00"/>
    <n v="27.61"/>
    <x v="2"/>
  </r>
  <r>
    <x v="1054"/>
    <x v="1054"/>
    <x v="3"/>
    <x v="2"/>
    <x v="1054"/>
    <n v="39.21"/>
    <n v="2.9"/>
    <n v="174.21"/>
    <n v="7.4"/>
    <d v="2026-02-07T00:00:00"/>
    <n v="34.1"/>
    <x v="2"/>
  </r>
  <r>
    <x v="1055"/>
    <x v="1055"/>
    <x v="1"/>
    <x v="0"/>
    <x v="1055"/>
    <n v="56.22"/>
    <n v="4.71"/>
    <n v="282.77"/>
    <n v="8.3800000000000008"/>
    <d v="2026-02-07T00:00:00"/>
    <n v="26.08"/>
    <x v="3"/>
  </r>
  <r>
    <x v="1056"/>
    <x v="1056"/>
    <x v="5"/>
    <x v="5"/>
    <x v="1056"/>
    <n v="44.3"/>
    <n v="2.31"/>
    <n v="138.85"/>
    <n v="5.22"/>
    <d v="2026-02-07T00:00:00"/>
    <n v="30.46"/>
    <x v="3"/>
  </r>
  <r>
    <x v="1057"/>
    <x v="1057"/>
    <x v="3"/>
    <x v="5"/>
    <x v="1057"/>
    <n v="46.38"/>
    <n v="9"/>
    <n v="540.23"/>
    <n v="19.41"/>
    <d v="2026-02-07T00:00:00"/>
    <n v="36.520000000000003"/>
    <x v="2"/>
  </r>
  <r>
    <x v="1058"/>
    <x v="1058"/>
    <x v="2"/>
    <x v="3"/>
    <x v="1058"/>
    <n v="38.14"/>
    <n v="9.8699999999999992"/>
    <n v="592.41"/>
    <n v="25.89"/>
    <d v="2026-02-07T00:00:00"/>
    <n v="43.88"/>
    <x v="2"/>
  </r>
  <r>
    <x v="1059"/>
    <x v="1059"/>
    <x v="4"/>
    <x v="5"/>
    <x v="1059"/>
    <n v="16"/>
    <n v="17.97"/>
    <n v="1078.26"/>
    <n v="112.32"/>
    <d v="2026-02-07T00:00:00"/>
    <n v="98.16"/>
    <x v="2"/>
  </r>
  <r>
    <x v="1060"/>
    <x v="1060"/>
    <x v="5"/>
    <x v="4"/>
    <x v="1060"/>
    <n v="51.67"/>
    <n v="3.04"/>
    <n v="182.15"/>
    <n v="5.88"/>
    <d v="2026-02-07T00:00:00"/>
    <n v="27.11"/>
    <x v="3"/>
  </r>
  <r>
    <x v="1061"/>
    <x v="1061"/>
    <x v="4"/>
    <x v="4"/>
    <x v="1061"/>
    <n v="23.57"/>
    <n v="22.41"/>
    <n v="1344.48"/>
    <n v="95.07"/>
    <d v="2026-02-07T00:00:00"/>
    <n v="85.75"/>
    <x v="2"/>
  </r>
  <r>
    <x v="1062"/>
    <x v="1062"/>
    <x v="0"/>
    <x v="5"/>
    <x v="1062"/>
    <n v="39.659999999999997"/>
    <n v="5.47"/>
    <n v="327.96"/>
    <n v="13.78"/>
    <d v="2026-02-07T00:00:00"/>
    <n v="37.06"/>
    <x v="2"/>
  </r>
  <r>
    <x v="1063"/>
    <x v="1063"/>
    <x v="2"/>
    <x v="5"/>
    <x v="1063"/>
    <n v="42.81"/>
    <n v="4.4000000000000004"/>
    <n v="264.24"/>
    <n v="9.52"/>
    <d v="2026-02-07T00:00:00"/>
    <n v="33.36"/>
    <x v="3"/>
  </r>
  <r>
    <x v="1064"/>
    <x v="1064"/>
    <x v="0"/>
    <x v="5"/>
    <x v="1064"/>
    <n v="45.4"/>
    <n v="8.33"/>
    <n v="499.93"/>
    <n v="18.350000000000001"/>
    <d v="2026-02-07T00:00:00"/>
    <n v="36.479999999999997"/>
    <x v="2"/>
  </r>
  <r>
    <x v="1065"/>
    <x v="1065"/>
    <x v="2"/>
    <x v="4"/>
    <x v="1065"/>
    <n v="35.32"/>
    <n v="3.59"/>
    <n v="215.56"/>
    <n v="10.17"/>
    <d v="2026-02-07T00:00:00"/>
    <n v="37.43"/>
    <x v="3"/>
  </r>
  <r>
    <x v="1066"/>
    <x v="1066"/>
    <x v="6"/>
    <x v="0"/>
    <x v="1066"/>
    <n v="51.07"/>
    <n v="5.72"/>
    <n v="343.36"/>
    <n v="11.21"/>
    <d v="2026-02-07T00:00:00"/>
    <n v="30.07"/>
    <x v="3"/>
  </r>
  <r>
    <x v="1067"/>
    <x v="1067"/>
    <x v="1"/>
    <x v="2"/>
    <x v="1067"/>
    <n v="47.01"/>
    <n v="6.76"/>
    <n v="405.37"/>
    <n v="14.37"/>
    <d v="2026-02-07T00:00:00"/>
    <n v="33.68"/>
    <x v="3"/>
  </r>
  <r>
    <x v="1068"/>
    <x v="1068"/>
    <x v="3"/>
    <x v="5"/>
    <x v="1068"/>
    <n v="50.85"/>
    <n v="9.65"/>
    <n v="579.21"/>
    <n v="18.98"/>
    <d v="2026-02-07T00:00:00"/>
    <n v="34.07"/>
    <x v="2"/>
  </r>
  <r>
    <x v="1069"/>
    <x v="1069"/>
    <x v="4"/>
    <x v="2"/>
    <x v="1069"/>
    <n v="18.72"/>
    <n v="36.08"/>
    <n v="2164.8000000000002"/>
    <n v="192.74"/>
    <d v="2026-02-07T00:00:00"/>
    <n v="137.01"/>
    <x v="3"/>
  </r>
  <r>
    <x v="1070"/>
    <x v="1070"/>
    <x v="2"/>
    <x v="0"/>
    <x v="1070"/>
    <n v="49.13"/>
    <n v="9.93"/>
    <n v="596.02"/>
    <n v="20.22"/>
    <d v="2026-02-07T00:00:00"/>
    <n v="35.549999999999997"/>
    <x v="3"/>
  </r>
  <r>
    <x v="1071"/>
    <x v="1071"/>
    <x v="3"/>
    <x v="4"/>
    <x v="1071"/>
    <n v="39.04"/>
    <n v="2.91"/>
    <n v="174.4"/>
    <n v="7.45"/>
    <d v="2026-02-07T00:00:00"/>
    <n v="34.21"/>
    <x v="2"/>
  </r>
  <r>
    <x v="1072"/>
    <x v="1072"/>
    <x v="5"/>
    <x v="5"/>
    <x v="1072"/>
    <n v="56.2"/>
    <n v="9.1999999999999993"/>
    <n v="552.12"/>
    <n v="16.37"/>
    <d v="2026-02-07T00:00:00"/>
    <n v="30.09"/>
    <x v="3"/>
  </r>
  <r>
    <x v="1073"/>
    <x v="1073"/>
    <x v="3"/>
    <x v="5"/>
    <x v="1073"/>
    <n v="49.61"/>
    <n v="2.91"/>
    <n v="174.88"/>
    <n v="5.88"/>
    <d v="2026-02-07T00:00:00"/>
    <n v="28.14"/>
    <x v="3"/>
  </r>
  <r>
    <x v="1074"/>
    <x v="1074"/>
    <x v="6"/>
    <x v="0"/>
    <x v="1074"/>
    <n v="49.93"/>
    <n v="6.61"/>
    <n v="396.37"/>
    <n v="13.23"/>
    <d v="2026-02-07T00:00:00"/>
    <n v="31.65"/>
    <x v="3"/>
  </r>
  <r>
    <x v="1075"/>
    <x v="1075"/>
    <x v="4"/>
    <x v="1"/>
    <x v="1075"/>
    <n v="15.12"/>
    <n v="22.61"/>
    <n v="1356.68"/>
    <n v="149.55000000000001"/>
    <d v="2026-02-07T00:00:00"/>
    <n v="117.22"/>
    <x v="2"/>
  </r>
  <r>
    <x v="1076"/>
    <x v="1076"/>
    <x v="1"/>
    <x v="5"/>
    <x v="1076"/>
    <n v="40.1"/>
    <n v="4.59"/>
    <n v="275.62"/>
    <n v="11.46"/>
    <d v="2026-02-07T00:00:00"/>
    <n v="35.68"/>
    <x v="2"/>
  </r>
  <r>
    <x v="1077"/>
    <x v="1077"/>
    <x v="0"/>
    <x v="2"/>
    <x v="1077"/>
    <n v="58.59"/>
    <n v="8.25"/>
    <n v="495.27"/>
    <n v="14.09"/>
    <d v="2026-02-07T00:00:00"/>
    <n v="27.75"/>
    <x v="3"/>
  </r>
  <r>
    <x v="1078"/>
    <x v="1078"/>
    <x v="1"/>
    <x v="0"/>
    <x v="1078"/>
    <n v="52.32"/>
    <n v="2.89"/>
    <n v="173.13"/>
    <n v="5.52"/>
    <d v="2026-02-07T00:00:00"/>
    <n v="26.6"/>
    <x v="2"/>
  </r>
  <r>
    <x v="1079"/>
    <x v="1079"/>
    <x v="0"/>
    <x v="2"/>
    <x v="1079"/>
    <n v="34.67"/>
    <n v="6.38"/>
    <n v="382.91"/>
    <n v="18.41"/>
    <d v="2026-02-07T00:00:00"/>
    <n v="41.87"/>
    <x v="3"/>
  </r>
  <r>
    <x v="1080"/>
    <x v="1080"/>
    <x v="4"/>
    <x v="1"/>
    <x v="1080"/>
    <n v="42.81"/>
    <n v="31.59"/>
    <n v="1895.55"/>
    <n v="107.68"/>
    <d v="2026-02-07T00:00:00"/>
    <n v="82.44"/>
    <x v="3"/>
  </r>
  <r>
    <x v="1081"/>
    <x v="1081"/>
    <x v="5"/>
    <x v="2"/>
    <x v="1081"/>
    <n v="43.96"/>
    <n v="7.33"/>
    <n v="439.82"/>
    <n v="16.68"/>
    <d v="2026-02-07T00:00:00"/>
    <n v="36.36"/>
    <x v="2"/>
  </r>
  <r>
    <x v="1082"/>
    <x v="1082"/>
    <x v="1"/>
    <x v="2"/>
    <x v="1082"/>
    <n v="33.49"/>
    <n v="7.49"/>
    <n v="449.56"/>
    <n v="22.37"/>
    <d v="2026-02-07T00:00:00"/>
    <n v="44.44"/>
    <x v="2"/>
  </r>
  <r>
    <x v="1083"/>
    <x v="1083"/>
    <x v="2"/>
    <x v="1"/>
    <x v="1083"/>
    <n v="43.94"/>
    <n v="6"/>
    <n v="359.99"/>
    <n v="13.65"/>
    <d v="2026-02-07T00:00:00"/>
    <n v="34.86"/>
    <x v="2"/>
  </r>
  <r>
    <x v="1084"/>
    <x v="1084"/>
    <x v="4"/>
    <x v="4"/>
    <x v="1084"/>
    <n v="29.15"/>
    <n v="29.13"/>
    <n v="1747.69"/>
    <n v="99.93"/>
    <d v="2026-02-07T00:00:00"/>
    <n v="85.39"/>
    <x v="3"/>
  </r>
  <r>
    <x v="1085"/>
    <x v="1085"/>
    <x v="3"/>
    <x v="3"/>
    <x v="1085"/>
    <n v="42.81"/>
    <n v="2.92"/>
    <n v="175.03"/>
    <n v="7.06"/>
    <d v="2026-02-07T00:00:00"/>
    <n v="32.130000000000003"/>
    <x v="2"/>
  </r>
  <r>
    <x v="1086"/>
    <x v="1086"/>
    <x v="5"/>
    <x v="4"/>
    <x v="1086"/>
    <n v="50.1"/>
    <n v="6.01"/>
    <n v="360.79"/>
    <n v="12"/>
    <d v="2026-02-07T00:00:00"/>
    <n v="30.95"/>
    <x v="2"/>
  </r>
  <r>
    <x v="1087"/>
    <x v="1087"/>
    <x v="6"/>
    <x v="2"/>
    <x v="1087"/>
    <n v="55.45"/>
    <n v="3.67"/>
    <n v="220.08"/>
    <n v="6.61"/>
    <d v="2026-02-07T00:00:00"/>
    <n v="25.58"/>
    <x v="2"/>
  </r>
  <r>
    <x v="1088"/>
    <x v="1088"/>
    <x v="3"/>
    <x v="0"/>
    <x v="1088"/>
    <n v="46.75"/>
    <n v="1.98"/>
    <n v="118.51"/>
    <n v="4.22"/>
    <d v="2026-02-07T00:00:00"/>
    <n v="28.74"/>
    <x v="3"/>
  </r>
  <r>
    <x v="1089"/>
    <x v="1089"/>
    <x v="0"/>
    <x v="2"/>
    <x v="1089"/>
    <n v="32.770000000000003"/>
    <n v="3.33"/>
    <n v="199.67"/>
    <n v="10.16"/>
    <d v="2026-02-07T00:00:00"/>
    <n v="38.700000000000003"/>
    <x v="3"/>
  </r>
  <r>
    <x v="1090"/>
    <x v="1090"/>
    <x v="1"/>
    <x v="4"/>
    <x v="1090"/>
    <n v="49.59"/>
    <n v="4.1399999999999997"/>
    <n v="248.46"/>
    <n v="8.35"/>
    <d v="2026-02-07T00:00:00"/>
    <n v="29.38"/>
    <x v="2"/>
  </r>
  <r>
    <x v="1091"/>
    <x v="1091"/>
    <x v="6"/>
    <x v="3"/>
    <x v="1091"/>
    <n v="54.19"/>
    <n v="5.59"/>
    <n v="335.57"/>
    <n v="10.32"/>
    <d v="2026-02-07T00:00:00"/>
    <n v="28.07"/>
    <x v="2"/>
  </r>
  <r>
    <x v="1092"/>
    <x v="1092"/>
    <x v="5"/>
    <x v="1"/>
    <x v="1092"/>
    <n v="45.95"/>
    <n v="5.49"/>
    <n v="329.27"/>
    <n v="11.94"/>
    <d v="2026-02-07T00:00:00"/>
    <n v="33"/>
    <x v="2"/>
  </r>
  <r>
    <x v="1093"/>
    <x v="1093"/>
    <x v="6"/>
    <x v="3"/>
    <x v="1093"/>
    <n v="44.45"/>
    <n v="3.16"/>
    <n v="189.59"/>
    <n v="7.11"/>
    <d v="2026-02-07T00:00:00"/>
    <n v="31.33"/>
    <x v="2"/>
  </r>
  <r>
    <x v="1094"/>
    <x v="1094"/>
    <x v="2"/>
    <x v="0"/>
    <x v="1094"/>
    <n v="37.03"/>
    <n v="8.64"/>
    <n v="518.59"/>
    <n v="23.34"/>
    <d v="2026-02-07T00:00:00"/>
    <n v="43.16"/>
    <x v="2"/>
  </r>
  <r>
    <x v="1095"/>
    <x v="1095"/>
    <x v="3"/>
    <x v="4"/>
    <x v="1095"/>
    <n v="36.89"/>
    <n v="9.86"/>
    <n v="591.72"/>
    <n v="26.73"/>
    <d v="2026-02-07T00:00:00"/>
    <n v="44.92"/>
    <x v="2"/>
  </r>
  <r>
    <x v="1096"/>
    <x v="1096"/>
    <x v="1"/>
    <x v="4"/>
    <x v="1096"/>
    <n v="42.81"/>
    <n v="8.65"/>
    <n v="518.74"/>
    <n v="26.46"/>
    <d v="2026-02-07T00:00:00"/>
    <n v="41.83"/>
    <x v="3"/>
  </r>
  <r>
    <x v="1097"/>
    <x v="1097"/>
    <x v="2"/>
    <x v="4"/>
    <x v="1097"/>
    <n v="43.06"/>
    <n v="6.15"/>
    <n v="369.07"/>
    <n v="14.29"/>
    <d v="2026-02-07T00:00:00"/>
    <n v="35.619999999999997"/>
    <x v="3"/>
  </r>
  <r>
    <x v="1098"/>
    <x v="1098"/>
    <x v="6"/>
    <x v="1"/>
    <x v="1098"/>
    <n v="51.31"/>
    <n v="5.66"/>
    <n v="339.71"/>
    <n v="11.03"/>
    <d v="2026-02-07T00:00:00"/>
    <n v="29.86"/>
    <x v="2"/>
  </r>
  <r>
    <x v="1099"/>
    <x v="1099"/>
    <x v="1"/>
    <x v="2"/>
    <x v="1099"/>
    <n v="57.95"/>
    <n v="5.17"/>
    <n v="310.01"/>
    <n v="8.92"/>
    <d v="2026-02-07T00:00:00"/>
    <n v="25.49"/>
    <x v="3"/>
  </r>
  <r>
    <x v="1100"/>
    <x v="1100"/>
    <x v="2"/>
    <x v="3"/>
    <x v="1100"/>
    <n v="30.6"/>
    <n v="7.27"/>
    <n v="436.49"/>
    <n v="23.77"/>
    <d v="2026-02-07T00:00:00"/>
    <n v="46.59"/>
    <x v="2"/>
  </r>
  <r>
    <x v="1101"/>
    <x v="1101"/>
    <x v="4"/>
    <x v="2"/>
    <x v="1101"/>
    <n v="25.95"/>
    <n v="37.590000000000003"/>
    <n v="2255.3200000000002"/>
    <n v="144.85"/>
    <d v="2026-02-07T00:00:00"/>
    <n v="109.45"/>
    <x v="2"/>
  </r>
  <r>
    <x v="1102"/>
    <x v="1102"/>
    <x v="4"/>
    <x v="1"/>
    <x v="1102"/>
    <n v="22.29"/>
    <n v="26.69"/>
    <n v="1601.5"/>
    <n v="119.75"/>
    <d v="2026-02-07T00:00:00"/>
    <n v="98.73"/>
    <x v="2"/>
  </r>
  <r>
    <x v="1103"/>
    <x v="1103"/>
    <x v="1"/>
    <x v="0"/>
    <x v="1103"/>
    <n v="30.34"/>
    <n v="6.86"/>
    <n v="411.67"/>
    <n v="22.61"/>
    <d v="2026-02-07T00:00:00"/>
    <n v="46.14"/>
    <x v="2"/>
  </r>
  <r>
    <x v="1104"/>
    <x v="1104"/>
    <x v="5"/>
    <x v="4"/>
    <x v="1104"/>
    <n v="31.65"/>
    <n v="8.6300000000000008"/>
    <n v="517.79"/>
    <n v="27.27"/>
    <d v="2026-02-07T00:00:00"/>
    <n v="47.81"/>
    <x v="3"/>
  </r>
  <r>
    <x v="1105"/>
    <x v="1105"/>
    <x v="4"/>
    <x v="4"/>
    <x v="1105"/>
    <n v="42.81"/>
    <n v="11.54"/>
    <n v="692.56"/>
    <n v="40.96"/>
    <d v="2026-02-07T00:00:00"/>
    <n v="49.08"/>
    <x v="3"/>
  </r>
  <r>
    <x v="1106"/>
    <x v="1106"/>
    <x v="1"/>
    <x v="4"/>
    <x v="1106"/>
    <n v="50.31"/>
    <n v="2.65"/>
    <n v="159.02000000000001"/>
    <n v="5.27"/>
    <d v="2026-02-07T00:00:00"/>
    <n v="27.48"/>
    <x v="2"/>
  </r>
  <r>
    <x v="1107"/>
    <x v="1107"/>
    <x v="0"/>
    <x v="3"/>
    <x v="1107"/>
    <n v="56.51"/>
    <n v="6.14"/>
    <n v="368.26"/>
    <n v="10.86"/>
    <d v="2026-02-07T00:00:00"/>
    <n v="27.18"/>
    <x v="3"/>
  </r>
  <r>
    <x v="1108"/>
    <x v="1108"/>
    <x v="3"/>
    <x v="3"/>
    <x v="1108"/>
    <n v="37.409999999999997"/>
    <n v="2.4500000000000002"/>
    <n v="146.94999999999999"/>
    <n v="6.55"/>
    <d v="2026-02-07T00:00:00"/>
    <n v="34.57"/>
    <x v="3"/>
  </r>
  <r>
    <x v="1109"/>
    <x v="1109"/>
    <x v="1"/>
    <x v="3"/>
    <x v="1109"/>
    <n v="54.22"/>
    <n v="2.17"/>
    <n v="130.04"/>
    <n v="4"/>
    <d v="2026-02-07T00:00:00"/>
    <n v="24.89"/>
    <x v="3"/>
  </r>
  <r>
    <x v="1110"/>
    <x v="1110"/>
    <x v="0"/>
    <x v="1"/>
    <x v="1110"/>
    <n v="43"/>
    <n v="9.2899999999999991"/>
    <n v="557.35"/>
    <n v="21.6"/>
    <d v="2026-02-07T00:00:00"/>
    <n v="39.299999999999997"/>
    <x v="3"/>
  </r>
  <r>
    <x v="1111"/>
    <x v="1111"/>
    <x v="2"/>
    <x v="4"/>
    <x v="1111"/>
    <n v="36.81"/>
    <n v="9.07"/>
    <n v="544.1"/>
    <n v="24.64"/>
    <d v="2026-02-07T00:00:00"/>
    <n v="43.92"/>
    <x v="3"/>
  </r>
  <r>
    <x v="1112"/>
    <x v="1112"/>
    <x v="6"/>
    <x v="5"/>
    <x v="1112"/>
    <n v="50.26"/>
    <n v="8.17"/>
    <n v="490.26"/>
    <n v="16.260000000000002"/>
    <d v="2026-02-07T00:00:00"/>
    <n v="33"/>
    <x v="3"/>
  </r>
  <r>
    <x v="1113"/>
    <x v="1113"/>
    <x v="5"/>
    <x v="5"/>
    <x v="1113"/>
    <n v="30.33"/>
    <n v="6.79"/>
    <n v="407.16"/>
    <n v="22.37"/>
    <d v="2026-02-07T00:00:00"/>
    <n v="46.02"/>
    <x v="2"/>
  </r>
  <r>
    <x v="1114"/>
    <x v="1114"/>
    <x v="2"/>
    <x v="4"/>
    <x v="1114"/>
    <n v="43.16"/>
    <n v="4.8099999999999996"/>
    <n v="288.47000000000003"/>
    <n v="11.14"/>
    <d v="2026-02-07T00:00:00"/>
    <n v="33.99"/>
    <x v="2"/>
  </r>
  <r>
    <x v="1115"/>
    <x v="1115"/>
    <x v="3"/>
    <x v="5"/>
    <x v="1115"/>
    <n v="36.85"/>
    <n v="1.31"/>
    <n v="78.650000000000006"/>
    <n v="3.56"/>
    <d v="2026-02-07T00:00:00"/>
    <n v="33.36"/>
    <x v="3"/>
  </r>
  <r>
    <x v="1116"/>
    <x v="1116"/>
    <x v="0"/>
    <x v="0"/>
    <x v="1116"/>
    <n v="42.81"/>
    <n v="8.6999999999999993"/>
    <n v="521.91999999999996"/>
    <n v="24.6"/>
    <d v="2026-02-07T00:00:00"/>
    <n v="40.9"/>
    <x v="2"/>
  </r>
  <r>
    <x v="1117"/>
    <x v="1117"/>
    <x v="3"/>
    <x v="2"/>
    <x v="1117"/>
    <n v="52.34"/>
    <n v="4.2"/>
    <n v="252.03"/>
    <n v="8.0299999999999994"/>
    <d v="2026-02-07T00:00:00"/>
    <n v="27.85"/>
    <x v="2"/>
  </r>
  <r>
    <x v="1118"/>
    <x v="1118"/>
    <x v="0"/>
    <x v="5"/>
    <x v="1118"/>
    <n v="37.06"/>
    <n v="6.11"/>
    <n v="366.78"/>
    <n v="16.489999999999998"/>
    <d v="2026-02-07T00:00:00"/>
    <n v="39.72"/>
    <x v="2"/>
  </r>
  <r>
    <x v="1119"/>
    <x v="1119"/>
    <x v="3"/>
    <x v="4"/>
    <x v="1119"/>
    <n v="40.17"/>
    <n v="2.57"/>
    <n v="154.1"/>
    <n v="6.39"/>
    <d v="2026-02-07T00:00:00"/>
    <n v="33.11"/>
    <x v="3"/>
  </r>
  <r>
    <x v="1120"/>
    <x v="1120"/>
    <x v="5"/>
    <x v="5"/>
    <x v="1120"/>
    <n v="57.42"/>
    <n v="9.65"/>
    <n v="579.12"/>
    <n v="16.809999999999999"/>
    <d v="2026-02-07T00:00:00"/>
    <n v="29.7"/>
    <x v="3"/>
  </r>
  <r>
    <x v="1121"/>
    <x v="1121"/>
    <x v="1"/>
    <x v="4"/>
    <x v="1121"/>
    <n v="49.21"/>
    <n v="3.19"/>
    <n v="191.28"/>
    <n v="6.48"/>
    <d v="2026-02-07T00:00:00"/>
    <n v="28.64"/>
    <x v="3"/>
  </r>
  <r>
    <x v="1122"/>
    <x v="1122"/>
    <x v="2"/>
    <x v="1"/>
    <x v="1122"/>
    <n v="58.09"/>
    <n v="2.16"/>
    <n v="129.63"/>
    <n v="3.72"/>
    <d v="2026-02-07T00:00:00"/>
    <n v="22.82"/>
    <x v="3"/>
  </r>
  <r>
    <x v="1123"/>
    <x v="1123"/>
    <x v="2"/>
    <x v="3"/>
    <x v="1123"/>
    <n v="36.07"/>
    <n v="5.72"/>
    <n v="343.315"/>
    <n v="18.57"/>
    <d v="2026-02-07T00:00:00"/>
    <n v="41.25"/>
    <x v="2"/>
  </r>
  <r>
    <x v="1124"/>
    <x v="1124"/>
    <x v="3"/>
    <x v="3"/>
    <x v="1124"/>
    <n v="35.020000000000003"/>
    <n v="1.64"/>
    <n v="98.67"/>
    <n v="4.7"/>
    <d v="2026-02-07T00:00:00"/>
    <n v="34.840000000000003"/>
    <x v="3"/>
  </r>
  <r>
    <x v="1125"/>
    <x v="1125"/>
    <x v="2"/>
    <x v="3"/>
    <x v="1125"/>
    <n v="46.66"/>
    <n v="9.5"/>
    <n v="570.08000000000004"/>
    <n v="20.36"/>
    <d v="2026-02-07T00:00:00"/>
    <n v="36.85"/>
    <x v="3"/>
  </r>
  <r>
    <x v="1126"/>
    <x v="1126"/>
    <x v="3"/>
    <x v="1"/>
    <x v="1126"/>
    <n v="45.36"/>
    <n v="1.26"/>
    <n v="75.3"/>
    <n v="2.77"/>
    <d v="2026-02-07T00:00:00"/>
    <n v="28.71"/>
    <x v="3"/>
  </r>
  <r>
    <x v="1127"/>
    <x v="1127"/>
    <x v="3"/>
    <x v="5"/>
    <x v="1127"/>
    <n v="47.77"/>
    <n v="2.65"/>
    <n v="159.25"/>
    <n v="5.56"/>
    <d v="2026-02-07T00:00:00"/>
    <n v="28.9"/>
    <x v="3"/>
  </r>
  <r>
    <x v="1128"/>
    <x v="1128"/>
    <x v="2"/>
    <x v="5"/>
    <x v="1128"/>
    <n v="42.81"/>
    <n v="4.76"/>
    <n v="285.82"/>
    <n v="8.48"/>
    <d v="2026-02-07T00:00:00"/>
    <n v="32.840000000000003"/>
    <x v="2"/>
  </r>
  <r>
    <x v="1129"/>
    <x v="1129"/>
    <x v="0"/>
    <x v="1"/>
    <x v="1129"/>
    <n v="45.73"/>
    <n v="3.43"/>
    <n v="205.82"/>
    <n v="7.5"/>
    <d v="2026-02-07T00:00:00"/>
    <n v="30.89"/>
    <x v="2"/>
  </r>
  <r>
    <x v="1130"/>
    <x v="1130"/>
    <x v="5"/>
    <x v="4"/>
    <x v="1130"/>
    <n v="33.64"/>
    <n v="9.09"/>
    <n v="545.17999999999995"/>
    <n v="27.01"/>
    <d v="2026-02-07T00:00:00"/>
    <n v="46.69"/>
    <x v="3"/>
  </r>
  <r>
    <x v="1131"/>
    <x v="1131"/>
    <x v="0"/>
    <x v="3"/>
    <x v="1131"/>
    <n v="52.16"/>
    <n v="5.72"/>
    <n v="343.35"/>
    <n v="10.97"/>
    <d v="2026-02-07T00:00:00"/>
    <n v="29.41"/>
    <x v="3"/>
  </r>
  <r>
    <x v="1132"/>
    <x v="1132"/>
    <x v="6"/>
    <x v="3"/>
    <x v="1132"/>
    <n v="48.29"/>
    <n v="2.57"/>
    <n v="154"/>
    <n v="5.32"/>
    <d v="2026-02-07T00:00:00"/>
    <n v="28.52"/>
    <x v="3"/>
  </r>
  <r>
    <x v="1133"/>
    <x v="1133"/>
    <x v="5"/>
    <x v="4"/>
    <x v="1133"/>
    <n v="55.63"/>
    <n v="6.12"/>
    <n v="367.25"/>
    <n v="11"/>
    <d v="2026-02-07T00:00:00"/>
    <n v="27.69"/>
    <x v="3"/>
  </r>
  <r>
    <x v="1134"/>
    <x v="1134"/>
    <x v="2"/>
    <x v="2"/>
    <x v="1134"/>
    <n v="31.88"/>
    <n v="2.12"/>
    <n v="127.39"/>
    <n v="6.66"/>
    <d v="2026-02-07T00:00:00"/>
    <n v="37.39"/>
    <x v="3"/>
  </r>
  <r>
    <x v="1135"/>
    <x v="1135"/>
    <x v="0"/>
    <x v="2"/>
    <x v="1135"/>
    <n v="39.36"/>
    <n v="2.96"/>
    <n v="177.35"/>
    <n v="7.51"/>
    <d v="2026-02-07T00:00:00"/>
    <n v="34.08"/>
    <x v="2"/>
  </r>
  <r>
    <x v="1136"/>
    <x v="1136"/>
    <x v="5"/>
    <x v="4"/>
    <x v="1136"/>
    <n v="35.35"/>
    <n v="3.62"/>
    <n v="217.3"/>
    <n v="10.25"/>
    <d v="2026-02-07T00:00:00"/>
    <n v="37.450000000000003"/>
    <x v="2"/>
  </r>
  <r>
    <x v="1137"/>
    <x v="1137"/>
    <x v="5"/>
    <x v="5"/>
    <x v="1137"/>
    <n v="58.22"/>
    <n v="8.7899999999999991"/>
    <n v="527.45000000000005"/>
    <n v="15.1"/>
    <d v="2026-02-07T00:00:00"/>
    <n v="28.44"/>
    <x v="3"/>
  </r>
  <r>
    <x v="1138"/>
    <x v="1138"/>
    <x v="6"/>
    <x v="5"/>
    <x v="1138"/>
    <n v="56.13"/>
    <n v="3.35"/>
    <n v="201.21"/>
    <n v="5.97"/>
    <d v="2026-02-07T00:00:00"/>
    <n v="24.92"/>
    <x v="2"/>
  </r>
  <r>
    <x v="1139"/>
    <x v="1139"/>
    <x v="0"/>
    <x v="4"/>
    <x v="1139"/>
    <n v="52.86"/>
    <n v="3.2"/>
    <n v="191.74"/>
    <n v="6.05"/>
    <d v="2026-02-07T00:00:00"/>
    <n v="26.6"/>
    <x v="2"/>
  </r>
  <r>
    <x v="1140"/>
    <x v="1140"/>
    <x v="1"/>
    <x v="4"/>
    <x v="1140"/>
    <n v="42.81"/>
    <n v="7.41"/>
    <n v="444.72"/>
    <n v="24.66"/>
    <d v="2026-02-07T00:00:00"/>
    <n v="40.93"/>
    <x v="2"/>
  </r>
  <r>
    <x v="1141"/>
    <x v="1141"/>
    <x v="3"/>
    <x v="3"/>
    <x v="1141"/>
    <n v="38.57"/>
    <n v="1.91"/>
    <n v="114.32"/>
    <n v="4.9400000000000004"/>
    <d v="2026-02-07T00:00:00"/>
    <n v="33.19"/>
    <x v="2"/>
  </r>
  <r>
    <x v="1142"/>
    <x v="1142"/>
    <x v="2"/>
    <x v="3"/>
    <x v="1142"/>
    <n v="37.07"/>
    <n v="5.78"/>
    <n v="346.9"/>
    <n v="15.6"/>
    <d v="2026-02-07T00:00:00"/>
    <n v="39.270000000000003"/>
    <x v="3"/>
  </r>
  <r>
    <x v="1143"/>
    <x v="1143"/>
    <x v="5"/>
    <x v="3"/>
    <x v="1143"/>
    <n v="35.68"/>
    <n v="6.48"/>
    <n v="388.97"/>
    <n v="18.170000000000002"/>
    <d v="2026-02-07T00:00:00"/>
    <n v="41.25"/>
    <x v="2"/>
  </r>
  <r>
    <x v="1144"/>
    <x v="1144"/>
    <x v="1"/>
    <x v="5"/>
    <x v="1144"/>
    <n v="52.65"/>
    <n v="6.09"/>
    <n v="365.41"/>
    <n v="11.57"/>
    <d v="2026-02-07T00:00:00"/>
    <n v="29.46"/>
    <x v="3"/>
  </r>
  <r>
    <x v="1145"/>
    <x v="1145"/>
    <x v="4"/>
    <x v="0"/>
    <x v="1145"/>
    <n v="19.98"/>
    <n v="14.66"/>
    <n v="879.45"/>
    <n v="73.36"/>
    <d v="2026-02-07T00:00:00"/>
    <n v="76.69"/>
    <x v="3"/>
  </r>
  <r>
    <x v="1146"/>
    <x v="1146"/>
    <x v="5"/>
    <x v="2"/>
    <x v="1146"/>
    <n v="50.37"/>
    <n v="8.14"/>
    <n v="488.3"/>
    <n v="16.16"/>
    <d v="2026-02-07T00:00:00"/>
    <n v="32.9"/>
    <x v="3"/>
  </r>
  <r>
    <x v="1147"/>
    <x v="1147"/>
    <x v="2"/>
    <x v="3"/>
    <x v="1147"/>
    <n v="57.07"/>
    <n v="3.07"/>
    <n v="184.31"/>
    <n v="5.38"/>
    <d v="2026-02-07T00:00:00"/>
    <n v="24.16"/>
    <x v="3"/>
  </r>
  <r>
    <x v="1148"/>
    <x v="1148"/>
    <x v="6"/>
    <x v="0"/>
    <x v="1148"/>
    <n v="52.39"/>
    <n v="2.65"/>
    <n v="158.93"/>
    <n v="5.0599999999999996"/>
    <d v="2026-02-07T00:00:00"/>
    <n v="26.34"/>
    <x v="2"/>
  </r>
  <r>
    <x v="1149"/>
    <x v="1149"/>
    <x v="5"/>
    <x v="5"/>
    <x v="1149"/>
    <n v="52.06"/>
    <n v="5.08"/>
    <n v="304.62"/>
    <n v="9.75"/>
    <d v="2026-02-07T00:00:00"/>
    <n v="28.85"/>
    <x v="2"/>
  </r>
  <r>
    <x v="1150"/>
    <x v="1150"/>
    <x v="4"/>
    <x v="2"/>
    <x v="1150"/>
    <n v="15.46"/>
    <n v="19.41"/>
    <n v="1164.52"/>
    <n v="125.54"/>
    <d v="2026-02-07T00:00:00"/>
    <n v="105.04"/>
    <x v="3"/>
  </r>
  <r>
    <x v="1151"/>
    <x v="1151"/>
    <x v="5"/>
    <x v="3"/>
    <x v="1151"/>
    <n v="30.06"/>
    <n v="8.19"/>
    <n v="491.32"/>
    <n v="27.24"/>
    <d v="2026-02-07T00:00:00"/>
    <n v="48.59"/>
    <x v="3"/>
  </r>
  <r>
    <x v="1152"/>
    <x v="1152"/>
    <x v="4"/>
    <x v="5"/>
    <x v="1152"/>
    <n v="21.25"/>
    <n v="13.13"/>
    <n v="787.62"/>
    <n v="61.77"/>
    <d v="2026-02-07T00:00:00"/>
    <n v="70.260000000000005"/>
    <x v="3"/>
  </r>
  <r>
    <x v="1153"/>
    <x v="1153"/>
    <x v="1"/>
    <x v="4"/>
    <x v="1153"/>
    <n v="35.82"/>
    <n v="3.26"/>
    <n v="195.37"/>
    <n v="9.09"/>
    <d v="2026-02-07T00:00:00"/>
    <n v="36.64"/>
    <x v="3"/>
  </r>
  <r>
    <x v="1154"/>
    <x v="1154"/>
    <x v="3"/>
    <x v="4"/>
    <x v="1154"/>
    <n v="43.38"/>
    <n v="2.59"/>
    <n v="155.59"/>
    <n v="5.98"/>
    <d v="2026-02-07T00:00:00"/>
    <n v="31.3"/>
    <x v="2"/>
  </r>
  <r>
    <x v="1155"/>
    <x v="1155"/>
    <x v="5"/>
    <x v="5"/>
    <x v="1155"/>
    <n v="35.29"/>
    <n v="4.51"/>
    <n v="270.60000000000002"/>
    <n v="12.78"/>
    <d v="2026-02-07T00:00:00"/>
    <n v="38.75"/>
    <x v="3"/>
  </r>
  <r>
    <x v="1156"/>
    <x v="1156"/>
    <x v="0"/>
    <x v="5"/>
    <x v="1156"/>
    <n v="43.32"/>
    <n v="3.54"/>
    <n v="212.59"/>
    <n v="8.18"/>
    <d v="2026-02-07T00:00:00"/>
    <n v="32.43"/>
    <x v="2"/>
  </r>
  <r>
    <x v="1157"/>
    <x v="1157"/>
    <x v="5"/>
    <x v="2"/>
    <x v="1157"/>
    <n v="58.16"/>
    <n v="8.1999999999999993"/>
    <n v="492.1"/>
    <n v="14.1"/>
    <d v="2026-02-07T00:00:00"/>
    <n v="27.97"/>
    <x v="2"/>
  </r>
  <r>
    <x v="1158"/>
    <x v="1158"/>
    <x v="1"/>
    <x v="4"/>
    <x v="1158"/>
    <n v="31.72"/>
    <n v="3.77"/>
    <n v="226.33"/>
    <n v="11.89"/>
    <d v="2026-02-07T00:00:00"/>
    <n v="40.090000000000003"/>
    <x v="2"/>
  </r>
  <r>
    <x v="1159"/>
    <x v="1159"/>
    <x v="5"/>
    <x v="5"/>
    <x v="1159"/>
    <n v="36.39"/>
    <n v="5.0199999999999996"/>
    <n v="301.33999999999997"/>
    <n v="13.8"/>
    <d v="2026-02-07T00:00:00"/>
    <n v="38.71"/>
    <x v="3"/>
  </r>
  <r>
    <x v="1160"/>
    <x v="1160"/>
    <x v="0"/>
    <x v="5"/>
    <x v="1160"/>
    <n v="51.24"/>
    <n v="2.58"/>
    <n v="155.01"/>
    <n v="5.04"/>
    <d v="2026-02-07T00:00:00"/>
    <n v="26.9"/>
    <x v="3"/>
  </r>
  <r>
    <x v="1161"/>
    <x v="1161"/>
    <x v="2"/>
    <x v="4"/>
    <x v="1161"/>
    <n v="34.380000000000003"/>
    <n v="3.42"/>
    <n v="205.13"/>
    <n v="9.94"/>
    <d v="2026-02-07T00:00:00"/>
    <n v="37.78"/>
    <x v="2"/>
  </r>
  <r>
    <x v="1162"/>
    <x v="1162"/>
    <x v="5"/>
    <x v="5"/>
    <x v="1162"/>
    <n v="43.28"/>
    <n v="6.33"/>
    <n v="379.89"/>
    <n v="14.63"/>
    <d v="2026-02-07T00:00:00"/>
    <n v="35.68"/>
    <x v="2"/>
  </r>
  <r>
    <x v="1163"/>
    <x v="1163"/>
    <x v="4"/>
    <x v="2"/>
    <x v="1163"/>
    <n v="20.67"/>
    <n v="35.92"/>
    <n v="2155.4"/>
    <n v="173.79"/>
    <d v="2026-02-07T00:00:00"/>
    <n v="126.56"/>
    <x v="2"/>
  </r>
  <r>
    <x v="1164"/>
    <x v="1164"/>
    <x v="3"/>
    <x v="4"/>
    <x v="1164"/>
    <n v="55.01"/>
    <n v="9.11"/>
    <n v="546.72"/>
    <n v="16.559999999999999"/>
    <d v="2026-02-07T00:00:00"/>
    <n v="30.78"/>
    <x v="3"/>
  </r>
  <r>
    <x v="1165"/>
    <x v="1165"/>
    <x v="3"/>
    <x v="3"/>
    <x v="1165"/>
    <n v="19.68"/>
    <n v="19.920000000000002"/>
    <n v="1195.01"/>
    <n v="101.2"/>
    <d v="2026-02-07T00:00:00"/>
    <n v="90.76"/>
    <x v="2"/>
  </r>
  <r>
    <x v="1166"/>
    <x v="1166"/>
    <x v="2"/>
    <x v="3"/>
    <x v="1166"/>
    <n v="40.43"/>
    <n v="3.7"/>
    <n v="222.1"/>
    <n v="9.16"/>
    <d v="2026-02-07T00:00:00"/>
    <n v="34.369999999999997"/>
    <x v="3"/>
  </r>
  <r>
    <x v="1167"/>
    <x v="1167"/>
    <x v="2"/>
    <x v="5"/>
    <x v="1167"/>
    <n v="50.15"/>
    <n v="3.89"/>
    <n v="233.34"/>
    <n v="7.75"/>
    <d v="2026-02-07T00:00:00"/>
    <n v="28.8"/>
    <x v="2"/>
  </r>
  <r>
    <x v="1168"/>
    <x v="1168"/>
    <x v="0"/>
    <x v="0"/>
    <x v="1168"/>
    <n v="50.33"/>
    <n v="4.3099999999999996"/>
    <n v="258.73"/>
    <n v="8.57"/>
    <d v="2026-02-07T00:00:00"/>
    <n v="29.12"/>
    <x v="2"/>
  </r>
  <r>
    <x v="1169"/>
    <x v="1169"/>
    <x v="6"/>
    <x v="3"/>
    <x v="1169"/>
    <n v="37.82"/>
    <n v="4.7"/>
    <n v="282.08"/>
    <n v="12.43"/>
    <d v="2026-02-07T00:00:00"/>
    <n v="37.31"/>
    <x v="3"/>
  </r>
  <r>
    <x v="1170"/>
    <x v="1170"/>
    <x v="4"/>
    <x v="2"/>
    <x v="1170"/>
    <n v="23.84"/>
    <n v="20.53"/>
    <n v="1231.56"/>
    <n v="86.1"/>
    <d v="2026-02-07T00:00:00"/>
    <n v="81.13"/>
    <x v="3"/>
  </r>
  <r>
    <x v="1171"/>
    <x v="1171"/>
    <x v="6"/>
    <x v="4"/>
    <x v="1171"/>
    <n v="53.61"/>
    <n v="6.36"/>
    <n v="381.71"/>
    <n v="11.87"/>
    <d v="2026-02-07T00:00:00"/>
    <n v="29.13"/>
    <x v="2"/>
  </r>
  <r>
    <x v="1172"/>
    <x v="1172"/>
    <x v="3"/>
    <x v="2"/>
    <x v="1172"/>
    <n v="36.85"/>
    <n v="2.2200000000000002"/>
    <n v="133.05000000000001"/>
    <n v="6.02"/>
    <d v="2026-02-07T00:00:00"/>
    <n v="34.590000000000003"/>
    <x v="2"/>
  </r>
  <r>
    <x v="1173"/>
    <x v="1173"/>
    <x v="0"/>
    <x v="1"/>
    <x v="1173"/>
    <n v="40.36"/>
    <n v="5.71"/>
    <n v="342.71"/>
    <n v="14.15"/>
    <d v="2026-02-07T00:00:00"/>
    <n v="36.9"/>
    <x v="2"/>
  </r>
  <r>
    <x v="1174"/>
    <x v="1174"/>
    <x v="2"/>
    <x v="5"/>
    <x v="1174"/>
    <n v="53.6"/>
    <n v="5.64"/>
    <n v="338.39"/>
    <n v="10.52"/>
    <d v="2026-02-07T00:00:00"/>
    <n v="28.46"/>
    <x v="2"/>
  </r>
  <r>
    <x v="1175"/>
    <x v="1175"/>
    <x v="1"/>
    <x v="0"/>
    <x v="1175"/>
    <n v="56.18"/>
    <n v="5.46"/>
    <n v="327.72"/>
    <n v="9.7200000000000006"/>
    <d v="2026-02-07T00:00:00"/>
    <n v="26.77"/>
    <x v="3"/>
  </r>
  <r>
    <x v="1176"/>
    <x v="1176"/>
    <x v="1"/>
    <x v="1"/>
    <x v="1176"/>
    <n v="30.75"/>
    <n v="3.51"/>
    <n v="210.52"/>
    <n v="11.41"/>
    <d v="2026-02-07T00:00:00"/>
    <n v="40.33"/>
    <x v="3"/>
  </r>
  <r>
    <x v="1177"/>
    <x v="1177"/>
    <x v="4"/>
    <x v="4"/>
    <x v="1177"/>
    <n v="23.23"/>
    <n v="12.52"/>
    <n v="751.37"/>
    <n v="53.91"/>
    <d v="2026-02-07T00:00:00"/>
    <n v="65.34"/>
    <x v="2"/>
  </r>
  <r>
    <x v="1178"/>
    <x v="1178"/>
    <x v="5"/>
    <x v="1"/>
    <x v="1178"/>
    <n v="46.24"/>
    <n v="8.9600000000000009"/>
    <n v="537.79999999999995"/>
    <n v="19.38"/>
    <d v="2026-02-07T00:00:00"/>
    <n v="36.57"/>
    <x v="3"/>
  </r>
  <r>
    <x v="1179"/>
    <x v="1179"/>
    <x v="2"/>
    <x v="0"/>
    <x v="1179"/>
    <n v="38.35"/>
    <n v="9.17"/>
    <n v="550.48"/>
    <n v="23.92"/>
    <d v="2026-02-07T00:00:00"/>
    <n v="42.79"/>
    <x v="3"/>
  </r>
  <r>
    <x v="1180"/>
    <x v="1180"/>
    <x v="5"/>
    <x v="0"/>
    <x v="1180"/>
    <n v="47.75"/>
    <n v="8.76"/>
    <n v="525.4"/>
    <n v="18.34"/>
    <d v="2026-02-07T00:00:00"/>
    <n v="35.299999999999997"/>
    <x v="3"/>
  </r>
  <r>
    <x v="1181"/>
    <x v="1181"/>
    <x v="5"/>
    <x v="4"/>
    <x v="1181"/>
    <n v="56.92"/>
    <n v="5.93"/>
    <n v="356"/>
    <n v="10.42"/>
    <d v="2026-02-07T00:00:00"/>
    <n v="26.75"/>
    <x v="2"/>
  </r>
  <r>
    <x v="1182"/>
    <x v="1182"/>
    <x v="0"/>
    <x v="2"/>
    <x v="1182"/>
    <n v="53.57"/>
    <n v="2.46"/>
    <n v="147.52000000000001"/>
    <n v="4.59"/>
    <d v="2026-02-07T00:00:00"/>
    <n v="25.51"/>
    <x v="2"/>
  </r>
  <r>
    <x v="1183"/>
    <x v="1183"/>
    <x v="6"/>
    <x v="5"/>
    <x v="1183"/>
    <n v="50.01"/>
    <n v="2.75"/>
    <n v="165.08"/>
    <n v="5.5"/>
    <d v="2026-02-07T00:00:00"/>
    <n v="27.75"/>
    <x v="2"/>
  </r>
  <r>
    <x v="1184"/>
    <x v="1184"/>
    <x v="2"/>
    <x v="5"/>
    <x v="1184"/>
    <n v="42.13"/>
    <n v="6.85"/>
    <n v="411.09"/>
    <n v="16.260000000000002"/>
    <d v="2026-02-07T00:00:00"/>
    <n v="37.07"/>
    <x v="3"/>
  </r>
  <r>
    <x v="1185"/>
    <x v="1185"/>
    <x v="5"/>
    <x v="1"/>
    <x v="1185"/>
    <n v="31.65"/>
    <n v="6.22"/>
    <n v="372.98"/>
    <n v="19.64"/>
    <d v="2026-02-07T00:00:00"/>
    <n v="44"/>
    <x v="3"/>
  </r>
  <r>
    <x v="1186"/>
    <x v="1186"/>
    <x v="4"/>
    <x v="4"/>
    <x v="1186"/>
    <n v="28.64"/>
    <n v="20.73"/>
    <n v="1243.73"/>
    <n v="72.38"/>
    <d v="2026-02-07T00:00:00"/>
    <n v="71.87"/>
    <x v="3"/>
  </r>
  <r>
    <x v="1187"/>
    <x v="1187"/>
    <x v="3"/>
    <x v="0"/>
    <x v="1187"/>
    <n v="43.41"/>
    <n v="2.96"/>
    <n v="177.69"/>
    <n v="6.82"/>
    <d v="2026-02-07T00:00:00"/>
    <n v="31.71"/>
    <x v="2"/>
  </r>
  <r>
    <x v="1188"/>
    <x v="1188"/>
    <x v="6"/>
    <x v="4"/>
    <x v="1188"/>
    <n v="30.59"/>
    <n v="5.33"/>
    <n v="319.67"/>
    <n v="17.420000000000002"/>
    <d v="2026-02-07T00:00:00"/>
    <n v="43.42"/>
    <x v="3"/>
  </r>
  <r>
    <x v="1189"/>
    <x v="1189"/>
    <x v="3"/>
    <x v="2"/>
    <x v="1189"/>
    <n v="34.93"/>
    <n v="2.71"/>
    <n v="162.72999999999999"/>
    <n v="7.76"/>
    <d v="2026-02-07T00:00:00"/>
    <n v="36.42"/>
    <x v="3"/>
  </r>
  <r>
    <x v="1190"/>
    <x v="1190"/>
    <x v="4"/>
    <x v="2"/>
    <x v="1190"/>
    <n v="42.81"/>
    <n v="32.450000000000003"/>
    <n v="1947.28"/>
    <n v="125.31"/>
    <d v="2026-02-07T00:00:00"/>
    <n v="91.25"/>
    <x v="2"/>
  </r>
  <r>
    <x v="1191"/>
    <x v="1191"/>
    <x v="3"/>
    <x v="0"/>
    <x v="1191"/>
    <n v="43.03"/>
    <n v="1.85"/>
    <n v="111.13"/>
    <n v="4.3"/>
    <d v="2026-02-07T00:00:00"/>
    <n v="30.64"/>
    <x v="3"/>
  </r>
  <r>
    <x v="1192"/>
    <x v="1192"/>
    <x v="1"/>
    <x v="0"/>
    <x v="1192"/>
    <n v="40.82"/>
    <n v="5.52"/>
    <n v="331.49"/>
    <n v="13.53"/>
    <d v="2026-02-07T00:00:00"/>
    <n v="36.36"/>
    <x v="3"/>
  </r>
  <r>
    <x v="1193"/>
    <x v="1193"/>
    <x v="0"/>
    <x v="2"/>
    <x v="1193"/>
    <n v="34.729999999999997"/>
    <n v="9.36"/>
    <n v="561.73"/>
    <n v="26.96"/>
    <d v="2026-02-07T00:00:00"/>
    <n v="46.12"/>
    <x v="2"/>
  </r>
  <r>
    <x v="1194"/>
    <x v="1194"/>
    <x v="6"/>
    <x v="4"/>
    <x v="1194"/>
    <n v="42.87"/>
    <n v="4.2699999999999996"/>
    <n v="256.14"/>
    <n v="9.9600000000000009"/>
    <d v="2026-02-07T00:00:00"/>
    <n v="33.549999999999997"/>
    <x v="2"/>
  </r>
  <r>
    <x v="1195"/>
    <x v="1195"/>
    <x v="1"/>
    <x v="1"/>
    <x v="1195"/>
    <n v="41.43"/>
    <n v="5.59"/>
    <n v="335.44"/>
    <n v="13.49"/>
    <d v="2026-02-07T00:00:00"/>
    <n v="36.03"/>
    <x v="2"/>
  </r>
  <r>
    <x v="1196"/>
    <x v="1196"/>
    <x v="6"/>
    <x v="0"/>
    <x v="1196"/>
    <n v="54.76"/>
    <n v="4.47"/>
    <n v="268.41000000000003"/>
    <n v="8.17"/>
    <d v="2026-02-07T00:00:00"/>
    <n v="26.71"/>
    <x v="3"/>
  </r>
  <r>
    <x v="1197"/>
    <x v="1197"/>
    <x v="4"/>
    <x v="2"/>
    <x v="1197"/>
    <n v="22.13"/>
    <n v="15.59"/>
    <n v="935.65"/>
    <n v="70.47"/>
    <d v="2026-02-07T00:00:00"/>
    <n v="74.17"/>
    <x v="2"/>
  </r>
  <r>
    <x v="1198"/>
    <x v="1198"/>
    <x v="2"/>
    <x v="0"/>
    <x v="1198"/>
    <n v="41.7"/>
    <n v="4.04"/>
    <n v="242.24"/>
    <n v="9.68"/>
    <d v="2026-02-07T00:00:00"/>
    <n v="33.99"/>
    <x v="2"/>
  </r>
  <r>
    <x v="1199"/>
    <x v="1199"/>
    <x v="5"/>
    <x v="0"/>
    <x v="1199"/>
    <n v="42.81"/>
    <n v="2.2000000000000002"/>
    <n v="132.1"/>
    <n v="7.23"/>
    <d v="2026-02-07T00:00:00"/>
    <n v="32.21"/>
    <x v="3"/>
  </r>
  <r>
    <x v="1200"/>
    <x v="1200"/>
    <x v="2"/>
    <x v="2"/>
    <x v="1200"/>
    <n v="50.39"/>
    <n v="5.6"/>
    <n v="335.8"/>
    <n v="11.11"/>
    <d v="2026-02-07T00:00:00"/>
    <n v="30.36"/>
    <x v="3"/>
  </r>
  <r>
    <x v="1201"/>
    <x v="1201"/>
    <x v="0"/>
    <x v="4"/>
    <x v="1201"/>
    <n v="51.23"/>
    <n v="3.01"/>
    <n v="180.61"/>
    <n v="5.88"/>
    <d v="2026-02-07T00:00:00"/>
    <n v="27.33"/>
    <x v="3"/>
  </r>
  <r>
    <x v="1202"/>
    <x v="1202"/>
    <x v="0"/>
    <x v="5"/>
    <x v="1202"/>
    <n v="40.159999999999997"/>
    <n v="6.65"/>
    <n v="399.02"/>
    <n v="16.559999999999999"/>
    <d v="2026-02-07T00:00:00"/>
    <n v="38.200000000000003"/>
    <x v="3"/>
  </r>
  <r>
    <x v="1203"/>
    <x v="1203"/>
    <x v="1"/>
    <x v="1"/>
    <x v="1203"/>
    <n v="43.71"/>
    <n v="2.58"/>
    <n v="154.69999999999999"/>
    <n v="5.9"/>
    <d v="2026-02-07T00:00:00"/>
    <n v="31.1"/>
    <x v="2"/>
  </r>
  <r>
    <x v="1204"/>
    <x v="1204"/>
    <x v="0"/>
    <x v="0"/>
    <x v="1204"/>
    <n v="56.93"/>
    <n v="9.07"/>
    <n v="544.12"/>
    <n v="15.93"/>
    <d v="2026-02-07T00:00:00"/>
    <n v="29.5"/>
    <x v="2"/>
  </r>
  <r>
    <x v="1205"/>
    <x v="1205"/>
    <x v="3"/>
    <x v="4"/>
    <x v="1205"/>
    <n v="45.18"/>
    <n v="2.0299999999999998"/>
    <n v="121.92"/>
    <n v="4.5"/>
    <d v="2026-02-07T00:00:00"/>
    <n v="29.66"/>
    <x v="3"/>
  </r>
  <r>
    <x v="1206"/>
    <x v="1206"/>
    <x v="3"/>
    <x v="0"/>
    <x v="1206"/>
    <n v="36.85"/>
    <n v="5.72"/>
    <n v="343.315"/>
    <n v="7.22"/>
    <d v="2026-02-07T00:00:00"/>
    <n v="35.19"/>
    <x v="2"/>
  </r>
  <r>
    <x v="1207"/>
    <x v="1207"/>
    <x v="5"/>
    <x v="4"/>
    <x v="1207"/>
    <n v="32.96"/>
    <n v="3.06"/>
    <n v="183.36"/>
    <n v="9.27"/>
    <d v="2026-02-07T00:00:00"/>
    <n v="38.159999999999997"/>
    <x v="2"/>
  </r>
  <r>
    <x v="1208"/>
    <x v="1208"/>
    <x v="3"/>
    <x v="0"/>
    <x v="1208"/>
    <n v="38.020000000000003"/>
    <n v="1.41"/>
    <n v="84.68"/>
    <n v="3.71"/>
    <d v="2026-02-07T00:00:00"/>
    <n v="32.85"/>
    <x v="2"/>
  </r>
  <r>
    <x v="1209"/>
    <x v="1209"/>
    <x v="3"/>
    <x v="1"/>
    <x v="1209"/>
    <n v="36.9"/>
    <n v="2.34"/>
    <n v="140.24"/>
    <n v="6.33"/>
    <d v="2026-02-07T00:00:00"/>
    <n v="34.72"/>
    <x v="3"/>
  </r>
  <r>
    <x v="1210"/>
    <x v="1210"/>
    <x v="1"/>
    <x v="2"/>
    <x v="1210"/>
    <n v="52.85"/>
    <n v="5.1100000000000003"/>
    <n v="306.58999999999997"/>
    <n v="9.67"/>
    <d v="2026-02-07T00:00:00"/>
    <n v="28.41"/>
    <x v="3"/>
  </r>
  <r>
    <x v="1211"/>
    <x v="1211"/>
    <x v="0"/>
    <x v="4"/>
    <x v="1211"/>
    <n v="31.82"/>
    <n v="4.53"/>
    <n v="272"/>
    <n v="14.25"/>
    <d v="2026-02-07T00:00:00"/>
    <n v="41.22"/>
    <x v="2"/>
  </r>
  <r>
    <x v="1212"/>
    <x v="1212"/>
    <x v="6"/>
    <x v="1"/>
    <x v="1212"/>
    <n v="44.1"/>
    <n v="3.26"/>
    <n v="195.76"/>
    <n v="7.4"/>
    <d v="2026-02-07T00:00:00"/>
    <n v="31.65"/>
    <x v="3"/>
  </r>
  <r>
    <x v="1213"/>
    <x v="1213"/>
    <x v="1"/>
    <x v="2"/>
    <x v="1213"/>
    <n v="30.05"/>
    <n v="8.1"/>
    <n v="486.16"/>
    <n v="26.96"/>
    <d v="2026-02-07T00:00:00"/>
    <n v="48.46"/>
    <x v="3"/>
  </r>
  <r>
    <x v="1214"/>
    <x v="1214"/>
    <x v="2"/>
    <x v="2"/>
    <x v="1214"/>
    <n v="39.950000000000003"/>
    <n v="3.99"/>
    <n v="239.45"/>
    <n v="9.99"/>
    <d v="2026-02-07T00:00:00"/>
    <n v="35.020000000000003"/>
    <x v="3"/>
  </r>
  <r>
    <x v="1215"/>
    <x v="1215"/>
    <x v="0"/>
    <x v="3"/>
    <x v="1215"/>
    <n v="45.45"/>
    <n v="7.71"/>
    <n v="462.58"/>
    <n v="16.96"/>
    <d v="2026-02-07T00:00:00"/>
    <n v="35.76"/>
    <x v="2"/>
  </r>
  <r>
    <x v="1216"/>
    <x v="1216"/>
    <x v="1"/>
    <x v="4"/>
    <x v="1216"/>
    <n v="43.13"/>
    <n v="2.17"/>
    <n v="129.91"/>
    <n v="5.0199999999999996"/>
    <d v="2026-02-07T00:00:00"/>
    <n v="30.95"/>
    <x v="3"/>
  </r>
  <r>
    <x v="1217"/>
    <x v="1217"/>
    <x v="3"/>
    <x v="1"/>
    <x v="1217"/>
    <n v="42.37"/>
    <n v="1.26"/>
    <n v="75.819999999999993"/>
    <n v="2.98"/>
    <d v="2026-02-07T00:00:00"/>
    <n v="30.31"/>
    <x v="3"/>
  </r>
  <r>
    <x v="1218"/>
    <x v="1218"/>
    <x v="5"/>
    <x v="2"/>
    <x v="1218"/>
    <n v="48.47"/>
    <n v="9.3000000000000007"/>
    <n v="558.25"/>
    <n v="19.2"/>
    <d v="2026-02-07T00:00:00"/>
    <n v="35.369999999999997"/>
    <x v="3"/>
  </r>
  <r>
    <x v="1219"/>
    <x v="1219"/>
    <x v="1"/>
    <x v="0"/>
    <x v="1219"/>
    <n v="39.43"/>
    <n v="7.74"/>
    <n v="464.55"/>
    <n v="19.64"/>
    <d v="2026-02-07T00:00:00"/>
    <n v="40.11"/>
    <x v="2"/>
  </r>
  <r>
    <x v="1220"/>
    <x v="1220"/>
    <x v="3"/>
    <x v="5"/>
    <x v="1220"/>
    <n v="46.1"/>
    <n v="1.2"/>
    <n v="71.86"/>
    <n v="2.6"/>
    <d v="2026-02-07T00:00:00"/>
    <n v="28.25"/>
    <x v="3"/>
  </r>
  <r>
    <x v="1221"/>
    <x v="1221"/>
    <x v="0"/>
    <x v="3"/>
    <x v="1221"/>
    <n v="59.24"/>
    <n v="5.72"/>
    <n v="343.315"/>
    <n v="8.51"/>
    <d v="2026-02-07T00:00:00"/>
    <n v="24.64"/>
    <x v="3"/>
  </r>
  <r>
    <x v="1222"/>
    <x v="1222"/>
    <x v="3"/>
    <x v="4"/>
    <x v="1222"/>
    <n v="39.21"/>
    <n v="2.39"/>
    <n v="143.13999999999999"/>
    <n v="6.08"/>
    <d v="2026-02-07T00:00:00"/>
    <n v="33.44"/>
    <x v="3"/>
  </r>
  <r>
    <x v="1223"/>
    <x v="1223"/>
    <x v="1"/>
    <x v="2"/>
    <x v="1223"/>
    <n v="36"/>
    <n v="4.25"/>
    <n v="254.83"/>
    <n v="11.8"/>
    <d v="2026-02-07T00:00:00"/>
    <n v="37.9"/>
    <x v="2"/>
  </r>
  <r>
    <x v="1224"/>
    <x v="1224"/>
    <x v="1"/>
    <x v="4"/>
    <x v="1224"/>
    <n v="35.5"/>
    <n v="8.5399999999999991"/>
    <n v="512.41"/>
    <n v="24.06"/>
    <d v="2026-02-07T00:00:00"/>
    <n v="44.28"/>
    <x v="2"/>
  </r>
  <r>
    <x v="1225"/>
    <x v="1225"/>
    <x v="5"/>
    <x v="5"/>
    <x v="1225"/>
    <n v="59.3"/>
    <n v="4.1500000000000004"/>
    <n v="248.7"/>
    <n v="6.99"/>
    <d v="2026-02-07T00:00:00"/>
    <n v="23.85"/>
    <x v="2"/>
  </r>
  <r>
    <x v="1226"/>
    <x v="1226"/>
    <x v="3"/>
    <x v="2"/>
    <x v="1226"/>
    <n v="35.159999999999997"/>
    <n v="2.61"/>
    <n v="156.71"/>
    <n v="7.43"/>
    <d v="2026-02-07T00:00:00"/>
    <n v="36.14"/>
    <x v="2"/>
  </r>
  <r>
    <x v="1227"/>
    <x v="1227"/>
    <x v="4"/>
    <x v="5"/>
    <x v="1227"/>
    <n v="29.47"/>
    <n v="35.64"/>
    <n v="2138.41"/>
    <n v="120.94"/>
    <d v="2026-02-07T00:00:00"/>
    <n v="95.74"/>
    <x v="2"/>
  </r>
  <r>
    <x v="1228"/>
    <x v="1228"/>
    <x v="2"/>
    <x v="4"/>
    <x v="1228"/>
    <n v="49.76"/>
    <n v="9.49"/>
    <n v="569.54"/>
    <n v="19.079999999999998"/>
    <d v="2026-02-07T00:00:00"/>
    <n v="34.659999999999997"/>
    <x v="3"/>
  </r>
  <r>
    <x v="1229"/>
    <x v="1229"/>
    <x v="4"/>
    <x v="1"/>
    <x v="1229"/>
    <n v="17.3"/>
    <n v="11.68"/>
    <n v="700.72"/>
    <n v="67.510000000000005"/>
    <d v="2026-02-07T00:00:00"/>
    <n v="75.11"/>
    <x v="2"/>
  </r>
  <r>
    <x v="1230"/>
    <x v="1230"/>
    <x v="5"/>
    <x v="2"/>
    <x v="1230"/>
    <n v="30.75"/>
    <n v="3.3"/>
    <n v="198.18"/>
    <n v="10.74"/>
    <d v="2026-02-07T00:00:00"/>
    <n v="40"/>
    <x v="3"/>
  </r>
  <r>
    <x v="1231"/>
    <x v="1231"/>
    <x v="6"/>
    <x v="0"/>
    <x v="1231"/>
    <n v="48.63"/>
    <n v="3.87"/>
    <n v="232.1"/>
    <n v="7.95"/>
    <d v="2026-02-07T00:00:00"/>
    <n v="29.66"/>
    <x v="2"/>
  </r>
  <r>
    <x v="1232"/>
    <x v="1232"/>
    <x v="2"/>
    <x v="5"/>
    <x v="1232"/>
    <n v="30.56"/>
    <n v="5.72"/>
    <n v="343.315"/>
    <n v="22.02"/>
    <d v="2026-02-07T00:00:00"/>
    <n v="45.73"/>
    <x v="2"/>
  </r>
  <r>
    <x v="1233"/>
    <x v="1233"/>
    <x v="1"/>
    <x v="0"/>
    <x v="1233"/>
    <n v="52.23"/>
    <n v="8.61"/>
    <n v="516.80999999999995"/>
    <n v="16.489999999999998"/>
    <d v="2026-02-07T00:00:00"/>
    <n v="32.130000000000003"/>
    <x v="3"/>
  </r>
  <r>
    <x v="1234"/>
    <x v="1234"/>
    <x v="4"/>
    <x v="4"/>
    <x v="1234"/>
    <n v="42.81"/>
    <n v="34.479999999999997"/>
    <n v="2068.5300000000002"/>
    <n v="119.09"/>
    <d v="2026-02-07T00:00:00"/>
    <n v="88.14"/>
    <x v="2"/>
  </r>
  <r>
    <x v="1235"/>
    <x v="1235"/>
    <x v="6"/>
    <x v="1"/>
    <x v="1235"/>
    <n v="46.18"/>
    <n v="3.44"/>
    <n v="206.46"/>
    <n v="7.45"/>
    <d v="2026-02-07T00:00:00"/>
    <n v="30.64"/>
    <x v="3"/>
  </r>
  <r>
    <x v="1236"/>
    <x v="1236"/>
    <x v="3"/>
    <x v="5"/>
    <x v="1236"/>
    <n v="41.28"/>
    <n v="2.21"/>
    <n v="132.41999999999999"/>
    <n v="5.35"/>
    <d v="2026-02-07T00:00:00"/>
    <n v="32.04"/>
    <x v="3"/>
  </r>
  <r>
    <x v="1237"/>
    <x v="1237"/>
    <x v="3"/>
    <x v="5"/>
    <x v="1237"/>
    <n v="42.78"/>
    <n v="6.1"/>
    <n v="366.1"/>
    <n v="14.26"/>
    <d v="2026-02-07T00:00:00"/>
    <n v="35.74"/>
    <x v="3"/>
  </r>
  <r>
    <x v="1238"/>
    <x v="1238"/>
    <x v="1"/>
    <x v="4"/>
    <x v="1238"/>
    <n v="48.23"/>
    <n v="7.07"/>
    <n v="424.33"/>
    <n v="14.66"/>
    <d v="2026-02-07T00:00:00"/>
    <n v="33.22"/>
    <x v="2"/>
  </r>
  <r>
    <x v="1239"/>
    <x v="1239"/>
    <x v="2"/>
    <x v="4"/>
    <x v="1239"/>
    <n v="40.130000000000003"/>
    <n v="5.72"/>
    <n v="343.315"/>
    <n v="8.09"/>
    <d v="2026-02-07T00:00:00"/>
    <n v="33.979999999999997"/>
    <x v="3"/>
  </r>
  <r>
    <x v="1240"/>
    <x v="1240"/>
    <x v="2"/>
    <x v="1"/>
    <x v="1240"/>
    <n v="46.58"/>
    <n v="7.65"/>
    <n v="458.86"/>
    <n v="16.420000000000002"/>
    <d v="2026-02-07T00:00:00"/>
    <n v="34.92"/>
    <x v="3"/>
  </r>
  <r>
    <x v="1241"/>
    <x v="1241"/>
    <x v="6"/>
    <x v="4"/>
    <x v="1241"/>
    <n v="57.43"/>
    <n v="9.66"/>
    <n v="579.38"/>
    <n v="16.809999999999999"/>
    <d v="2026-02-07T00:00:00"/>
    <n v="29.69"/>
    <x v="3"/>
  </r>
  <r>
    <x v="1242"/>
    <x v="1242"/>
    <x v="6"/>
    <x v="1"/>
    <x v="1242"/>
    <n v="44.25"/>
    <n v="6.63"/>
    <n v="397.63"/>
    <n v="14.98"/>
    <d v="2026-02-07T00:00:00"/>
    <n v="35.369999999999997"/>
    <x v="2"/>
  </r>
  <r>
    <x v="1243"/>
    <x v="1243"/>
    <x v="4"/>
    <x v="3"/>
    <x v="1243"/>
    <n v="23.69"/>
    <n v="23.63"/>
    <n v="1417.93"/>
    <n v="99.76"/>
    <d v="2026-02-07T00:00:00"/>
    <n v="88.04"/>
    <x v="3"/>
  </r>
  <r>
    <x v="1244"/>
    <x v="1244"/>
    <x v="1"/>
    <x v="5"/>
    <x v="1244"/>
    <n v="59.91"/>
    <n v="8.19"/>
    <n v="491.12"/>
    <n v="13.66"/>
    <d v="2026-02-07T00:00:00"/>
    <n v="26.88"/>
    <x v="2"/>
  </r>
  <r>
    <x v="1245"/>
    <x v="1245"/>
    <x v="1"/>
    <x v="1"/>
    <x v="1245"/>
    <n v="58.7"/>
    <n v="8.43"/>
    <n v="505.76"/>
    <n v="14.36"/>
    <d v="2026-02-07T00:00:00"/>
    <n v="27.83"/>
    <x v="3"/>
  </r>
  <r>
    <x v="1246"/>
    <x v="1246"/>
    <x v="4"/>
    <x v="0"/>
    <x v="1246"/>
    <n v="18.57"/>
    <n v="33.49"/>
    <n v="2009.57"/>
    <n v="180.36"/>
    <d v="2026-02-07T00:00:00"/>
    <n v="130.9"/>
    <x v="2"/>
  </r>
  <r>
    <x v="1247"/>
    <x v="1247"/>
    <x v="1"/>
    <x v="2"/>
    <x v="1247"/>
    <n v="42.81"/>
    <n v="5.07"/>
    <n v="303.97000000000003"/>
    <n v="11.05"/>
    <d v="2026-02-07T00:00:00"/>
    <n v="34.119999999999997"/>
    <x v="3"/>
  </r>
  <r>
    <x v="1248"/>
    <x v="1248"/>
    <x v="3"/>
    <x v="5"/>
    <x v="1248"/>
    <n v="57.95"/>
    <n v="6.71"/>
    <n v="402.6"/>
    <n v="11.58"/>
    <d v="2026-02-07T00:00:00"/>
    <n v="26.82"/>
    <x v="3"/>
  </r>
  <r>
    <x v="1249"/>
    <x v="1249"/>
    <x v="4"/>
    <x v="1"/>
    <x v="1249"/>
    <n v="42.81"/>
    <n v="10.9"/>
    <n v="654.19000000000005"/>
    <n v="49.38"/>
    <d v="2026-02-07T00:00:00"/>
    <n v="53.29"/>
    <x v="3"/>
  </r>
  <r>
    <x v="1250"/>
    <x v="1250"/>
    <x v="3"/>
    <x v="5"/>
    <x v="1250"/>
    <n v="39.729999999999997"/>
    <n v="2.72"/>
    <n v="163.46"/>
    <n v="6.86"/>
    <d v="2026-02-07T00:00:00"/>
    <n v="33.57"/>
    <x v="3"/>
  </r>
  <r>
    <x v="1251"/>
    <x v="1251"/>
    <x v="2"/>
    <x v="2"/>
    <x v="1251"/>
    <n v="30.48"/>
    <n v="7.87"/>
    <n v="472.25"/>
    <n v="25.82"/>
    <d v="2026-02-07T00:00:00"/>
    <n v="47.67"/>
    <x v="3"/>
  </r>
  <r>
    <x v="1252"/>
    <x v="1252"/>
    <x v="3"/>
    <x v="5"/>
    <x v="1252"/>
    <n v="35.15"/>
    <n v="1.99"/>
    <n v="119.19"/>
    <n v="5.65"/>
    <d v="2026-02-07T00:00:00"/>
    <n v="35.25"/>
    <x v="2"/>
  </r>
  <r>
    <x v="1253"/>
    <x v="1253"/>
    <x v="1"/>
    <x v="3"/>
    <x v="1253"/>
    <n v="42.69"/>
    <n v="6.19"/>
    <n v="371.61"/>
    <n v="14.51"/>
    <d v="2026-02-07T00:00:00"/>
    <n v="35.909999999999997"/>
    <x v="3"/>
  </r>
  <r>
    <x v="1254"/>
    <x v="1254"/>
    <x v="5"/>
    <x v="2"/>
    <x v="1254"/>
    <n v="56.3"/>
    <n v="3.52"/>
    <n v="211.22"/>
    <n v="6.25"/>
    <d v="2026-02-07T00:00:00"/>
    <n v="24.98"/>
    <x v="2"/>
  </r>
  <r>
    <x v="1255"/>
    <x v="1255"/>
    <x v="1"/>
    <x v="2"/>
    <x v="1255"/>
    <n v="54.01"/>
    <n v="3.39"/>
    <n v="203.6"/>
    <n v="6.28"/>
    <d v="2026-02-07T00:00:00"/>
    <n v="26.14"/>
    <x v="3"/>
  </r>
  <r>
    <x v="1256"/>
    <x v="1256"/>
    <x v="1"/>
    <x v="3"/>
    <x v="1256"/>
    <n v="58.84"/>
    <n v="6.79"/>
    <n v="407.68"/>
    <n v="11.55"/>
    <d v="2026-02-07T00:00:00"/>
    <n v="26.36"/>
    <x v="3"/>
  </r>
  <r>
    <x v="1257"/>
    <x v="1257"/>
    <x v="1"/>
    <x v="1"/>
    <x v="1257"/>
    <n v="40.01"/>
    <n v="3.14"/>
    <n v="188.15"/>
    <n v="7.84"/>
    <d v="2026-02-07T00:00:00"/>
    <n v="33.92"/>
    <x v="2"/>
  </r>
  <r>
    <x v="1258"/>
    <x v="1258"/>
    <x v="5"/>
    <x v="0"/>
    <x v="1258"/>
    <n v="54.51"/>
    <n v="5.72"/>
    <n v="343.315"/>
    <n v="17.64"/>
    <d v="2026-02-07T00:00:00"/>
    <n v="31.57"/>
    <x v="3"/>
  </r>
  <r>
    <x v="1259"/>
    <x v="1259"/>
    <x v="2"/>
    <x v="2"/>
    <x v="1259"/>
    <n v="55.52"/>
    <n v="5.12"/>
    <n v="307.11"/>
    <n v="9.2200000000000006"/>
    <d v="2026-02-07T00:00:00"/>
    <n v="26.85"/>
    <x v="3"/>
  </r>
  <r>
    <x v="1260"/>
    <x v="1260"/>
    <x v="5"/>
    <x v="3"/>
    <x v="1260"/>
    <n v="32.72"/>
    <n v="4.0599999999999996"/>
    <n v="243.63"/>
    <n v="12.41"/>
    <d v="2026-02-07T00:00:00"/>
    <n v="39.85"/>
    <x v="3"/>
  </r>
  <r>
    <x v="1261"/>
    <x v="1261"/>
    <x v="2"/>
    <x v="4"/>
    <x v="1261"/>
    <n v="30.8"/>
    <n v="8.91"/>
    <n v="534.87"/>
    <n v="28.94"/>
    <d v="2026-02-07T00:00:00"/>
    <n v="49.07"/>
    <x v="3"/>
  </r>
  <r>
    <x v="1262"/>
    <x v="1262"/>
    <x v="6"/>
    <x v="2"/>
    <x v="1262"/>
    <n v="40.42"/>
    <n v="7.66"/>
    <n v="459.76"/>
    <n v="18.96"/>
    <d v="2026-02-07T00:00:00"/>
    <n v="39.270000000000003"/>
    <x v="2"/>
  </r>
  <r>
    <x v="1263"/>
    <x v="1263"/>
    <x v="3"/>
    <x v="3"/>
    <x v="1263"/>
    <n v="43.06"/>
    <n v="1.48"/>
    <n v="88.59"/>
    <n v="3.43"/>
    <d v="2026-02-07T00:00:00"/>
    <n v="30.19"/>
    <x v="3"/>
  </r>
  <r>
    <x v="1264"/>
    <x v="1264"/>
    <x v="4"/>
    <x v="0"/>
    <x v="1264"/>
    <n v="28.9"/>
    <n v="15.4"/>
    <n v="923.88"/>
    <n v="53.28"/>
    <d v="2026-02-07T00:00:00"/>
    <n v="62.19"/>
    <x v="3"/>
  </r>
  <r>
    <x v="1265"/>
    <x v="1265"/>
    <x v="3"/>
    <x v="2"/>
    <x v="1265"/>
    <n v="48.08"/>
    <n v="2.31"/>
    <n v="138.57"/>
    <n v="4.8"/>
    <d v="2026-02-07T00:00:00"/>
    <n v="28.36"/>
    <x v="3"/>
  </r>
  <r>
    <x v="1266"/>
    <x v="1266"/>
    <x v="2"/>
    <x v="1"/>
    <x v="1266"/>
    <n v="48.25"/>
    <n v="7.1"/>
    <n v="426.07"/>
    <n v="14.72"/>
    <d v="2026-02-07T00:00:00"/>
    <n v="33.24"/>
    <x v="3"/>
  </r>
  <r>
    <x v="1267"/>
    <x v="1267"/>
    <x v="6"/>
    <x v="1"/>
    <x v="1267"/>
    <n v="44.16"/>
    <n v="6.61"/>
    <n v="396.76"/>
    <n v="14.97"/>
    <d v="2026-02-07T00:00:00"/>
    <n v="35.409999999999997"/>
    <x v="3"/>
  </r>
  <r>
    <x v="1268"/>
    <x v="1268"/>
    <x v="3"/>
    <x v="2"/>
    <x v="1268"/>
    <n v="42.81"/>
    <n v="2.67"/>
    <n v="160.11000000000001"/>
    <n v="5.44"/>
    <d v="2026-02-07T00:00:00"/>
    <n v="31.32"/>
    <x v="2"/>
  </r>
  <r>
    <x v="1269"/>
    <x v="1269"/>
    <x v="4"/>
    <x v="3"/>
    <x v="1269"/>
    <n v="15.27"/>
    <n v="38.729999999999997"/>
    <n v="2323.6999999999998"/>
    <n v="253.62"/>
    <d v="2026-02-07T00:00:00"/>
    <n v="169.18"/>
    <x v="2"/>
  </r>
  <r>
    <x v="1270"/>
    <x v="1270"/>
    <x v="2"/>
    <x v="3"/>
    <x v="1270"/>
    <n v="60"/>
    <n v="4.99"/>
    <n v="299.25"/>
    <n v="8.31"/>
    <d v="2026-02-07T00:00:00"/>
    <n v="24.16"/>
    <x v="3"/>
  </r>
  <r>
    <x v="1271"/>
    <x v="1271"/>
    <x v="3"/>
    <x v="3"/>
    <x v="1271"/>
    <n v="40.11"/>
    <n v="1.26"/>
    <n v="75.5"/>
    <n v="3.14"/>
    <d v="2026-02-07T00:00:00"/>
    <n v="31.52"/>
    <x v="3"/>
  </r>
  <r>
    <x v="1272"/>
    <x v="1272"/>
    <x v="3"/>
    <x v="4"/>
    <x v="1272"/>
    <n v="42.81"/>
    <n v="2.35"/>
    <n v="140.87"/>
    <n v="6.57"/>
    <d v="2026-02-07T00:00:00"/>
    <n v="31.88"/>
    <x v="3"/>
  </r>
  <r>
    <x v="1273"/>
    <x v="1273"/>
    <x v="0"/>
    <x v="3"/>
    <x v="1273"/>
    <n v="54.62"/>
    <n v="8.64"/>
    <n v="518.5"/>
    <n v="15.82"/>
    <d v="2026-02-07T00:00:00"/>
    <n v="30.6"/>
    <x v="2"/>
  </r>
  <r>
    <x v="1274"/>
    <x v="1274"/>
    <x v="0"/>
    <x v="3"/>
    <x v="1274"/>
    <n v="47.71"/>
    <n v="8.07"/>
    <n v="484.25"/>
    <n v="16.920000000000002"/>
    <d v="2026-02-07T00:00:00"/>
    <n v="34.61"/>
    <x v="2"/>
  </r>
  <r>
    <x v="1275"/>
    <x v="1275"/>
    <x v="5"/>
    <x v="5"/>
    <x v="1275"/>
    <n v="36.25"/>
    <n v="5.1100000000000003"/>
    <n v="306.76"/>
    <n v="14.1"/>
    <d v="2026-02-07T00:00:00"/>
    <n v="38.93"/>
    <x v="3"/>
  </r>
  <r>
    <x v="1276"/>
    <x v="1276"/>
    <x v="3"/>
    <x v="0"/>
    <x v="1276"/>
    <n v="45.93"/>
    <n v="2.72"/>
    <n v="162.99"/>
    <n v="5.91"/>
    <d v="2026-02-07T00:00:00"/>
    <n v="29.99"/>
    <x v="2"/>
  </r>
  <r>
    <x v="1277"/>
    <x v="1277"/>
    <x v="1"/>
    <x v="5"/>
    <x v="1277"/>
    <n v="37.39"/>
    <n v="8.7100000000000009"/>
    <n v="522.70000000000005"/>
    <n v="23.3"/>
    <d v="2026-02-07T00:00:00"/>
    <n v="42.96"/>
    <x v="2"/>
  </r>
  <r>
    <x v="1278"/>
    <x v="1278"/>
    <x v="1"/>
    <x v="5"/>
    <x v="1278"/>
    <n v="50.46"/>
    <n v="4.74"/>
    <n v="284.27999999999997"/>
    <n v="9.39"/>
    <d v="2026-02-07T00:00:00"/>
    <n v="29.47"/>
    <x v="2"/>
  </r>
  <r>
    <x v="1279"/>
    <x v="1279"/>
    <x v="5"/>
    <x v="2"/>
    <x v="1279"/>
    <n v="37.340000000000003"/>
    <n v="7.82"/>
    <n v="469.17"/>
    <n v="20.94"/>
    <d v="2026-02-07T00:00:00"/>
    <n v="41.8"/>
    <x v="3"/>
  </r>
  <r>
    <x v="1280"/>
    <x v="1280"/>
    <x v="1"/>
    <x v="1"/>
    <x v="1280"/>
    <n v="50.16"/>
    <n v="8.31"/>
    <n v="498.62"/>
    <n v="16.57"/>
    <d v="2026-02-07T00:00:00"/>
    <n v="33.21"/>
    <x v="2"/>
  </r>
  <r>
    <x v="1281"/>
    <x v="1281"/>
    <x v="5"/>
    <x v="5"/>
    <x v="1281"/>
    <n v="42.81"/>
    <n v="6.21"/>
    <n v="372.63"/>
    <n v="12.34"/>
    <d v="2026-02-07T00:00:00"/>
    <n v="34.770000000000003"/>
    <x v="2"/>
  </r>
  <r>
    <x v="1282"/>
    <x v="1282"/>
    <x v="1"/>
    <x v="4"/>
    <x v="1282"/>
    <n v="42.87"/>
    <n v="5.85"/>
    <n v="351.23"/>
    <n v="13.65"/>
    <d v="2026-02-07T00:00:00"/>
    <n v="35.39"/>
    <x v="3"/>
  </r>
  <r>
    <x v="1283"/>
    <x v="1283"/>
    <x v="1"/>
    <x v="1"/>
    <x v="1283"/>
    <n v="37.119999999999997"/>
    <n v="5.34"/>
    <n v="320.47000000000003"/>
    <n v="14.39"/>
    <d v="2026-02-07T00:00:00"/>
    <n v="38.64"/>
    <x v="3"/>
  </r>
  <r>
    <x v="1284"/>
    <x v="1284"/>
    <x v="3"/>
    <x v="3"/>
    <x v="1284"/>
    <n v="42.81"/>
    <n v="2.9"/>
    <n v="174.25"/>
    <n v="6.81"/>
    <d v="2026-02-07T00:00:00"/>
    <n v="32"/>
    <x v="3"/>
  </r>
  <r>
    <x v="1285"/>
    <x v="1285"/>
    <x v="3"/>
    <x v="2"/>
    <x v="1285"/>
    <n v="35.25"/>
    <n v="2.75"/>
    <n v="164.81"/>
    <n v="7.79"/>
    <d v="2026-02-07T00:00:00"/>
    <n v="36.270000000000003"/>
    <x v="3"/>
  </r>
  <r>
    <x v="1286"/>
    <x v="1286"/>
    <x v="1"/>
    <x v="5"/>
    <x v="1286"/>
    <n v="55.87"/>
    <n v="6.65"/>
    <n v="398.7"/>
    <n v="11.89"/>
    <d v="2026-02-07T00:00:00"/>
    <n v="28.01"/>
    <x v="3"/>
  </r>
  <r>
    <x v="1287"/>
    <x v="1287"/>
    <x v="3"/>
    <x v="3"/>
    <x v="1287"/>
    <n v="35.21"/>
    <n v="1.43"/>
    <n v="85.7"/>
    <n v="4.0599999999999996"/>
    <d v="2026-02-07T00:00:00"/>
    <n v="34.43"/>
    <x v="3"/>
  </r>
  <r>
    <x v="1288"/>
    <x v="1288"/>
    <x v="1"/>
    <x v="2"/>
    <x v="1288"/>
    <n v="56.94"/>
    <n v="7.94"/>
    <n v="476.46"/>
    <n v="13.95"/>
    <d v="2026-02-07T00:00:00"/>
    <n v="28.51"/>
    <x v="3"/>
  </r>
  <r>
    <x v="1289"/>
    <x v="1289"/>
    <x v="1"/>
    <x v="1"/>
    <x v="1289"/>
    <n v="31.93"/>
    <n v="5.61"/>
    <n v="336.6"/>
    <n v="17.57"/>
    <d v="2026-02-07T00:00:00"/>
    <n v="42.82"/>
    <x v="2"/>
  </r>
  <r>
    <x v="1290"/>
    <x v="1290"/>
    <x v="4"/>
    <x v="1"/>
    <x v="1290"/>
    <n v="18.86"/>
    <n v="34.31"/>
    <n v="2058.61"/>
    <n v="181.92"/>
    <d v="2026-02-07T00:00:00"/>
    <n v="131.53"/>
    <x v="3"/>
  </r>
  <r>
    <x v="1291"/>
    <x v="1291"/>
    <x v="3"/>
    <x v="5"/>
    <x v="1291"/>
    <n v="46.56"/>
    <n v="2.44"/>
    <n v="146.37"/>
    <n v="5.24"/>
    <d v="2026-02-07T00:00:00"/>
    <n v="29.34"/>
    <x v="3"/>
  </r>
  <r>
    <x v="1292"/>
    <x v="1292"/>
    <x v="3"/>
    <x v="5"/>
    <x v="1292"/>
    <n v="38.18"/>
    <n v="2.06"/>
    <n v="123.65"/>
    <n v="5.4"/>
    <d v="2026-02-07T00:00:00"/>
    <n v="33.61"/>
    <x v="2"/>
  </r>
  <r>
    <x v="1293"/>
    <x v="1293"/>
    <x v="1"/>
    <x v="1"/>
    <x v="1293"/>
    <n v="39.729999999999997"/>
    <n v="4.3099999999999996"/>
    <n v="258.86"/>
    <n v="10.86"/>
    <d v="2026-02-07T00:00:00"/>
    <n v="35.57"/>
    <x v="3"/>
  </r>
  <r>
    <x v="1294"/>
    <x v="1294"/>
    <x v="0"/>
    <x v="5"/>
    <x v="1294"/>
    <n v="52.15"/>
    <n v="9.57"/>
    <n v="574.21"/>
    <n v="18.350000000000001"/>
    <d v="2026-02-07T00:00:00"/>
    <n v="33.1"/>
    <x v="2"/>
  </r>
  <r>
    <x v="1295"/>
    <x v="1295"/>
    <x v="0"/>
    <x v="0"/>
    <x v="1295"/>
    <n v="37.369999999999997"/>
    <n v="6.48"/>
    <n v="388.74"/>
    <n v="17.34"/>
    <d v="2026-02-07T00:00:00"/>
    <n v="39.99"/>
    <x v="2"/>
  </r>
  <r>
    <x v="1296"/>
    <x v="1296"/>
    <x v="0"/>
    <x v="4"/>
    <x v="1296"/>
    <n v="42.81"/>
    <n v="2.4300000000000002"/>
    <n v="145.53"/>
    <n v="4.34"/>
    <d v="2026-02-07T00:00:00"/>
    <n v="30.77"/>
    <x v="2"/>
  </r>
  <r>
    <x v="1297"/>
    <x v="1297"/>
    <x v="3"/>
    <x v="3"/>
    <x v="1297"/>
    <n v="46.85"/>
    <n v="1.96"/>
    <n v="117.36"/>
    <n v="4.18"/>
    <d v="2026-02-07T00:00:00"/>
    <n v="28.67"/>
    <x v="3"/>
  </r>
  <r>
    <x v="1298"/>
    <x v="1298"/>
    <x v="3"/>
    <x v="0"/>
    <x v="1298"/>
    <n v="37.5"/>
    <n v="1.82"/>
    <n v="108.91"/>
    <n v="4.84"/>
    <d v="2026-02-07T00:00:00"/>
    <n v="33.67"/>
    <x v="3"/>
  </r>
  <r>
    <x v="1299"/>
    <x v="1299"/>
    <x v="0"/>
    <x v="0"/>
    <x v="1299"/>
    <n v="39.39"/>
    <n v="5.5"/>
    <n v="329.85"/>
    <n v="13.96"/>
    <d v="2026-02-07T00:00:00"/>
    <n v="37.29"/>
    <x v="2"/>
  </r>
  <r>
    <x v="1300"/>
    <x v="1300"/>
    <x v="4"/>
    <x v="3"/>
    <x v="1300"/>
    <n v="23.05"/>
    <n v="16.77"/>
    <n v="1006.08"/>
    <n v="72.75"/>
    <d v="2026-02-07T00:00:00"/>
    <n v="74.849999999999994"/>
    <x v="2"/>
  </r>
  <r>
    <x v="1301"/>
    <x v="1301"/>
    <x v="1"/>
    <x v="5"/>
    <x v="1301"/>
    <n v="34.01"/>
    <n v="6.4"/>
    <n v="383.82"/>
    <n v="18.809999999999999"/>
    <d v="2026-02-07T00:00:00"/>
    <n v="42.4"/>
    <x v="3"/>
  </r>
  <r>
    <x v="1302"/>
    <x v="1302"/>
    <x v="5"/>
    <x v="1"/>
    <x v="1302"/>
    <n v="56.17"/>
    <n v="5.34"/>
    <n v="320.36"/>
    <n v="9.51"/>
    <d v="2026-02-07T00:00:00"/>
    <n v="26.67"/>
    <x v="3"/>
  </r>
  <r>
    <x v="1303"/>
    <x v="1303"/>
    <x v="0"/>
    <x v="4"/>
    <x v="1303"/>
    <n v="37.020000000000003"/>
    <n v="2.62"/>
    <n v="156.97"/>
    <n v="7.07"/>
    <d v="2026-02-07T00:00:00"/>
    <n v="35.03"/>
    <x v="3"/>
  </r>
  <r>
    <x v="1304"/>
    <x v="1304"/>
    <x v="2"/>
    <x v="5"/>
    <x v="1304"/>
    <n v="55.29"/>
    <n v="4.4400000000000004"/>
    <n v="266.54000000000002"/>
    <n v="8.0299999999999994"/>
    <d v="2026-02-07T00:00:00"/>
    <n v="26.37"/>
    <x v="3"/>
  </r>
  <r>
    <x v="1305"/>
    <x v="1305"/>
    <x v="0"/>
    <x v="0"/>
    <x v="1305"/>
    <n v="40.17"/>
    <n v="7.66"/>
    <n v="459.45"/>
    <n v="19.059999999999999"/>
    <d v="2026-02-07T00:00:00"/>
    <n v="39.450000000000003"/>
    <x v="3"/>
  </r>
  <r>
    <x v="1306"/>
    <x v="1306"/>
    <x v="2"/>
    <x v="0"/>
    <x v="1306"/>
    <n v="49.47"/>
    <n v="5.72"/>
    <n v="343.315"/>
    <n v="9.43"/>
    <d v="2026-02-07T00:00:00"/>
    <n v="29.98"/>
    <x v="2"/>
  </r>
  <r>
    <x v="1307"/>
    <x v="1307"/>
    <x v="6"/>
    <x v="1"/>
    <x v="1307"/>
    <n v="41.52"/>
    <n v="6.93"/>
    <n v="415.61"/>
    <n v="16.68"/>
    <d v="2026-02-07T00:00:00"/>
    <n v="37.58"/>
    <x v="2"/>
  </r>
  <r>
    <x v="1308"/>
    <x v="1308"/>
    <x v="5"/>
    <x v="0"/>
    <x v="1308"/>
    <n v="51.2"/>
    <n v="5.83"/>
    <n v="349.78"/>
    <n v="11.39"/>
    <d v="2026-02-07T00:00:00"/>
    <n v="30.1"/>
    <x v="2"/>
  </r>
  <r>
    <x v="1309"/>
    <x v="1309"/>
    <x v="3"/>
    <x v="4"/>
    <x v="1309"/>
    <n v="38"/>
    <n v="2.95"/>
    <n v="177.03"/>
    <n v="7.76"/>
    <d v="2026-02-07T00:00:00"/>
    <n v="34.880000000000003"/>
    <x v="2"/>
  </r>
  <r>
    <x v="1310"/>
    <x v="1310"/>
    <x v="2"/>
    <x v="5"/>
    <x v="1310"/>
    <n v="38.340000000000003"/>
    <n v="2.66"/>
    <n v="159.65"/>
    <n v="6.94"/>
    <d v="2026-02-07T00:00:00"/>
    <n v="34.299999999999997"/>
    <x v="3"/>
  </r>
  <r>
    <x v="1311"/>
    <x v="1311"/>
    <x v="0"/>
    <x v="3"/>
    <x v="1311"/>
    <n v="53.19"/>
    <n v="5.72"/>
    <n v="343.315"/>
    <n v="9.7899999999999991"/>
    <d v="2026-02-07T00:00:00"/>
    <n v="28.3"/>
    <x v="3"/>
  </r>
  <r>
    <x v="1312"/>
    <x v="1312"/>
    <x v="5"/>
    <x v="2"/>
    <x v="1312"/>
    <n v="39.700000000000003"/>
    <n v="8.52"/>
    <n v="511.28"/>
    <n v="21.46"/>
    <d v="2026-02-07T00:00:00"/>
    <n v="40.880000000000003"/>
    <x v="2"/>
  </r>
  <r>
    <x v="1313"/>
    <x v="1313"/>
    <x v="5"/>
    <x v="0"/>
    <x v="1313"/>
    <n v="31.5"/>
    <n v="9.64"/>
    <n v="578.19000000000005"/>
    <n v="30.59"/>
    <d v="2026-02-07T00:00:00"/>
    <n v="49.55"/>
    <x v="3"/>
  </r>
  <r>
    <x v="1314"/>
    <x v="1314"/>
    <x v="6"/>
    <x v="4"/>
    <x v="1314"/>
    <n v="58.96"/>
    <n v="3.32"/>
    <n v="199.41"/>
    <n v="5.64"/>
    <d v="2026-02-07T00:00:00"/>
    <n v="23.34"/>
    <x v="2"/>
  </r>
  <r>
    <x v="1315"/>
    <x v="1315"/>
    <x v="3"/>
    <x v="5"/>
    <x v="1315"/>
    <n v="42.48"/>
    <n v="1.82"/>
    <n v="109.45"/>
    <n v="4.29"/>
    <d v="2026-02-07T00:00:00"/>
    <n v="30.91"/>
    <x v="3"/>
  </r>
  <r>
    <x v="1316"/>
    <x v="1316"/>
    <x v="4"/>
    <x v="3"/>
    <x v="1316"/>
    <n v="22.63"/>
    <n v="18.420000000000002"/>
    <n v="1105.25"/>
    <n v="81.400000000000006"/>
    <d v="2026-02-07T00:00:00"/>
    <n v="79.39"/>
    <x v="2"/>
  </r>
  <r>
    <x v="1317"/>
    <x v="1317"/>
    <x v="6"/>
    <x v="1"/>
    <x v="1317"/>
    <n v="58.14"/>
    <n v="5.55"/>
    <n v="332.71"/>
    <n v="9.5399999999999991"/>
    <d v="2026-02-07T00:00:00"/>
    <n v="25.7"/>
    <x v="3"/>
  </r>
  <r>
    <x v="1318"/>
    <x v="1318"/>
    <x v="2"/>
    <x v="1"/>
    <x v="1318"/>
    <n v="38.1"/>
    <n v="6.8"/>
    <n v="408.29"/>
    <n v="17.86"/>
    <d v="2026-02-07T00:00:00"/>
    <n v="39.880000000000003"/>
    <x v="3"/>
  </r>
  <r>
    <x v="1319"/>
    <x v="1319"/>
    <x v="3"/>
    <x v="0"/>
    <x v="1319"/>
    <n v="37.81"/>
    <n v="2.89"/>
    <n v="173.17"/>
    <n v="7.63"/>
    <d v="2026-02-07T00:00:00"/>
    <n v="34.909999999999997"/>
    <x v="3"/>
  </r>
  <r>
    <x v="1320"/>
    <x v="1320"/>
    <x v="2"/>
    <x v="5"/>
    <x v="1320"/>
    <n v="59.03"/>
    <n v="5.72"/>
    <n v="343.315"/>
    <n v="11.01"/>
    <d v="2026-02-07T00:00:00"/>
    <n v="25.99"/>
    <x v="2"/>
  </r>
  <r>
    <x v="1321"/>
    <x v="1321"/>
    <x v="6"/>
    <x v="0"/>
    <x v="1321"/>
    <n v="59.54"/>
    <n v="9.94"/>
    <n v="596.61"/>
    <n v="16.7"/>
    <d v="2026-02-07T00:00:00"/>
    <n v="28.58"/>
    <x v="3"/>
  </r>
  <r>
    <x v="1322"/>
    <x v="1322"/>
    <x v="0"/>
    <x v="4"/>
    <x v="1322"/>
    <n v="46.07"/>
    <n v="6.18"/>
    <n v="370.97"/>
    <n v="13.42"/>
    <d v="2026-02-07T00:00:00"/>
    <n v="33.68"/>
    <x v="3"/>
  </r>
  <r>
    <x v="1323"/>
    <x v="1323"/>
    <x v="4"/>
    <x v="1"/>
    <x v="1323"/>
    <n v="22.53"/>
    <n v="37.090000000000003"/>
    <n v="2225.4"/>
    <n v="164.62"/>
    <d v="2026-02-07T00:00:00"/>
    <n v="121.05"/>
    <x v="2"/>
  </r>
  <r>
    <x v="1324"/>
    <x v="1324"/>
    <x v="2"/>
    <x v="2"/>
    <x v="1324"/>
    <n v="36.57"/>
    <n v="3.34"/>
    <n v="200.29"/>
    <n v="9.1300000000000008"/>
    <d v="2026-02-07T00:00:00"/>
    <n v="36.28"/>
    <x v="3"/>
  </r>
  <r>
    <x v="1325"/>
    <x v="1325"/>
    <x v="6"/>
    <x v="3"/>
    <x v="1325"/>
    <n v="57.23"/>
    <n v="4.54"/>
    <n v="272.14"/>
    <n v="7.93"/>
    <d v="2026-02-07T00:00:00"/>
    <n v="25.35"/>
    <x v="3"/>
  </r>
  <r>
    <x v="1326"/>
    <x v="1326"/>
    <x v="1"/>
    <x v="5"/>
    <x v="1326"/>
    <n v="30.47"/>
    <n v="9.07"/>
    <n v="543.96"/>
    <n v="29.75"/>
    <d v="2026-02-07T00:00:00"/>
    <n v="49.64"/>
    <x v="3"/>
  </r>
  <r>
    <x v="1327"/>
    <x v="1327"/>
    <x v="3"/>
    <x v="1"/>
    <x v="1327"/>
    <n v="45.12"/>
    <n v="1.96"/>
    <n v="117.35"/>
    <n v="4.33"/>
    <d v="2026-02-07T00:00:00"/>
    <n v="29.61"/>
    <x v="3"/>
  </r>
  <r>
    <x v="1328"/>
    <x v="1328"/>
    <x v="2"/>
    <x v="1"/>
    <x v="1328"/>
    <n v="56.07"/>
    <n v="3.06"/>
    <n v="183.58"/>
    <n v="5.46"/>
    <d v="2026-02-07T00:00:00"/>
    <n v="24.7"/>
    <x v="3"/>
  </r>
  <r>
    <x v="1329"/>
    <x v="1329"/>
    <x v="4"/>
    <x v="1"/>
    <x v="1329"/>
    <n v="15.34"/>
    <n v="30.73"/>
    <n v="1843.77"/>
    <n v="200.32"/>
    <d v="2026-02-07T00:00:00"/>
    <n v="142.49"/>
    <x v="2"/>
  </r>
  <r>
    <x v="1330"/>
    <x v="1330"/>
    <x v="3"/>
    <x v="5"/>
    <x v="1330"/>
    <n v="49.24"/>
    <n v="1.44"/>
    <n v="86.12"/>
    <n v="2.91"/>
    <d v="2026-02-07T00:00:00"/>
    <n v="26.84"/>
    <x v="3"/>
  </r>
  <r>
    <x v="1331"/>
    <x v="1331"/>
    <x v="3"/>
    <x v="0"/>
    <x v="1331"/>
    <n v="45.64"/>
    <n v="2.81"/>
    <n v="168.77"/>
    <n v="6.16"/>
    <d v="2026-02-07T00:00:00"/>
    <n v="30.26"/>
    <x v="3"/>
  </r>
  <r>
    <x v="1332"/>
    <x v="1332"/>
    <x v="2"/>
    <x v="0"/>
    <x v="1332"/>
    <n v="50.75"/>
    <n v="5.94"/>
    <n v="356.48"/>
    <n v="11.71"/>
    <d v="2026-02-07T00:00:00"/>
    <n v="30.48"/>
    <x v="3"/>
  </r>
  <r>
    <x v="1333"/>
    <x v="1333"/>
    <x v="5"/>
    <x v="0"/>
    <x v="1333"/>
    <n v="53.44"/>
    <n v="6.91"/>
    <n v="414.72"/>
    <n v="12.93"/>
    <d v="2026-02-07T00:00:00"/>
    <n v="29.75"/>
    <x v="2"/>
  </r>
  <r>
    <x v="1334"/>
    <x v="1334"/>
    <x v="5"/>
    <x v="3"/>
    <x v="1334"/>
    <n v="49.17"/>
    <n v="5.67"/>
    <n v="340.04"/>
    <n v="11.53"/>
    <d v="2026-02-07T00:00:00"/>
    <n v="31.18"/>
    <x v="2"/>
  </r>
  <r>
    <x v="1335"/>
    <x v="1335"/>
    <x v="3"/>
    <x v="2"/>
    <x v="1335"/>
    <n v="47.6"/>
    <n v="1.76"/>
    <n v="105.48"/>
    <n v="3.69"/>
    <d v="2026-02-07T00:00:00"/>
    <n v="28.05"/>
    <x v="3"/>
  </r>
  <r>
    <x v="1336"/>
    <x v="1336"/>
    <x v="3"/>
    <x v="2"/>
    <x v="1336"/>
    <n v="42.81"/>
    <n v="2.56"/>
    <n v="153.51"/>
    <n v="7.28"/>
    <d v="2026-02-07T00:00:00"/>
    <n v="32.24"/>
    <x v="3"/>
  </r>
  <r>
    <x v="1337"/>
    <x v="1337"/>
    <x v="0"/>
    <x v="0"/>
    <x v="1337"/>
    <n v="57.09"/>
    <n v="4.17"/>
    <n v="249.95"/>
    <n v="7.3"/>
    <d v="2026-02-07T00:00:00"/>
    <n v="25.11"/>
    <x v="2"/>
  </r>
  <r>
    <x v="1338"/>
    <x v="1338"/>
    <x v="3"/>
    <x v="4"/>
    <x v="1338"/>
    <n v="49.12"/>
    <n v="2.13"/>
    <n v="127.85"/>
    <n v="4.34"/>
    <d v="2026-02-07T00:00:00"/>
    <n v="27.61"/>
    <x v="2"/>
  </r>
  <r>
    <x v="1339"/>
    <x v="1339"/>
    <x v="0"/>
    <x v="0"/>
    <x v="1339"/>
    <n v="47.91"/>
    <n v="5.68"/>
    <n v="340.91"/>
    <n v="11.86"/>
    <d v="2026-02-07T00:00:00"/>
    <n v="31.98"/>
    <x v="3"/>
  </r>
  <r>
    <x v="1340"/>
    <x v="1340"/>
    <x v="6"/>
    <x v="2"/>
    <x v="1340"/>
    <n v="47.63"/>
    <n v="7.78"/>
    <n v="466.63"/>
    <n v="16.329999999999998"/>
    <d v="2026-02-07T00:00:00"/>
    <n v="34.35"/>
    <x v="2"/>
  </r>
  <r>
    <x v="1341"/>
    <x v="1341"/>
    <x v="5"/>
    <x v="1"/>
    <x v="1341"/>
    <n v="41.03"/>
    <n v="4.2"/>
    <n v="251.71"/>
    <n v="10.220000000000001"/>
    <d v="2026-02-07T00:00:00"/>
    <n v="34.6"/>
    <x v="3"/>
  </r>
  <r>
    <x v="1342"/>
    <x v="1342"/>
    <x v="3"/>
    <x v="5"/>
    <x v="1342"/>
    <n v="46.16"/>
    <n v="5.29"/>
    <n v="317.43"/>
    <n v="11.46"/>
    <d v="2026-02-07T00:00:00"/>
    <n v="32.65"/>
    <x v="3"/>
  </r>
  <r>
    <x v="1343"/>
    <x v="1343"/>
    <x v="5"/>
    <x v="1"/>
    <x v="1343"/>
    <n v="58.6"/>
    <n v="6.64"/>
    <n v="398.63"/>
    <n v="11.34"/>
    <d v="2026-02-07T00:00:00"/>
    <n v="26.37"/>
    <x v="3"/>
  </r>
  <r>
    <x v="1344"/>
    <x v="1344"/>
    <x v="5"/>
    <x v="5"/>
    <x v="1344"/>
    <n v="38.409999999999997"/>
    <n v="7.13"/>
    <n v="427.67"/>
    <n v="18.559999999999999"/>
    <d v="2026-02-07T00:00:00"/>
    <n v="40.08"/>
    <x v="3"/>
  </r>
  <r>
    <x v="1345"/>
    <x v="1345"/>
    <x v="0"/>
    <x v="2"/>
    <x v="1345"/>
    <n v="35.42"/>
    <n v="9.86"/>
    <n v="591.41"/>
    <n v="27.83"/>
    <d v="2026-02-07T00:00:00"/>
    <n v="46.21"/>
    <x v="3"/>
  </r>
  <r>
    <x v="1346"/>
    <x v="1346"/>
    <x v="4"/>
    <x v="3"/>
    <x v="1346"/>
    <n v="28.46"/>
    <n v="32.799999999999997"/>
    <n v="1968.09"/>
    <n v="115.25"/>
    <d v="2026-02-07T00:00:00"/>
    <n v="93.4"/>
    <x v="3"/>
  </r>
  <r>
    <x v="1347"/>
    <x v="1347"/>
    <x v="2"/>
    <x v="4"/>
    <x v="1347"/>
    <n v="36.299999999999997"/>
    <n v="9.43"/>
    <n v="565.92999999999995"/>
    <n v="25.98"/>
    <d v="2026-02-07T00:00:00"/>
    <n v="44.84"/>
    <x v="3"/>
  </r>
  <r>
    <x v="1348"/>
    <x v="1348"/>
    <x v="6"/>
    <x v="4"/>
    <x v="1348"/>
    <n v="33.590000000000003"/>
    <n v="4.6100000000000003"/>
    <n v="276.52"/>
    <n v="13.72"/>
    <d v="2026-02-07T00:00:00"/>
    <n v="40.07"/>
    <x v="3"/>
  </r>
  <r>
    <x v="1349"/>
    <x v="1349"/>
    <x v="3"/>
    <x v="0"/>
    <x v="1349"/>
    <n v="36.93"/>
    <n v="1.93"/>
    <n v="115.99"/>
    <n v="5.23"/>
    <d v="2026-02-07T00:00:00"/>
    <n v="34.15"/>
    <x v="3"/>
  </r>
  <r>
    <x v="1350"/>
    <x v="1350"/>
    <x v="3"/>
    <x v="5"/>
    <x v="1350"/>
    <n v="40.770000000000003"/>
    <n v="2.88"/>
    <n v="172.74"/>
    <n v="7.06"/>
    <d v="2026-02-07T00:00:00"/>
    <n v="33.15"/>
    <x v="2"/>
  </r>
  <r>
    <x v="1351"/>
    <x v="1351"/>
    <x v="3"/>
    <x v="0"/>
    <x v="1351"/>
    <n v="42.99"/>
    <n v="1.1599999999999999"/>
    <n v="69.84"/>
    <n v="2.71"/>
    <d v="2026-02-07T00:00:00"/>
    <n v="29.86"/>
    <x v="3"/>
  </r>
  <r>
    <x v="1352"/>
    <x v="1352"/>
    <x v="0"/>
    <x v="3"/>
    <x v="1352"/>
    <n v="42.81"/>
    <n v="4.66"/>
    <n v="279.3"/>
    <n v="10.87"/>
    <d v="2026-02-07T00:00:00"/>
    <n v="34.03"/>
    <x v="3"/>
  </r>
  <r>
    <x v="1353"/>
    <x v="1353"/>
    <x v="5"/>
    <x v="2"/>
    <x v="1353"/>
    <n v="35.14"/>
    <n v="2.93"/>
    <n v="176.07"/>
    <n v="8.35"/>
    <d v="2026-02-07T00:00:00"/>
    <n v="36.61"/>
    <x v="3"/>
  </r>
  <r>
    <x v="1354"/>
    <x v="1354"/>
    <x v="4"/>
    <x v="1"/>
    <x v="1354"/>
    <n v="17.43"/>
    <n v="17.68"/>
    <n v="1060.97"/>
    <n v="101.45"/>
    <d v="2026-02-07T00:00:00"/>
    <n v="92.01"/>
    <x v="3"/>
  </r>
  <r>
    <x v="1355"/>
    <x v="1355"/>
    <x v="5"/>
    <x v="2"/>
    <x v="1355"/>
    <n v="49.77"/>
    <n v="5.6"/>
    <n v="335.79"/>
    <n v="11.24"/>
    <d v="2026-02-07T00:00:00"/>
    <n v="30.74"/>
    <x v="3"/>
  </r>
  <r>
    <x v="1356"/>
    <x v="1356"/>
    <x v="3"/>
    <x v="3"/>
    <x v="1356"/>
    <n v="35.99"/>
    <n v="2.2000000000000002"/>
    <n v="131.88999999999999"/>
    <n v="6.11"/>
    <d v="2026-02-07T00:00:00"/>
    <n v="35.06"/>
    <x v="3"/>
  </r>
  <r>
    <x v="1357"/>
    <x v="1357"/>
    <x v="3"/>
    <x v="1"/>
    <x v="1357"/>
    <n v="45.86"/>
    <n v="2.2000000000000002"/>
    <n v="132.02000000000001"/>
    <n v="4.8"/>
    <d v="2026-02-07T00:00:00"/>
    <n v="29.47"/>
    <x v="2"/>
  </r>
  <r>
    <x v="1358"/>
    <x v="1358"/>
    <x v="6"/>
    <x v="0"/>
    <x v="1358"/>
    <n v="44.61"/>
    <n v="5.25"/>
    <n v="315.23"/>
    <n v="11.78"/>
    <d v="2026-02-07T00:00:00"/>
    <n v="33.590000000000003"/>
    <x v="3"/>
  </r>
  <r>
    <x v="1359"/>
    <x v="1359"/>
    <x v="0"/>
    <x v="3"/>
    <x v="1359"/>
    <n v="49.91"/>
    <n v="2.3199999999999998"/>
    <n v="139.15"/>
    <n v="4.6500000000000004"/>
    <d v="2026-02-07T00:00:00"/>
    <n v="27.37"/>
    <x v="3"/>
  </r>
  <r>
    <x v="1360"/>
    <x v="1360"/>
    <x v="3"/>
    <x v="2"/>
    <x v="1360"/>
    <n v="56.7"/>
    <n v="2.95"/>
    <n v="177.17"/>
    <n v="5.21"/>
    <d v="2026-02-07T00:00:00"/>
    <n v="24.26"/>
    <x v="3"/>
  </r>
  <r>
    <x v="1361"/>
    <x v="1361"/>
    <x v="6"/>
    <x v="3"/>
    <x v="1361"/>
    <n v="58.86"/>
    <n v="9.73"/>
    <n v="583.6"/>
    <n v="16.53"/>
    <d v="2026-02-07T00:00:00"/>
    <n v="28.84"/>
    <x v="3"/>
  </r>
  <r>
    <x v="1362"/>
    <x v="1362"/>
    <x v="6"/>
    <x v="2"/>
    <x v="1362"/>
    <n v="37.130000000000003"/>
    <n v="3.49"/>
    <n v="209.55"/>
    <n v="9.41"/>
    <d v="2026-02-07T00:00:00"/>
    <n v="36.14"/>
    <x v="3"/>
  </r>
  <r>
    <x v="1363"/>
    <x v="1363"/>
    <x v="0"/>
    <x v="4"/>
    <x v="1363"/>
    <n v="48.76"/>
    <n v="4.8499999999999996"/>
    <n v="291.2"/>
    <n v="9.9499999999999993"/>
    <d v="2026-02-07T00:00:00"/>
    <n v="30.6"/>
    <x v="3"/>
  </r>
  <r>
    <x v="1364"/>
    <x v="1364"/>
    <x v="3"/>
    <x v="4"/>
    <x v="1364"/>
    <n v="43.62"/>
    <n v="1.43"/>
    <n v="85.58"/>
    <n v="3.27"/>
    <d v="2026-02-07T00:00:00"/>
    <n v="29.83"/>
    <x v="2"/>
  </r>
  <r>
    <x v="1365"/>
    <x v="1365"/>
    <x v="2"/>
    <x v="5"/>
    <x v="1365"/>
    <n v="49.45"/>
    <n v="9.1"/>
    <n v="545.83000000000004"/>
    <n v="18.399999999999999"/>
    <d v="2026-02-07T00:00:00"/>
    <n v="34.479999999999997"/>
    <x v="3"/>
  </r>
  <r>
    <x v="1366"/>
    <x v="1366"/>
    <x v="4"/>
    <x v="1"/>
    <x v="1366"/>
    <n v="28.58"/>
    <n v="16.66"/>
    <n v="999.82"/>
    <n v="58.31"/>
    <d v="2026-02-07T00:00:00"/>
    <n v="64.87"/>
    <x v="3"/>
  </r>
  <r>
    <x v="1367"/>
    <x v="1367"/>
    <x v="4"/>
    <x v="0"/>
    <x v="1367"/>
    <n v="27.23"/>
    <n v="17"/>
    <n v="1020.02"/>
    <n v="62.43"/>
    <d v="2026-02-07T00:00:00"/>
    <n v="67.599999999999994"/>
    <x v="3"/>
  </r>
  <r>
    <x v="1368"/>
    <x v="1368"/>
    <x v="6"/>
    <x v="4"/>
    <x v="1368"/>
    <n v="42.81"/>
    <n v="6.24"/>
    <n v="374.32"/>
    <n v="19.36"/>
    <d v="2026-02-07T00:00:00"/>
    <n v="38.28"/>
    <x v="3"/>
  </r>
  <r>
    <x v="1369"/>
    <x v="1369"/>
    <x v="6"/>
    <x v="5"/>
    <x v="1369"/>
    <n v="32.159999999999997"/>
    <n v="3.67"/>
    <n v="220.21"/>
    <n v="11.41"/>
    <d v="2026-02-07T00:00:00"/>
    <n v="39.630000000000003"/>
    <x v="3"/>
  </r>
  <r>
    <x v="1370"/>
    <x v="1370"/>
    <x v="1"/>
    <x v="2"/>
    <x v="1370"/>
    <n v="55.89"/>
    <n v="4.7300000000000004"/>
    <n v="283.54000000000002"/>
    <n v="8.4600000000000009"/>
    <d v="2026-02-07T00:00:00"/>
    <n v="26.29"/>
    <x v="2"/>
  </r>
  <r>
    <x v="1371"/>
    <x v="1371"/>
    <x v="0"/>
    <x v="2"/>
    <x v="1371"/>
    <n v="40.19"/>
    <n v="6.01"/>
    <n v="360.73"/>
    <n v="14.96"/>
    <d v="2026-02-07T00:00:00"/>
    <n v="37.39"/>
    <x v="3"/>
  </r>
  <r>
    <x v="1372"/>
    <x v="1372"/>
    <x v="3"/>
    <x v="4"/>
    <x v="1372"/>
    <n v="48.83"/>
    <n v="1.69"/>
    <n v="101.36"/>
    <n v="3.46"/>
    <d v="2026-02-07T00:00:00"/>
    <n v="27.32"/>
    <x v="3"/>
  </r>
  <r>
    <x v="1373"/>
    <x v="1373"/>
    <x v="6"/>
    <x v="1"/>
    <x v="1373"/>
    <n v="56.06"/>
    <n v="5.04"/>
    <n v="302.2"/>
    <n v="8.98"/>
    <d v="2026-02-07T00:00:00"/>
    <n v="26.46"/>
    <x v="2"/>
  </r>
  <r>
    <x v="1374"/>
    <x v="1374"/>
    <x v="3"/>
    <x v="0"/>
    <x v="1374"/>
    <n v="37.04"/>
    <n v="5.72"/>
    <n v="343.315"/>
    <n v="4.3099999999999996"/>
    <d v="2026-02-07T00:00:00"/>
    <n v="33.64"/>
    <x v="3"/>
  </r>
  <r>
    <x v="1375"/>
    <x v="1375"/>
    <x v="6"/>
    <x v="3"/>
    <x v="1375"/>
    <n v="32"/>
    <n v="2.5099999999999998"/>
    <n v="150.84"/>
    <n v="7.86"/>
    <d v="2026-02-07T00:00:00"/>
    <n v="37.93"/>
    <x v="3"/>
  </r>
  <r>
    <x v="1376"/>
    <x v="1376"/>
    <x v="3"/>
    <x v="2"/>
    <x v="1376"/>
    <n v="49.77"/>
    <n v="1.41"/>
    <n v="84.89"/>
    <n v="2.84"/>
    <d v="2026-02-07T00:00:00"/>
    <n v="26.54"/>
    <x v="3"/>
  </r>
  <r>
    <x v="1377"/>
    <x v="1377"/>
    <x v="6"/>
    <x v="0"/>
    <x v="1377"/>
    <n v="41.34"/>
    <n v="7.87"/>
    <n v="472.27"/>
    <n v="19.04"/>
    <d v="2026-02-07T00:00:00"/>
    <n v="38.85"/>
    <x v="3"/>
  </r>
  <r>
    <x v="1378"/>
    <x v="1378"/>
    <x v="2"/>
    <x v="0"/>
    <x v="1378"/>
    <n v="52.54"/>
    <n v="2.39"/>
    <n v="143.55000000000001"/>
    <n v="4.55"/>
    <d v="2026-02-07T00:00:00"/>
    <n v="26.01"/>
    <x v="3"/>
  </r>
  <r>
    <x v="1379"/>
    <x v="1379"/>
    <x v="1"/>
    <x v="2"/>
    <x v="1379"/>
    <n v="41.38"/>
    <n v="3.25"/>
    <n v="194.8"/>
    <n v="7.85"/>
    <d v="2026-02-07T00:00:00"/>
    <n v="33.24"/>
    <x v="3"/>
  </r>
  <r>
    <x v="1380"/>
    <x v="1380"/>
    <x v="1"/>
    <x v="4"/>
    <x v="1380"/>
    <n v="43.65"/>
    <n v="4.58"/>
    <n v="274.64999999999998"/>
    <n v="10.49"/>
    <d v="2026-02-07T00:00:00"/>
    <n v="33.42"/>
    <x v="3"/>
  </r>
  <r>
    <x v="1381"/>
    <x v="1381"/>
    <x v="4"/>
    <x v="2"/>
    <x v="1381"/>
    <n v="28.77"/>
    <n v="33.35"/>
    <n v="2000.78"/>
    <n v="115.91"/>
    <d v="2026-02-07T00:00:00"/>
    <n v="93.57"/>
    <x v="2"/>
  </r>
  <r>
    <x v="1382"/>
    <x v="1382"/>
    <x v="2"/>
    <x v="2"/>
    <x v="1382"/>
    <n v="42.81"/>
    <n v="8.81"/>
    <n v="528.67999999999995"/>
    <n v="16.2"/>
    <d v="2026-02-07T00:00:00"/>
    <n v="36.700000000000003"/>
    <x v="3"/>
  </r>
  <r>
    <x v="1383"/>
    <x v="1383"/>
    <x v="3"/>
    <x v="4"/>
    <x v="1383"/>
    <n v="40.159999999999997"/>
    <n v="1.33"/>
    <n v="79.92"/>
    <n v="3.32"/>
    <d v="2026-02-07T00:00:00"/>
    <n v="31.58"/>
    <x v="3"/>
  </r>
  <r>
    <x v="1384"/>
    <x v="1384"/>
    <x v="2"/>
    <x v="1"/>
    <x v="1384"/>
    <n v="51.11"/>
    <n v="9.33"/>
    <n v="559.61"/>
    <n v="18.25"/>
    <d v="2026-02-07T00:00:00"/>
    <n v="33.57"/>
    <x v="2"/>
  </r>
  <r>
    <x v="1385"/>
    <x v="1385"/>
    <x v="6"/>
    <x v="1"/>
    <x v="1385"/>
    <n v="40.81"/>
    <n v="5.72"/>
    <n v="343.315"/>
    <n v="11.82"/>
    <d v="2026-02-07T00:00:00"/>
    <n v="35.51"/>
    <x v="2"/>
  </r>
  <r>
    <x v="1386"/>
    <x v="1386"/>
    <x v="2"/>
    <x v="1"/>
    <x v="1386"/>
    <n v="54.2"/>
    <n v="2.0099999999999998"/>
    <n v="120.73"/>
    <n v="3.71"/>
    <d v="2026-02-07T00:00:00"/>
    <n v="24.76"/>
    <x v="2"/>
  </r>
  <r>
    <x v="1387"/>
    <x v="1387"/>
    <x v="3"/>
    <x v="4"/>
    <x v="1387"/>
    <n v="46.82"/>
    <n v="2.2400000000000002"/>
    <n v="134.47999999999999"/>
    <n v="4.79"/>
    <d v="2026-02-07T00:00:00"/>
    <n v="28.99"/>
    <x v="3"/>
  </r>
  <r>
    <x v="1388"/>
    <x v="1388"/>
    <x v="6"/>
    <x v="5"/>
    <x v="1388"/>
    <n v="53.32"/>
    <n v="4.82"/>
    <n v="289.16000000000003"/>
    <n v="9.0399999999999991"/>
    <d v="2026-02-07T00:00:00"/>
    <n v="27.86"/>
    <x v="3"/>
  </r>
  <r>
    <x v="1389"/>
    <x v="1389"/>
    <x v="4"/>
    <x v="3"/>
    <x v="1389"/>
    <n v="23.19"/>
    <n v="16.98"/>
    <n v="1018.51"/>
    <n v="73.2"/>
    <d v="2026-02-07T00:00:00"/>
    <n v="75.010000000000005"/>
    <x v="2"/>
  </r>
  <r>
    <x v="1390"/>
    <x v="1390"/>
    <x v="6"/>
    <x v="1"/>
    <x v="1390"/>
    <n v="46.08"/>
    <n v="9.8699999999999992"/>
    <n v="592.33000000000004"/>
    <n v="21.42"/>
    <d v="2026-02-07T00:00:00"/>
    <n v="37.67"/>
    <x v="3"/>
  </r>
  <r>
    <x v="1391"/>
    <x v="1391"/>
    <x v="1"/>
    <x v="2"/>
    <x v="1391"/>
    <n v="42.81"/>
    <n v="7.48"/>
    <n v="448.57"/>
    <n v="14.03"/>
    <d v="2026-02-07T00:00:00"/>
    <n v="35.61"/>
    <x v="3"/>
  </r>
  <r>
    <x v="1392"/>
    <x v="1392"/>
    <x v="0"/>
    <x v="4"/>
    <x v="1392"/>
    <n v="32.67"/>
    <n v="7.41"/>
    <n v="444.64"/>
    <n v="22.68"/>
    <d v="2026-02-07T00:00:00"/>
    <n v="45.01"/>
    <x v="3"/>
  </r>
  <r>
    <x v="1393"/>
    <x v="1393"/>
    <x v="3"/>
    <x v="0"/>
    <x v="1393"/>
    <n v="44.6"/>
    <n v="2.1800000000000002"/>
    <n v="130.83000000000001"/>
    <n v="4.8899999999999997"/>
    <d v="2026-02-07T00:00:00"/>
    <n v="30.15"/>
    <x v="3"/>
  </r>
  <r>
    <x v="1394"/>
    <x v="1394"/>
    <x v="1"/>
    <x v="5"/>
    <x v="1394"/>
    <n v="31.22"/>
    <n v="2.21"/>
    <n v="132.83000000000001"/>
    <n v="7.09"/>
    <d v="2026-02-07T00:00:00"/>
    <n v="37.94"/>
    <x v="3"/>
  </r>
  <r>
    <x v="1395"/>
    <x v="1395"/>
    <x v="0"/>
    <x v="0"/>
    <x v="1395"/>
    <n v="42.06"/>
    <n v="2.23"/>
    <n v="133.59"/>
    <n v="5.29"/>
    <d v="2026-02-07T00:00:00"/>
    <n v="31.62"/>
    <x v="2"/>
  </r>
  <r>
    <x v="1396"/>
    <x v="1396"/>
    <x v="4"/>
    <x v="2"/>
    <x v="1396"/>
    <n v="18.010000000000002"/>
    <n v="27.61"/>
    <n v="1656.57"/>
    <n v="153.30000000000001"/>
    <d v="2026-02-07T00:00:00"/>
    <n v="117.65"/>
    <x v="3"/>
  </r>
  <r>
    <x v="1397"/>
    <x v="1397"/>
    <x v="6"/>
    <x v="1"/>
    <x v="1397"/>
    <n v="35.49"/>
    <n v="3.45"/>
    <n v="207.27"/>
    <n v="9.73"/>
    <d v="2026-02-07T00:00:00"/>
    <n v="37.119999999999997"/>
    <x v="3"/>
  </r>
  <r>
    <x v="1398"/>
    <x v="1398"/>
    <x v="4"/>
    <x v="2"/>
    <x v="1398"/>
    <n v="20.03"/>
    <n v="14.34"/>
    <n v="860.5"/>
    <n v="71.599999999999994"/>
    <d v="2026-02-07T00:00:00"/>
    <n v="75.790000000000006"/>
    <x v="3"/>
  </r>
  <r>
    <x v="1399"/>
    <x v="1399"/>
    <x v="4"/>
    <x v="2"/>
    <x v="1399"/>
    <n v="26.3"/>
    <n v="37.369999999999997"/>
    <n v="2242.4699999999998"/>
    <n v="142.11000000000001"/>
    <d v="2026-02-07T00:00:00"/>
    <n v="107.91"/>
    <x v="3"/>
  </r>
  <r>
    <x v="1400"/>
    <x v="1400"/>
    <x v="0"/>
    <x v="4"/>
    <x v="1400"/>
    <n v="33.380000000000003"/>
    <n v="9.25"/>
    <n v="554.73"/>
    <n v="27.7"/>
    <d v="2026-02-07T00:00:00"/>
    <n v="47.16"/>
    <x v="3"/>
  </r>
  <r>
    <x v="1401"/>
    <x v="1401"/>
    <x v="3"/>
    <x v="5"/>
    <x v="1401"/>
    <n v="40.98"/>
    <n v="2.17"/>
    <n v="130.06"/>
    <n v="5.29"/>
    <d v="2026-02-07T00:00:00"/>
    <n v="32.159999999999997"/>
    <x v="3"/>
  </r>
  <r>
    <x v="1402"/>
    <x v="1402"/>
    <x v="1"/>
    <x v="0"/>
    <x v="1402"/>
    <n v="39.6"/>
    <n v="2.5"/>
    <n v="150.16999999999999"/>
    <n v="6.32"/>
    <d v="2026-02-07T00:00:00"/>
    <n v="33.36"/>
    <x v="3"/>
  </r>
  <r>
    <x v="1403"/>
    <x v="1403"/>
    <x v="3"/>
    <x v="1"/>
    <x v="1403"/>
    <n v="36.67"/>
    <n v="2.11"/>
    <n v="126.74"/>
    <n v="5.76"/>
    <d v="2026-02-07T00:00:00"/>
    <n v="34.549999999999997"/>
    <x v="3"/>
  </r>
  <r>
    <x v="1404"/>
    <x v="1404"/>
    <x v="5"/>
    <x v="4"/>
    <x v="1404"/>
    <n v="46.97"/>
    <n v="7.71"/>
    <n v="462.39"/>
    <n v="16.41"/>
    <d v="2026-02-07T00:00:00"/>
    <n v="34.72"/>
    <x v="3"/>
  </r>
  <r>
    <x v="1405"/>
    <x v="1405"/>
    <x v="0"/>
    <x v="2"/>
    <x v="1405"/>
    <n v="38.340000000000003"/>
    <n v="3.97"/>
    <n v="237.92"/>
    <n v="10.34"/>
    <d v="2026-02-07T00:00:00"/>
    <n v="36"/>
    <x v="3"/>
  </r>
  <r>
    <x v="1406"/>
    <x v="1406"/>
    <x v="2"/>
    <x v="3"/>
    <x v="1406"/>
    <n v="36.31"/>
    <n v="6.89"/>
    <n v="413.57"/>
    <n v="18.98"/>
    <d v="2026-02-07T00:00:00"/>
    <n v="41.34"/>
    <x v="3"/>
  </r>
  <r>
    <x v="1407"/>
    <x v="1407"/>
    <x v="1"/>
    <x v="3"/>
    <x v="1407"/>
    <n v="59.11"/>
    <n v="5.71"/>
    <n v="342.86"/>
    <n v="9.67"/>
    <d v="2026-02-07T00:00:00"/>
    <n v="25.28"/>
    <x v="3"/>
  </r>
  <r>
    <x v="1408"/>
    <x v="1408"/>
    <x v="3"/>
    <x v="2"/>
    <x v="1408"/>
    <n v="54.1"/>
    <n v="9.26"/>
    <n v="555.77"/>
    <n v="17.12"/>
    <d v="2026-02-07T00:00:00"/>
    <n v="31.51"/>
    <x v="3"/>
  </r>
  <r>
    <x v="1409"/>
    <x v="1409"/>
    <x v="3"/>
    <x v="4"/>
    <x v="1409"/>
    <n v="39.979999999999997"/>
    <n v="1.02"/>
    <n v="61.06"/>
    <n v="2.5499999999999998"/>
    <d v="2026-02-07T00:00:00"/>
    <n v="31.29"/>
    <x v="3"/>
  </r>
  <r>
    <x v="1410"/>
    <x v="1410"/>
    <x v="0"/>
    <x v="0"/>
    <x v="1410"/>
    <n v="37.880000000000003"/>
    <n v="5.73"/>
    <n v="343.81"/>
    <n v="15.13"/>
    <d v="2026-02-07T00:00:00"/>
    <n v="38.630000000000003"/>
    <x v="3"/>
  </r>
  <r>
    <x v="1411"/>
    <x v="1411"/>
    <x v="0"/>
    <x v="4"/>
    <x v="1411"/>
    <n v="52.41"/>
    <n v="4.0999999999999996"/>
    <n v="246.01"/>
    <n v="7.82"/>
    <d v="2026-02-07T00:00:00"/>
    <n v="27.71"/>
    <x v="3"/>
  </r>
  <r>
    <x v="1412"/>
    <x v="1412"/>
    <x v="4"/>
    <x v="0"/>
    <x v="1412"/>
    <n v="21.3"/>
    <n v="15.03"/>
    <n v="901.85"/>
    <n v="70.569999999999993"/>
    <d v="2026-02-07T00:00:00"/>
    <n v="74.64"/>
    <x v="3"/>
  </r>
  <r>
    <x v="1413"/>
    <x v="1413"/>
    <x v="5"/>
    <x v="0"/>
    <x v="1413"/>
    <n v="53.55"/>
    <n v="9.68"/>
    <n v="580.73"/>
    <n v="18.07"/>
    <d v="2026-02-07T00:00:00"/>
    <n v="32.26"/>
    <x v="3"/>
  </r>
  <r>
    <x v="1414"/>
    <x v="1414"/>
    <x v="6"/>
    <x v="1"/>
    <x v="1414"/>
    <n v="40.03"/>
    <n v="8.15"/>
    <n v="488.95"/>
    <n v="20.36"/>
    <d v="2026-02-07T00:00:00"/>
    <n v="40.17"/>
    <x v="3"/>
  </r>
  <r>
    <x v="1415"/>
    <x v="1415"/>
    <x v="2"/>
    <x v="2"/>
    <x v="1415"/>
    <n v="31.53"/>
    <n v="8.61"/>
    <n v="516.87"/>
    <n v="27.32"/>
    <d v="2026-02-07T00:00:00"/>
    <n v="47.9"/>
    <x v="3"/>
  </r>
  <r>
    <x v="1416"/>
    <x v="1416"/>
    <x v="5"/>
    <x v="3"/>
    <x v="1416"/>
    <n v="49.19"/>
    <n v="5.71"/>
    <n v="342.74"/>
    <n v="11.61"/>
    <d v="2026-02-07T00:00:00"/>
    <n v="31.21"/>
    <x v="3"/>
  </r>
  <r>
    <x v="1417"/>
    <x v="1417"/>
    <x v="0"/>
    <x v="3"/>
    <x v="1417"/>
    <n v="33.21"/>
    <n v="9.36"/>
    <n v="561.67999999999995"/>
    <n v="28.19"/>
    <d v="2026-02-07T00:00:00"/>
    <n v="47.49"/>
    <x v="3"/>
  </r>
  <r>
    <x v="1418"/>
    <x v="1418"/>
    <x v="1"/>
    <x v="2"/>
    <x v="1418"/>
    <n v="34.18"/>
    <n v="9.5"/>
    <n v="570.02"/>
    <n v="27.8"/>
    <d v="2026-02-07T00:00:00"/>
    <n v="46.81"/>
    <x v="2"/>
  </r>
  <r>
    <x v="1419"/>
    <x v="1419"/>
    <x v="0"/>
    <x v="1"/>
    <x v="1419"/>
    <n v="42.81"/>
    <n v="4.87"/>
    <n v="292.29000000000002"/>
    <n v="12.57"/>
    <d v="2026-02-07T00:00:00"/>
    <n v="34.880000000000003"/>
    <x v="3"/>
  </r>
  <r>
    <x v="1420"/>
    <x v="1420"/>
    <x v="5"/>
    <x v="5"/>
    <x v="1420"/>
    <n v="57.54"/>
    <n v="8.2899999999999991"/>
    <n v="497.63"/>
    <n v="14.41"/>
    <d v="2026-02-07T00:00:00"/>
    <n v="28.44"/>
    <x v="2"/>
  </r>
  <r>
    <x v="1421"/>
    <x v="1421"/>
    <x v="1"/>
    <x v="4"/>
    <x v="1421"/>
    <n v="45.19"/>
    <n v="2.35"/>
    <n v="141.07"/>
    <n v="5.2"/>
    <d v="2026-02-07T00:00:00"/>
    <n v="30.01"/>
    <x v="3"/>
  </r>
  <r>
    <x v="1422"/>
    <x v="1422"/>
    <x v="3"/>
    <x v="3"/>
    <x v="1422"/>
    <n v="38.799999999999997"/>
    <n v="2.35"/>
    <n v="141.07"/>
    <n v="6.06"/>
    <d v="2026-02-07T00:00:00"/>
    <n v="33.630000000000003"/>
    <x v="2"/>
  </r>
  <r>
    <x v="1423"/>
    <x v="1423"/>
    <x v="1"/>
    <x v="5"/>
    <x v="1423"/>
    <n v="42.85"/>
    <n v="4.6399999999999997"/>
    <n v="278.43"/>
    <n v="10.83"/>
    <d v="2026-02-07T00:00:00"/>
    <n v="33.99"/>
    <x v="3"/>
  </r>
  <r>
    <x v="1424"/>
    <x v="1424"/>
    <x v="3"/>
    <x v="2"/>
    <x v="1424"/>
    <n v="39.1"/>
    <n v="1.57"/>
    <n v="94.26"/>
    <n v="4.0199999999999996"/>
    <d v="2026-02-07T00:00:00"/>
    <n v="32.46"/>
    <x v="3"/>
  </r>
  <r>
    <x v="1425"/>
    <x v="1425"/>
    <x v="1"/>
    <x v="1"/>
    <x v="1425"/>
    <n v="38.340000000000003"/>
    <n v="7.84"/>
    <n v="470.57"/>
    <n v="20.46"/>
    <d v="2026-02-07T00:00:00"/>
    <n v="41.06"/>
    <x v="3"/>
  </r>
  <r>
    <x v="1426"/>
    <x v="1426"/>
    <x v="0"/>
    <x v="5"/>
    <x v="1426"/>
    <n v="44.86"/>
    <n v="9.89"/>
    <n v="593.55999999999995"/>
    <n v="22.05"/>
    <d v="2026-02-07T00:00:00"/>
    <n v="38.6"/>
    <x v="3"/>
  </r>
  <r>
    <x v="1427"/>
    <x v="1427"/>
    <x v="2"/>
    <x v="2"/>
    <x v="1427"/>
    <n v="31.6"/>
    <n v="5.73"/>
    <n v="343.89"/>
    <n v="18.14"/>
    <d v="2026-02-07T00:00:00"/>
    <n v="43.27"/>
    <x v="3"/>
  </r>
  <r>
    <x v="1428"/>
    <x v="1428"/>
    <x v="4"/>
    <x v="4"/>
    <x v="1428"/>
    <n v="15.13"/>
    <n v="38.22"/>
    <n v="2293.31"/>
    <n v="252.62"/>
    <d v="2026-02-07T00:00:00"/>
    <n v="168.75"/>
    <x v="3"/>
  </r>
  <r>
    <x v="1429"/>
    <x v="1429"/>
    <x v="0"/>
    <x v="4"/>
    <x v="1429"/>
    <n v="53.22"/>
    <n v="2.15"/>
    <n v="129.29"/>
    <n v="4.05"/>
    <d v="2026-02-07T00:00:00"/>
    <n v="25.42"/>
    <x v="3"/>
  </r>
  <r>
    <x v="1430"/>
    <x v="1430"/>
    <x v="3"/>
    <x v="2"/>
    <x v="1430"/>
    <n v="44.01"/>
    <n v="2.27"/>
    <n v="136.13999999999999"/>
    <n v="5.16"/>
    <d v="2026-02-07T00:00:00"/>
    <n v="30.58"/>
    <x v="3"/>
  </r>
  <r>
    <x v="1431"/>
    <x v="1431"/>
    <x v="4"/>
    <x v="1"/>
    <x v="1431"/>
    <n v="15.88"/>
    <n v="12.33"/>
    <n v="739.59"/>
    <n v="77.62"/>
    <d v="2026-02-07T00:00:00"/>
    <n v="80.87"/>
    <x v="2"/>
  </r>
  <r>
    <x v="1432"/>
    <x v="1432"/>
    <x v="4"/>
    <x v="1"/>
    <x v="1432"/>
    <n v="42.81"/>
    <n v="18.34"/>
    <n v="1100.3"/>
    <n v="64.87"/>
    <d v="2026-02-07T00:00:00"/>
    <n v="61.03"/>
    <x v="3"/>
  </r>
  <r>
    <x v="1433"/>
    <x v="1433"/>
    <x v="0"/>
    <x v="3"/>
    <x v="1433"/>
    <n v="48.67"/>
    <n v="6.25"/>
    <n v="374.72"/>
    <n v="12.83"/>
    <d v="2026-02-07T00:00:00"/>
    <n v="32.08"/>
    <x v="3"/>
  </r>
  <r>
    <x v="1434"/>
    <x v="1434"/>
    <x v="3"/>
    <x v="2"/>
    <x v="1434"/>
    <n v="45.52"/>
    <n v="3.61"/>
    <n v="216.46"/>
    <n v="7.93"/>
    <d v="2026-02-07T00:00:00"/>
    <n v="31.21"/>
    <x v="3"/>
  </r>
  <r>
    <x v="1435"/>
    <x v="1435"/>
    <x v="3"/>
    <x v="4"/>
    <x v="1435"/>
    <n v="36.799999999999997"/>
    <n v="2.77"/>
    <n v="165.94"/>
    <n v="7.52"/>
    <d v="2026-02-07T00:00:00"/>
    <n v="35.36"/>
    <x v="3"/>
  </r>
  <r>
    <x v="1436"/>
    <x v="1436"/>
    <x v="2"/>
    <x v="1"/>
    <x v="1436"/>
    <n v="39.51"/>
    <n v="5.72"/>
    <n v="343.315"/>
    <n v="14.22"/>
    <d v="2026-02-07T00:00:00"/>
    <n v="37.36"/>
    <x v="3"/>
  </r>
  <r>
    <x v="1437"/>
    <x v="1437"/>
    <x v="5"/>
    <x v="1"/>
    <x v="1437"/>
    <n v="38.46"/>
    <n v="2.57"/>
    <n v="154.29"/>
    <n v="6.69"/>
    <d v="2026-02-07T00:00:00"/>
    <n v="34.119999999999997"/>
    <x v="3"/>
  </r>
  <r>
    <x v="1438"/>
    <x v="1438"/>
    <x v="3"/>
    <x v="2"/>
    <x v="1438"/>
    <n v="46.23"/>
    <n v="2.0499999999999998"/>
    <n v="122.73"/>
    <n v="4.42"/>
    <d v="2026-02-07T00:00:00"/>
    <n v="29.1"/>
    <x v="2"/>
  </r>
  <r>
    <x v="1439"/>
    <x v="1439"/>
    <x v="6"/>
    <x v="4"/>
    <x v="1439"/>
    <n v="56.42"/>
    <n v="4.0199999999999996"/>
    <n v="241.05"/>
    <n v="7.12"/>
    <d v="2026-02-07T00:00:00"/>
    <n v="25.35"/>
    <x v="3"/>
  </r>
  <r>
    <x v="1440"/>
    <x v="1440"/>
    <x v="1"/>
    <x v="0"/>
    <x v="1440"/>
    <n v="49.39"/>
    <n v="5.28"/>
    <n v="316.97000000000003"/>
    <n v="10.7"/>
    <d v="2026-02-07T00:00:00"/>
    <n v="30.66"/>
    <x v="2"/>
  </r>
  <r>
    <x v="1441"/>
    <x v="1441"/>
    <x v="6"/>
    <x v="0"/>
    <x v="1441"/>
    <n v="33.83"/>
    <n v="3.56"/>
    <n v="213.43"/>
    <n v="10.51"/>
    <d v="2026-02-07T00:00:00"/>
    <n v="38.340000000000003"/>
    <x v="3"/>
  </r>
  <r>
    <x v="1442"/>
    <x v="1442"/>
    <x v="2"/>
    <x v="0"/>
    <x v="1442"/>
    <n v="39.76"/>
    <n v="3.55"/>
    <n v="213.17"/>
    <n v="8.94"/>
    <d v="2026-02-07T00:00:00"/>
    <n v="34.590000000000003"/>
    <x v="3"/>
  </r>
  <r>
    <x v="1443"/>
    <x v="1443"/>
    <x v="6"/>
    <x v="1"/>
    <x v="1443"/>
    <n v="31.68"/>
    <n v="7.48"/>
    <n v="448.76"/>
    <n v="23.61"/>
    <d v="2026-02-07T00:00:00"/>
    <n v="45.97"/>
    <x v="3"/>
  </r>
  <r>
    <x v="1444"/>
    <x v="1444"/>
    <x v="5"/>
    <x v="5"/>
    <x v="1444"/>
    <n v="39.6"/>
    <n v="9.23"/>
    <n v="553.84"/>
    <n v="23.31"/>
    <d v="2026-02-07T00:00:00"/>
    <n v="41.86"/>
    <x v="3"/>
  </r>
  <r>
    <x v="1445"/>
    <x v="1445"/>
    <x v="6"/>
    <x v="1"/>
    <x v="1445"/>
    <n v="56.36"/>
    <n v="5.94"/>
    <n v="356.35"/>
    <n v="10.54"/>
    <d v="2026-02-07T00:00:00"/>
    <n v="27.09"/>
    <x v="3"/>
  </r>
  <r>
    <x v="1446"/>
    <x v="1446"/>
    <x v="1"/>
    <x v="4"/>
    <x v="1446"/>
    <n v="58.7"/>
    <n v="5.96"/>
    <n v="357.81"/>
    <n v="10.16"/>
    <d v="2026-02-07T00:00:00"/>
    <n v="25.73"/>
    <x v="3"/>
  </r>
  <r>
    <x v="1447"/>
    <x v="1447"/>
    <x v="5"/>
    <x v="4"/>
    <x v="1447"/>
    <n v="52.83"/>
    <n v="8.8800000000000008"/>
    <n v="532.52"/>
    <n v="16.8"/>
    <d v="2026-02-07T00:00:00"/>
    <n v="31.99"/>
    <x v="3"/>
  </r>
  <r>
    <x v="1448"/>
    <x v="1448"/>
    <x v="2"/>
    <x v="1"/>
    <x v="1448"/>
    <n v="41.44"/>
    <n v="2.23"/>
    <n v="133.96"/>
    <n v="5.39"/>
    <d v="2026-02-07T00:00:00"/>
    <n v="31.98"/>
    <x v="3"/>
  </r>
  <r>
    <x v="1449"/>
    <x v="1449"/>
    <x v="4"/>
    <x v="5"/>
    <x v="1449"/>
    <n v="24.69"/>
    <n v="20.7"/>
    <n v="1242.22"/>
    <n v="83.85"/>
    <d v="2026-02-07T00:00:00"/>
    <n v="79.58"/>
    <x v="3"/>
  </r>
  <r>
    <x v="1450"/>
    <x v="1450"/>
    <x v="5"/>
    <x v="2"/>
    <x v="1450"/>
    <n v="30.08"/>
    <n v="7.74"/>
    <n v="464.54"/>
    <n v="25.74"/>
    <d v="2026-02-07T00:00:00"/>
    <n v="47.83"/>
    <x v="3"/>
  </r>
  <r>
    <x v="1451"/>
    <x v="1451"/>
    <x v="1"/>
    <x v="5"/>
    <x v="1451"/>
    <n v="33.15"/>
    <n v="6.14"/>
    <n v="368.43"/>
    <n v="18.52"/>
    <d v="2026-02-07T00:00:00"/>
    <n v="42.69"/>
    <x v="3"/>
  </r>
  <r>
    <x v="1452"/>
    <x v="1452"/>
    <x v="6"/>
    <x v="3"/>
    <x v="1452"/>
    <n v="42.81"/>
    <n v="2.59"/>
    <n v="155.63999999999999"/>
    <n v="6.51"/>
    <d v="2026-02-07T00:00:00"/>
    <n v="31.85"/>
    <x v="3"/>
  </r>
  <r>
    <x v="1453"/>
    <x v="1453"/>
    <x v="4"/>
    <x v="5"/>
    <x v="1453"/>
    <n v="15.03"/>
    <n v="23.53"/>
    <n v="1411.51"/>
    <n v="156.52000000000001"/>
    <d v="2026-02-07T00:00:00"/>
    <n v="120.75"/>
    <x v="3"/>
  </r>
  <r>
    <x v="1454"/>
    <x v="1454"/>
    <x v="4"/>
    <x v="3"/>
    <x v="1454"/>
    <n v="29.39"/>
    <n v="29.43"/>
    <n v="1765.89"/>
    <n v="100.14"/>
    <d v="2026-02-07T00:00:00"/>
    <n v="85.38"/>
    <x v="3"/>
  </r>
  <r>
    <x v="1455"/>
    <x v="1455"/>
    <x v="3"/>
    <x v="0"/>
    <x v="1455"/>
    <n v="46.01"/>
    <n v="2.56"/>
    <n v="153.77000000000001"/>
    <n v="5.57"/>
    <d v="2026-02-07T00:00:00"/>
    <n v="29.78"/>
    <x v="2"/>
  </r>
  <r>
    <x v="1456"/>
    <x v="1456"/>
    <x v="2"/>
    <x v="5"/>
    <x v="1456"/>
    <n v="31.69"/>
    <n v="8.02"/>
    <n v="481.01"/>
    <n v="25.3"/>
    <d v="2026-02-07T00:00:00"/>
    <n v="46.81"/>
    <x v="3"/>
  </r>
  <r>
    <x v="1457"/>
    <x v="1457"/>
    <x v="1"/>
    <x v="2"/>
    <x v="1457"/>
    <n v="59.23"/>
    <n v="3.78"/>
    <n v="226.84"/>
    <n v="6.38"/>
    <d v="2026-02-07T00:00:00"/>
    <n v="23.58"/>
    <x v="3"/>
  </r>
  <r>
    <x v="1458"/>
    <x v="1458"/>
    <x v="6"/>
    <x v="4"/>
    <x v="1458"/>
    <n v="50.66"/>
    <n v="8.7100000000000009"/>
    <n v="522.74"/>
    <n v="17.2"/>
    <d v="2026-02-07T00:00:00"/>
    <n v="33.270000000000003"/>
    <x v="2"/>
  </r>
  <r>
    <x v="1459"/>
    <x v="1459"/>
    <x v="6"/>
    <x v="4"/>
    <x v="1459"/>
    <n v="51.26"/>
    <n v="4.8899999999999997"/>
    <n v="293.17"/>
    <n v="9.5299999999999994"/>
    <d v="2026-02-07T00:00:00"/>
    <n v="29.14"/>
    <x v="3"/>
  </r>
  <r>
    <x v="1460"/>
    <x v="1460"/>
    <x v="3"/>
    <x v="4"/>
    <x v="1460"/>
    <n v="48.24"/>
    <n v="1.48"/>
    <n v="88.61"/>
    <n v="3.06"/>
    <d v="2026-02-07T00:00:00"/>
    <n v="27.41"/>
    <x v="3"/>
  </r>
  <r>
    <x v="1461"/>
    <x v="1461"/>
    <x v="3"/>
    <x v="0"/>
    <x v="1461"/>
    <n v="38.93"/>
    <n v="2.2799999999999998"/>
    <n v="136.76"/>
    <n v="5.85"/>
    <d v="2026-02-07T00:00:00"/>
    <n v="33.46"/>
    <x v="3"/>
  </r>
  <r>
    <x v="1462"/>
    <x v="1462"/>
    <x v="3"/>
    <x v="4"/>
    <x v="1462"/>
    <n v="44.52"/>
    <n v="1.03"/>
    <n v="61.72"/>
    <n v="2.31"/>
    <d v="2026-02-07T00:00:00"/>
    <n v="28.9"/>
    <x v="3"/>
  </r>
  <r>
    <x v="1463"/>
    <x v="1463"/>
    <x v="4"/>
    <x v="3"/>
    <x v="1463"/>
    <n v="26.4"/>
    <n v="20.39"/>
    <n v="1223.28"/>
    <n v="77.23"/>
    <d v="2026-02-07T00:00:00"/>
    <n v="75.42"/>
    <x v="3"/>
  </r>
  <r>
    <x v="1464"/>
    <x v="1464"/>
    <x v="2"/>
    <x v="0"/>
    <x v="1464"/>
    <n v="40.729999999999997"/>
    <n v="8.9"/>
    <n v="533.91999999999996"/>
    <n v="21.85"/>
    <d v="2026-02-07T00:00:00"/>
    <n v="40.56"/>
    <x v="3"/>
  </r>
  <r>
    <x v="1465"/>
    <x v="1465"/>
    <x v="4"/>
    <x v="4"/>
    <x v="1465"/>
    <n v="19.91"/>
    <n v="14.29"/>
    <n v="857.41"/>
    <n v="71.77"/>
    <d v="2026-02-07T00:00:00"/>
    <n v="75.930000000000007"/>
    <x v="3"/>
  </r>
  <r>
    <x v="1466"/>
    <x v="1466"/>
    <x v="1"/>
    <x v="1"/>
    <x v="1466"/>
    <n v="43.77"/>
    <n v="8.6"/>
    <n v="516.19000000000005"/>
    <n v="19.66"/>
    <d v="2026-02-07T00:00:00"/>
    <n v="37.950000000000003"/>
    <x v="3"/>
  </r>
  <r>
    <x v="1467"/>
    <x v="1467"/>
    <x v="2"/>
    <x v="0"/>
    <x v="1467"/>
    <n v="41.63"/>
    <n v="9.41"/>
    <n v="564.79"/>
    <n v="22.61"/>
    <d v="2026-02-07T00:00:00"/>
    <n v="40.49"/>
    <x v="3"/>
  </r>
  <r>
    <x v="1468"/>
    <x v="1468"/>
    <x v="4"/>
    <x v="1"/>
    <x v="1468"/>
    <n v="22.83"/>
    <n v="19.16"/>
    <n v="1149.42"/>
    <n v="83.91"/>
    <d v="2026-02-07T00:00:00"/>
    <n v="80.540000000000006"/>
    <x v="3"/>
  </r>
  <r>
    <x v="1469"/>
    <x v="1469"/>
    <x v="6"/>
    <x v="5"/>
    <x v="1469"/>
    <n v="39.94"/>
    <n v="9.57"/>
    <n v="574.04999999999995"/>
    <n v="23.95"/>
    <d v="2026-02-07T00:00:00"/>
    <n v="42.01"/>
    <x v="2"/>
  </r>
  <r>
    <x v="1470"/>
    <x v="1470"/>
    <x v="2"/>
    <x v="0"/>
    <x v="1470"/>
    <n v="42.81"/>
    <n v="4.08"/>
    <n v="244.93"/>
    <n v="8.0299999999999994"/>
    <d v="2026-02-07T00:00:00"/>
    <n v="32.61"/>
    <x v="3"/>
  </r>
  <r>
    <x v="1471"/>
    <x v="1471"/>
    <x v="5"/>
    <x v="4"/>
    <x v="1471"/>
    <n v="33.17"/>
    <n v="5.72"/>
    <n v="343.315"/>
    <n v="21.06"/>
    <d v="2026-02-07T00:00:00"/>
    <n v="43.95"/>
    <x v="3"/>
  </r>
  <r>
    <x v="1472"/>
    <x v="1472"/>
    <x v="4"/>
    <x v="5"/>
    <x v="1472"/>
    <n v="16.850000000000001"/>
    <n v="31.2"/>
    <n v="1871.85"/>
    <n v="185.15"/>
    <d v="2026-02-07T00:00:00"/>
    <n v="134.15"/>
    <x v="3"/>
  </r>
  <r>
    <x v="1473"/>
    <x v="1473"/>
    <x v="3"/>
    <x v="5"/>
    <x v="1473"/>
    <n v="46.12"/>
    <n v="1.64"/>
    <n v="98.64"/>
    <n v="3.56"/>
    <d v="2026-02-07T00:00:00"/>
    <n v="28.72"/>
    <x v="3"/>
  </r>
  <r>
    <x v="1474"/>
    <x v="1474"/>
    <x v="0"/>
    <x v="4"/>
    <x v="1474"/>
    <n v="35.450000000000003"/>
    <n v="4.63"/>
    <n v="277.64"/>
    <n v="13.05"/>
    <d v="2026-02-07T00:00:00"/>
    <n v="38.799999999999997"/>
    <x v="3"/>
  </r>
  <r>
    <x v="1475"/>
    <x v="1475"/>
    <x v="3"/>
    <x v="3"/>
    <x v="1475"/>
    <n v="42.89"/>
    <n v="2.88"/>
    <n v="172.79"/>
    <n v="6.71"/>
    <d v="2026-02-07T00:00:00"/>
    <n v="31.91"/>
    <x v="3"/>
  </r>
  <r>
    <x v="1476"/>
    <x v="1476"/>
    <x v="1"/>
    <x v="3"/>
    <x v="1476"/>
    <n v="55.15"/>
    <n v="7.3"/>
    <n v="438.17"/>
    <n v="13.24"/>
    <d v="2026-02-07T00:00:00"/>
    <n v="29.05"/>
    <x v="3"/>
  </r>
  <r>
    <x v="1477"/>
    <x v="1477"/>
    <x v="0"/>
    <x v="0"/>
    <x v="1477"/>
    <n v="56.58"/>
    <n v="5.72"/>
    <n v="343.315"/>
    <n v="9.4"/>
    <d v="2026-02-07T00:00:00"/>
    <n v="26.41"/>
    <x v="3"/>
  </r>
  <r>
    <x v="1478"/>
    <x v="1478"/>
    <x v="2"/>
    <x v="5"/>
    <x v="1478"/>
    <n v="33.81"/>
    <n v="2.4900000000000002"/>
    <n v="149.44"/>
    <n v="7.37"/>
    <d v="2026-02-07T00:00:00"/>
    <n v="36.78"/>
    <x v="3"/>
  </r>
  <r>
    <x v="1479"/>
    <x v="1479"/>
    <x v="0"/>
    <x v="1"/>
    <x v="1479"/>
    <n v="49.34"/>
    <n v="6.6"/>
    <n v="396.29"/>
    <n v="13.39"/>
    <d v="2026-02-07T00:00:00"/>
    <n v="32.03"/>
    <x v="3"/>
  </r>
  <r>
    <x v="1480"/>
    <x v="1480"/>
    <x v="0"/>
    <x v="5"/>
    <x v="1480"/>
    <n v="46.86"/>
    <n v="3.11"/>
    <n v="186.89"/>
    <n v="6.65"/>
    <d v="2026-02-07T00:00:00"/>
    <n v="29.9"/>
    <x v="3"/>
  </r>
  <r>
    <x v="1481"/>
    <x v="1481"/>
    <x v="1"/>
    <x v="1"/>
    <x v="1481"/>
    <n v="30.88"/>
    <n v="6.53"/>
    <n v="391.88"/>
    <n v="21.15"/>
    <d v="2026-02-07T00:00:00"/>
    <n v="45.14"/>
    <x v="3"/>
  </r>
  <r>
    <x v="1482"/>
    <x v="1482"/>
    <x v="2"/>
    <x v="5"/>
    <x v="1482"/>
    <n v="37.76"/>
    <n v="5.14"/>
    <n v="308.2"/>
    <n v="13.6"/>
    <d v="2026-02-07T00:00:00"/>
    <n v="37.92"/>
    <x v="3"/>
  </r>
  <r>
    <x v="1483"/>
    <x v="1483"/>
    <x v="2"/>
    <x v="5"/>
    <x v="1483"/>
    <n v="30.29"/>
    <n v="6.78"/>
    <n v="406.52"/>
    <n v="22.37"/>
    <d v="2026-02-07T00:00:00"/>
    <n v="46.04"/>
    <x v="3"/>
  </r>
  <r>
    <x v="1484"/>
    <x v="1484"/>
    <x v="3"/>
    <x v="0"/>
    <x v="1484"/>
    <n v="43.08"/>
    <n v="2.76"/>
    <n v="165.38"/>
    <n v="6.4"/>
    <d v="2026-02-07T00:00:00"/>
    <n v="31.66"/>
    <x v="3"/>
  </r>
  <r>
    <x v="1485"/>
    <x v="1485"/>
    <x v="0"/>
    <x v="0"/>
    <x v="1485"/>
    <n v="43.01"/>
    <n v="9.3800000000000008"/>
    <n v="562.95000000000005"/>
    <n v="21.81"/>
    <d v="2026-02-07T00:00:00"/>
    <n v="39.4"/>
    <x v="2"/>
  </r>
  <r>
    <x v="1486"/>
    <x v="1486"/>
    <x v="6"/>
    <x v="1"/>
    <x v="1486"/>
    <n v="55.14"/>
    <n v="4.33"/>
    <n v="260.08999999999997"/>
    <n v="7.86"/>
    <d v="2026-02-07T00:00:00"/>
    <n v="26.36"/>
    <x v="3"/>
  </r>
  <r>
    <x v="1487"/>
    <x v="1487"/>
    <x v="0"/>
    <x v="3"/>
    <x v="1487"/>
    <n v="42.58"/>
    <n v="8.15"/>
    <n v="488.99"/>
    <n v="19.14"/>
    <d v="2026-02-07T00:00:00"/>
    <n v="38.28"/>
    <x v="2"/>
  </r>
  <r>
    <x v="1488"/>
    <x v="1488"/>
    <x v="0"/>
    <x v="2"/>
    <x v="1488"/>
    <n v="39.4"/>
    <n v="4.74"/>
    <n v="284.11"/>
    <n v="12.02"/>
    <d v="2026-02-07T00:00:00"/>
    <n v="36.31"/>
    <x v="3"/>
  </r>
  <r>
    <x v="1489"/>
    <x v="1489"/>
    <x v="0"/>
    <x v="1"/>
    <x v="1489"/>
    <n v="52.98"/>
    <n v="9.07"/>
    <n v="543.91"/>
    <n v="17.11"/>
    <d v="2026-02-07T00:00:00"/>
    <n v="32.07"/>
    <x v="2"/>
  </r>
  <r>
    <x v="1490"/>
    <x v="1490"/>
    <x v="0"/>
    <x v="3"/>
    <x v="1490"/>
    <n v="57.91"/>
    <n v="5.72"/>
    <n v="343.315"/>
    <n v="3.76"/>
    <d v="2026-02-07T00:00:00"/>
    <n v="22.93"/>
    <x v="3"/>
  </r>
  <r>
    <x v="1491"/>
    <x v="1491"/>
    <x v="1"/>
    <x v="4"/>
    <x v="1491"/>
    <n v="42.81"/>
    <n v="3.18"/>
    <n v="190.68"/>
    <n v="9.9"/>
    <d v="2026-02-07T00:00:00"/>
    <n v="33.549999999999997"/>
    <x v="3"/>
  </r>
  <r>
    <x v="1492"/>
    <x v="1492"/>
    <x v="2"/>
    <x v="1"/>
    <x v="1492"/>
    <n v="41.54"/>
    <n v="2.76"/>
    <n v="165.76"/>
    <n v="6.65"/>
    <d v="2026-02-07T00:00:00"/>
    <n v="32.56"/>
    <x v="3"/>
  </r>
  <r>
    <x v="1493"/>
    <x v="1493"/>
    <x v="3"/>
    <x v="5"/>
    <x v="1493"/>
    <n v="18.48"/>
    <n v="31.42"/>
    <n v="1885.39"/>
    <n v="170.04"/>
    <d v="2026-02-07T00:00:00"/>
    <n v="125.78"/>
    <x v="3"/>
  </r>
  <r>
    <x v="1494"/>
    <x v="1494"/>
    <x v="1"/>
    <x v="3"/>
    <x v="1494"/>
    <n v="37.01"/>
    <n v="7.15"/>
    <n v="429.23"/>
    <n v="19.329999999999998"/>
    <d v="2026-02-07T00:00:00"/>
    <n v="41.16"/>
    <x v="2"/>
  </r>
  <r>
    <x v="1495"/>
    <x v="1495"/>
    <x v="5"/>
    <x v="3"/>
    <x v="1495"/>
    <n v="38.630000000000003"/>
    <n v="7.88"/>
    <n v="472.98"/>
    <n v="20.41"/>
    <d v="2026-02-07T00:00:00"/>
    <n v="40.89"/>
    <x v="3"/>
  </r>
  <r>
    <x v="1496"/>
    <x v="1496"/>
    <x v="1"/>
    <x v="2"/>
    <x v="1496"/>
    <n v="36.770000000000003"/>
    <n v="5.89"/>
    <n v="353.43"/>
    <n v="16.02"/>
    <d v="2026-02-07T00:00:00"/>
    <n v="39.630000000000003"/>
    <x v="3"/>
  </r>
  <r>
    <x v="1497"/>
    <x v="1497"/>
    <x v="0"/>
    <x v="3"/>
    <x v="1497"/>
    <n v="35.72"/>
    <n v="2.37"/>
    <n v="142.36000000000001"/>
    <n v="6.64"/>
    <d v="2026-02-07T00:00:00"/>
    <n v="35.46"/>
    <x v="3"/>
  </r>
  <r>
    <x v="1498"/>
    <x v="1498"/>
    <x v="6"/>
    <x v="0"/>
    <x v="1498"/>
    <n v="36.68"/>
    <n v="9.27"/>
    <n v="556.25"/>
    <n v="25.27"/>
    <d v="2026-02-07T00:00:00"/>
    <n v="44.3"/>
    <x v="3"/>
  </r>
  <r>
    <x v="1499"/>
    <x v="1499"/>
    <x v="6"/>
    <x v="2"/>
    <x v="1499"/>
    <n v="37.82"/>
    <n v="5.91"/>
    <n v="354.48"/>
    <n v="15.62"/>
    <d v="2026-02-07T00:00:00"/>
    <n v="38.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99AFD8-DEA7-4989-9C51-550A1386D1D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M59:N70" firstHeaderRow="1" firstDataRow="1" firstDataCol="1"/>
  <pivotFields count="12">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axis="axisRow" showAll="0" measureFilter="1">
      <items count="1501">
        <item x="144"/>
        <item x="420"/>
        <item x="1356"/>
        <item x="1014"/>
        <item x="986"/>
        <item x="1408"/>
        <item x="659"/>
        <item x="1387"/>
        <item x="547"/>
        <item x="492"/>
        <item x="738"/>
        <item x="707"/>
        <item x="582"/>
        <item x="500"/>
        <item x="1412"/>
        <item x="157"/>
        <item x="297"/>
        <item x="989"/>
        <item x="1481"/>
        <item x="104"/>
        <item x="41"/>
        <item x="1035"/>
        <item x="1181"/>
        <item x="584"/>
        <item x="1095"/>
        <item x="813"/>
        <item x="599"/>
        <item x="1207"/>
        <item x="1367"/>
        <item x="1250"/>
        <item x="1146"/>
        <item x="1206"/>
        <item x="833"/>
        <item x="963"/>
        <item x="446"/>
        <item x="729"/>
        <item x="905"/>
        <item x="807"/>
        <item x="1260"/>
        <item x="1451"/>
        <item x="178"/>
        <item x="67"/>
        <item x="171"/>
        <item x="417"/>
        <item x="718"/>
        <item x="566"/>
        <item x="324"/>
        <item x="372"/>
        <item x="226"/>
        <item x="201"/>
        <item x="1076"/>
        <item x="722"/>
        <item x="809"/>
        <item x="380"/>
        <item x="1136"/>
        <item x="643"/>
        <item x="835"/>
        <item x="973"/>
        <item x="945"/>
        <item x="431"/>
        <item x="377"/>
        <item x="21"/>
        <item x="52"/>
        <item x="13"/>
        <item x="22"/>
        <item x="334"/>
        <item x="501"/>
        <item x="233"/>
        <item x="1241"/>
        <item x="291"/>
        <item x="234"/>
        <item x="486"/>
        <item x="321"/>
        <item x="387"/>
        <item x="1230"/>
        <item x="898"/>
        <item x="357"/>
        <item x="159"/>
        <item x="409"/>
        <item x="733"/>
        <item x="344"/>
        <item x="815"/>
        <item x="1240"/>
        <item x="1056"/>
        <item x="1087"/>
        <item x="661"/>
        <item x="520"/>
        <item x="287"/>
        <item x="23"/>
        <item x="957"/>
        <item x="866"/>
        <item x="1025"/>
        <item x="1151"/>
        <item x="411"/>
        <item x="124"/>
        <item x="734"/>
        <item x="642"/>
        <item x="724"/>
        <item x="750"/>
        <item x="120"/>
        <item x="397"/>
        <item x="9"/>
        <item x="644"/>
        <item x="129"/>
        <item x="1052"/>
        <item x="786"/>
        <item x="749"/>
        <item x="477"/>
        <item x="296"/>
        <item x="476"/>
        <item x="484"/>
        <item x="1005"/>
        <item x="232"/>
        <item x="694"/>
        <item x="1431"/>
        <item x="691"/>
        <item x="428"/>
        <item x="1288"/>
        <item x="1130"/>
        <item x="122"/>
        <item x="1145"/>
        <item x="1496"/>
        <item x="805"/>
        <item x="134"/>
        <item x="1032"/>
        <item x="684"/>
        <item x="7"/>
        <item x="1473"/>
        <item x="1440"/>
        <item x="38"/>
        <item x="142"/>
        <item x="119"/>
        <item x="274"/>
        <item x="42"/>
        <item x="743"/>
        <item x="1486"/>
        <item x="909"/>
        <item x="140"/>
        <item x="1138"/>
        <item x="1218"/>
        <item x="633"/>
        <item x="585"/>
        <item x="1049"/>
        <item x="1316"/>
        <item x="702"/>
        <item x="1300"/>
        <item x="573"/>
        <item x="620"/>
        <item x="879"/>
        <item x="1159"/>
        <item x="1019"/>
        <item x="302"/>
        <item x="185"/>
        <item x="412"/>
        <item x="625"/>
        <item x="364"/>
        <item x="162"/>
        <item x="553"/>
        <item x="552"/>
        <item x="117"/>
        <item x="1317"/>
        <item x="26"/>
        <item x="824"/>
        <item x="536"/>
        <item x="205"/>
        <item x="174"/>
        <item x="187"/>
        <item x="91"/>
        <item x="342"/>
        <item x="766"/>
        <item x="867"/>
        <item x="1490"/>
        <item x="1482"/>
        <item x="210"/>
        <item x="208"/>
        <item x="143"/>
        <item x="680"/>
        <item x="498"/>
        <item x="450"/>
        <item x="563"/>
        <item x="799"/>
        <item x="1149"/>
        <item x="1405"/>
        <item x="1053"/>
        <item x="892"/>
        <item x="984"/>
        <item x="685"/>
        <item x="558"/>
        <item x="851"/>
        <item x="304"/>
        <item x="1265"/>
        <item x="975"/>
        <item x="33"/>
        <item x="1407"/>
        <item x="1117"/>
        <item x="89"/>
        <item x="1050"/>
        <item x="731"/>
        <item x="1393"/>
        <item x="525"/>
        <item x="109"/>
        <item x="1203"/>
        <item x="353"/>
        <item x="657"/>
        <item x="1438"/>
        <item x="1275"/>
        <item x="634"/>
        <item x="1360"/>
        <item x="995"/>
        <item x="253"/>
        <item x="1447"/>
        <item x="1355"/>
        <item x="748"/>
        <item x="1272"/>
        <item x="449"/>
        <item x="614"/>
        <item x="557"/>
        <item x="576"/>
        <item x="696"/>
        <item x="513"/>
        <item x="1435"/>
        <item x="902"/>
        <item x="716"/>
        <item x="780"/>
        <item x="399"/>
        <item x="1078"/>
        <item x="1221"/>
        <item x="930"/>
        <item x="630"/>
        <item x="1452"/>
        <item x="730"/>
        <item x="923"/>
        <item x="114"/>
        <item x="758"/>
        <item x="720"/>
        <item x="463"/>
        <item x="1126"/>
        <item x="293"/>
        <item x="575"/>
        <item x="952"/>
        <item x="965"/>
        <item x="1258"/>
        <item x="424"/>
        <item x="1444"/>
        <item x="1495"/>
        <item x="1285"/>
        <item x="674"/>
        <item x="222"/>
        <item x="539"/>
        <item x="307"/>
        <item x="1415"/>
        <item x="1309"/>
        <item x="1437"/>
        <item x="1396"/>
        <item x="1483"/>
        <item x="241"/>
        <item x="1020"/>
        <item x="628"/>
        <item x="332"/>
        <item x="1071"/>
        <item x="1216"/>
        <item x="471"/>
        <item x="154"/>
        <item x="169"/>
        <item x="347"/>
        <item x="255"/>
        <item x="933"/>
        <item x="1033"/>
        <item x="107"/>
        <item x="454"/>
        <item x="753"/>
        <item x="1256"/>
        <item x="918"/>
        <item x="914"/>
        <item x="160"/>
        <item x="897"/>
        <item x="330"/>
        <item x="868"/>
        <item x="728"/>
        <item x="224"/>
        <item x="841"/>
        <item x="852"/>
        <item x="1392"/>
        <item x="331"/>
        <item x="838"/>
        <item x="769"/>
        <item x="1432"/>
        <item x="123"/>
        <item x="5"/>
        <item x="68"/>
        <item x="82"/>
        <item x="320"/>
        <item x="62"/>
        <item x="788"/>
        <item x="360"/>
        <item x="899"/>
        <item x="1422"/>
        <item x="435"/>
        <item x="161"/>
        <item x="603"/>
        <item x="181"/>
        <item x="1192"/>
        <item x="996"/>
        <item x="1391"/>
        <item x="590"/>
        <item x="228"/>
        <item x="1229"/>
        <item x="519"/>
        <item x="1185"/>
        <item x="1251"/>
        <item x="627"/>
        <item x="415"/>
        <item x="375"/>
        <item x="1127"/>
        <item x="1278"/>
        <item x="1410"/>
        <item x="405"/>
        <item x="951"/>
        <item x="969"/>
        <item x="958"/>
        <item x="1105"/>
        <item x="223"/>
        <item x="1380"/>
        <item x="319"/>
        <item x="937"/>
        <item x="723"/>
        <item x="198"/>
        <item x="1266"/>
        <item x="137"/>
        <item x="759"/>
        <item x="1314"/>
        <item x="441"/>
        <item x="670"/>
        <item x="1067"/>
        <item x="1104"/>
        <item x="739"/>
        <item x="1128"/>
        <item x="1348"/>
        <item x="345"/>
        <item x="363"/>
        <item x="1320"/>
        <item x="787"/>
        <item x="935"/>
        <item x="959"/>
        <item x="747"/>
        <item x="717"/>
        <item x="1264"/>
        <item x="1119"/>
        <item x="317"/>
        <item x="636"/>
        <item x="1157"/>
        <item x="371"/>
        <item x="896"/>
        <item x="229"/>
        <item x="1489"/>
        <item x="527"/>
        <item x="961"/>
        <item x="1202"/>
        <item x="34"/>
        <item x="1315"/>
        <item x="578"/>
        <item x="1176"/>
        <item x="870"/>
        <item x="165"/>
        <item x="110"/>
        <item x="392"/>
        <item x="771"/>
        <item x="803"/>
        <item x="775"/>
        <item x="1247"/>
        <item x="1470"/>
        <item x="1280"/>
        <item x="1172"/>
        <item x="713"/>
        <item x="115"/>
        <item x="1072"/>
        <item x="286"/>
        <item x="118"/>
        <item x="264"/>
        <item x="537"/>
        <item x="679"/>
        <item x="526"/>
        <item x="862"/>
        <item x="1108"/>
        <item x="225"/>
        <item x="32"/>
        <item x="1287"/>
        <item x="660"/>
        <item x="31"/>
        <item x="260"/>
        <item x="323"/>
        <item x="600"/>
        <item x="1041"/>
        <item x="268"/>
        <item x="127"/>
        <item x="290"/>
        <item x="240"/>
        <item x="572"/>
        <item x="398"/>
        <item x="433"/>
        <item x="1289"/>
        <item x="546"/>
        <item x="1121"/>
        <item x="11"/>
        <item x="43"/>
        <item x="1257"/>
        <item x="278"/>
        <item x="379"/>
        <item x="1010"/>
        <item x="871"/>
        <item x="227"/>
        <item x="934"/>
        <item x="1236"/>
        <item x="1455"/>
        <item x="1103"/>
        <item x="1021"/>
        <item x="638"/>
        <item x="242"/>
        <item x="83"/>
        <item x="92"/>
        <item x="1037"/>
        <item x="1353"/>
        <item x="1331"/>
        <item x="1398"/>
        <item x="475"/>
        <item x="1167"/>
        <item x="1177"/>
        <item x="1102"/>
        <item x="646"/>
        <item x="1429"/>
        <item x="1254"/>
        <item x="754"/>
        <item x="931"/>
        <item x="116"/>
        <item x="940"/>
        <item x="1118"/>
        <item x="736"/>
        <item x="541"/>
        <item x="381"/>
        <item x="1142"/>
        <item x="294"/>
        <item x="1175"/>
        <item x="874"/>
        <item x="112"/>
        <item x="473"/>
        <item x="818"/>
        <item x="1318"/>
        <item x="184"/>
        <item x="1448"/>
        <item x="402"/>
        <item x="794"/>
        <item x="1310"/>
        <item x="583"/>
        <item x="311"/>
        <item x="148"/>
        <item x="3"/>
        <item x="376"/>
        <item x="609"/>
        <item x="1226"/>
        <item x="1325"/>
        <item x="1008"/>
        <item x="1439"/>
        <item x="544"/>
        <item x="1492"/>
        <item x="37"/>
        <item x="276"/>
        <item x="1498"/>
        <item x="693"/>
        <item x="1209"/>
        <item x="19"/>
        <item x="1031"/>
        <item x="941"/>
        <item x="784"/>
        <item x="1302"/>
        <item x="1386"/>
        <item x="1228"/>
        <item x="1401"/>
        <item x="983"/>
        <item x="846"/>
        <item x="1366"/>
        <item x="1193"/>
        <item x="1106"/>
        <item x="506"/>
        <item x="427"/>
        <item x="752"/>
        <item x="1147"/>
        <item x="830"/>
        <item x="168"/>
        <item x="1015"/>
        <item x="1305"/>
        <item x="980"/>
        <item x="615"/>
        <item x="199"/>
        <item x="618"/>
        <item x="145"/>
        <item x="305"/>
        <item x="1097"/>
        <item x="451"/>
        <item x="1426"/>
        <item x="1110"/>
        <item x="593"/>
        <item x="706"/>
        <item x="911"/>
        <item x="524"/>
        <item x="1276"/>
        <item x="1427"/>
        <item x="1169"/>
        <item x="1274"/>
        <item x="828"/>
        <item x="635"/>
        <item x="467"/>
        <item x="1372"/>
        <item x="436"/>
        <item x="1419"/>
        <item x="59"/>
        <item x="515"/>
        <item x="994"/>
        <item x="1211"/>
        <item x="1292"/>
        <item x="532"/>
        <item x="924"/>
        <item x="1468"/>
        <item x="1400"/>
        <item x="876"/>
        <item x="671"/>
        <item x="152"/>
        <item x="457"/>
        <item x="1116"/>
        <item x="30"/>
        <item x="121"/>
        <item x="650"/>
        <item x="460"/>
        <item x="926"/>
        <item x="858"/>
        <item x="395"/>
        <item x="220"/>
        <item x="341"/>
        <item x="351"/>
        <item x="170"/>
        <item x="1135"/>
        <item x="839"/>
        <item x="55"/>
        <item x="444"/>
        <item x="1478"/>
        <item x="1099"/>
        <item x="737"/>
        <item x="990"/>
        <item x="663"/>
        <item x="0"/>
        <item x="400"/>
        <item x="549"/>
        <item x="479"/>
        <item x="1115"/>
        <item x="1024"/>
        <item x="1239"/>
        <item x="1474"/>
        <item x="105"/>
        <item x="79"/>
        <item x="6"/>
        <item x="284"/>
        <item x="72"/>
        <item x="54"/>
        <item x="20"/>
        <item x="602"/>
        <item x="27"/>
        <item x="16"/>
        <item x="571"/>
        <item x="912"/>
        <item x="456"/>
        <item x="283"/>
        <item x="610"/>
        <item x="125"/>
        <item x="1079"/>
        <item x="1307"/>
        <item x="12"/>
        <item x="810"/>
        <item x="1"/>
        <item x="1213"/>
        <item x="710"/>
        <item x="71"/>
        <item x="70"/>
        <item x="1319"/>
        <item x="1425"/>
        <item x="262"/>
        <item x="608"/>
        <item x="779"/>
        <item x="482"/>
        <item x="1397"/>
        <item x="1460"/>
        <item x="651"/>
        <item x="850"/>
        <item x="1036"/>
        <item x="936"/>
        <item x="1134"/>
        <item x="369"/>
        <item x="988"/>
        <item x="285"/>
        <item x="1327"/>
        <item x="270"/>
        <item x="624"/>
        <item x="676"/>
        <item x="1120"/>
        <item x="1055"/>
        <item x="861"/>
        <item x="1326"/>
        <item x="1237"/>
        <item x="1141"/>
        <item x="895"/>
        <item x="1337"/>
        <item x="725"/>
        <item x="430"/>
        <item x="721"/>
        <item x="550"/>
        <item x="1233"/>
        <item x="258"/>
        <item x="1445"/>
        <item x="408"/>
        <item x="249"/>
        <item x="1047"/>
        <item x="913"/>
        <item x="1369"/>
        <item x="1140"/>
        <item x="1044"/>
        <item x="295"/>
        <item x="367"/>
        <item x="1200"/>
        <item x="45"/>
        <item x="491"/>
        <item x="588"/>
        <item x="1227"/>
        <item x="1377"/>
        <item x="1101"/>
        <item x="601"/>
        <item x="440"/>
        <item x="1261"/>
        <item x="981"/>
        <item x="1480"/>
        <item x="597"/>
        <item x="1370"/>
        <item x="1063"/>
        <item x="1374"/>
        <item x="1321"/>
        <item x="425"/>
        <item x="236"/>
        <item x="461"/>
        <item x="622"/>
        <item x="1338"/>
        <item x="925"/>
        <item x="669"/>
        <item x="761"/>
        <item x="1051"/>
        <item x="396"/>
        <item x="404"/>
        <item x="1388"/>
        <item x="1409"/>
        <item x="1223"/>
        <item x="496"/>
        <item x="1144"/>
        <item x="1022"/>
        <item x="1082"/>
        <item x="261"/>
        <item x="338"/>
        <item x="10"/>
        <item x="1153"/>
        <item x="533"/>
        <item x="581"/>
        <item x="102"/>
        <item x="1363"/>
        <item x="781"/>
        <item x="607"/>
        <item x="434"/>
        <item x="637"/>
        <item x="1488"/>
        <item x="406"/>
        <item x="1311"/>
        <item x="854"/>
        <item x="318"/>
        <item x="1039"/>
        <item x="1182"/>
        <item x="306"/>
        <item x="1197"/>
        <item x="1340"/>
        <item x="1354"/>
        <item x="1362"/>
        <item x="1333"/>
        <item x="1183"/>
        <item x="1198"/>
        <item x="943"/>
        <item x="891"/>
        <item x="1084"/>
        <item x="239"/>
        <item x="613"/>
        <item x="534"/>
        <item x="301"/>
        <item x="1123"/>
        <item x="1271"/>
        <item x="1284"/>
        <item x="1162"/>
        <item x="1339"/>
        <item x="1359"/>
        <item x="150"/>
        <item x="310"/>
        <item x="1070"/>
        <item x="1345"/>
        <item x="878"/>
        <item x="976"/>
        <item x="673"/>
        <item x="920"/>
        <item x="1062"/>
        <item x="1453"/>
        <item x="704"/>
        <item x="1416"/>
        <item x="776"/>
        <item x="929"/>
        <item x="247"/>
        <item x="939"/>
        <item x="864"/>
        <item x="966"/>
        <item x="470"/>
        <item x="312"/>
        <item x="386"/>
        <item x="985"/>
        <item x="1124"/>
        <item x="774"/>
        <item x="299"/>
        <item x="263"/>
        <item x="1252"/>
        <item x="1098"/>
        <item x="816"/>
        <item x="928"/>
        <item x="690"/>
        <item x="177"/>
        <item x="741"/>
        <item x="1004"/>
        <item x="1164"/>
        <item x="1224"/>
        <item x="1350"/>
        <item x="1018"/>
        <item x="979"/>
        <item x="742"/>
        <item x="1091"/>
        <item x="698"/>
        <item x="586"/>
        <item x="1188"/>
        <item x="770"/>
        <item x="699"/>
        <item x="1006"/>
        <item x="619"/>
        <item x="455"/>
        <item x="18"/>
        <item x="244"/>
        <item x="857"/>
        <item x="1497"/>
        <item x="439"/>
        <item x="1418"/>
        <item x="1246"/>
        <item x="17"/>
        <item x="616"/>
        <item x="825"/>
        <item x="1242"/>
        <item x="350"/>
        <item x="808"/>
        <item x="349"/>
        <item x="577"/>
        <item x="873"/>
        <item x="1417"/>
        <item x="1195"/>
        <item x="163"/>
        <item x="1002"/>
        <item x="974"/>
        <item x="4"/>
        <item x="887"/>
        <item x="697"/>
        <item x="176"/>
        <item x="1222"/>
        <item x="1291"/>
        <item x="1414"/>
        <item x="1210"/>
        <item x="215"/>
        <item x="1042"/>
        <item x="790"/>
        <item x="542"/>
        <item x="1187"/>
        <item x="1245"/>
        <item x="649"/>
        <item x="1430"/>
        <item x="800"/>
        <item x="1313"/>
        <item x="478"/>
        <item x="834"/>
        <item x="672"/>
        <item x="756"/>
        <item x="1263"/>
        <item x="300"/>
        <item x="275"/>
        <item x="1390"/>
        <item x="708"/>
        <item x="462"/>
        <item x="180"/>
        <item x="1064"/>
        <item x="606"/>
        <item x="885"/>
        <item x="1154"/>
        <item x="243"/>
        <item x="956"/>
        <item x="1092"/>
        <item x="932"/>
        <item x="1364"/>
        <item x="384"/>
        <item x="1234"/>
        <item x="1016"/>
        <item x="1290"/>
        <item x="1171"/>
        <item x="339"/>
        <item x="2"/>
        <item x="25"/>
        <item x="962"/>
        <item x="999"/>
        <item x="147"/>
        <item x="281"/>
        <item x="1477"/>
        <item x="1402"/>
        <item x="1328"/>
        <item x="1472"/>
        <item x="217"/>
        <item x="194"/>
        <item x="768"/>
        <item x="735"/>
        <item x="1161"/>
        <item x="265"/>
        <item x="1341"/>
        <item x="831"/>
        <item x="1080"/>
        <item x="1428"/>
        <item x="1485"/>
        <item x="1112"/>
        <item x="266"/>
        <item x="101"/>
        <item x="186"/>
        <item x="1029"/>
        <item x="151"/>
        <item x="130"/>
        <item x="416"/>
        <item x="58"/>
        <item x="277"/>
        <item x="192"/>
        <item x="136"/>
        <item x="497"/>
        <item x="1267"/>
        <item x="209"/>
        <item x="356"/>
        <item x="370"/>
        <item x="1248"/>
        <item x="490"/>
        <item x="1436"/>
        <item x="337"/>
        <item x="762"/>
        <item x="485"/>
        <item x="1085"/>
        <item x="282"/>
        <item x="1487"/>
        <item x="487"/>
        <item x="480"/>
        <item x="315"/>
        <item x="1220"/>
        <item x="393"/>
        <item x="875"/>
        <item x="314"/>
        <item x="1277"/>
        <item x="340"/>
        <item x="1382"/>
        <item x="823"/>
        <item x="488"/>
        <item x="695"/>
        <item x="1304"/>
        <item x="388"/>
        <item x="507"/>
        <item x="36"/>
        <item x="373"/>
        <item x="917"/>
        <item x="1344"/>
        <item x="746"/>
        <item x="629"/>
        <item x="949"/>
        <item x="970"/>
        <item x="1371"/>
        <item x="1088"/>
        <item x="900"/>
        <item x="954"/>
        <item x="466"/>
        <item x="197"/>
        <item x="445"/>
        <item x="389"/>
        <item x="93"/>
        <item x="84"/>
        <item x="1152"/>
        <item x="840"/>
        <item x="598"/>
        <item x="76"/>
        <item x="141"/>
        <item x="626"/>
        <item x="772"/>
        <item x="653"/>
        <item x="855"/>
        <item x="189"/>
        <item x="1476"/>
        <item x="565"/>
        <item x="740"/>
        <item x="200"/>
        <item x="1259"/>
        <item x="1253"/>
        <item x="1491"/>
        <item x="469"/>
        <item x="1013"/>
        <item x="1089"/>
        <item x="1301"/>
        <item x="465"/>
        <item x="252"/>
        <item x="1133"/>
        <item x="401"/>
        <item x="1457"/>
        <item x="63"/>
        <item x="1329"/>
        <item x="1094"/>
        <item x="1160"/>
        <item x="362"/>
        <item x="872"/>
        <item x="153"/>
        <item x="1441"/>
        <item x="1075"/>
        <item x="1191"/>
        <item x="14"/>
        <item x="39"/>
        <item x="80"/>
        <item x="280"/>
        <item x="95"/>
        <item x="489"/>
        <item x="1028"/>
        <item x="1150"/>
        <item x="675"/>
        <item x="256"/>
        <item x="139"/>
        <item x="1043"/>
        <item x="703"/>
        <item x="960"/>
        <item x="882"/>
        <item x="812"/>
        <item x="560"/>
        <item x="447"/>
        <item x="792"/>
        <item x="837"/>
        <item x="267"/>
        <item x="322"/>
        <item x="865"/>
        <item x="279"/>
        <item x="85"/>
        <item x="881"/>
        <item x="587"/>
        <item x="214"/>
        <item x="715"/>
        <item x="1009"/>
        <item x="1394"/>
        <item x="890"/>
        <item x="1046"/>
        <item x="554"/>
        <item x="658"/>
        <item x="126"/>
        <item x="1244"/>
        <item x="568"/>
        <item x="744"/>
        <item x="992"/>
        <item x="1086"/>
        <item x="448"/>
        <item x="206"/>
        <item x="692"/>
        <item x="365"/>
        <item x="1235"/>
        <item x="518"/>
        <item x="1065"/>
        <item x="418"/>
        <item x="1148"/>
        <item x="915"/>
        <item x="106"/>
        <item x="938"/>
        <item x="826"/>
        <item x="652"/>
        <item x="765"/>
        <item x="844"/>
        <item x="1132"/>
        <item x="303"/>
        <item x="955"/>
        <item x="664"/>
        <item x="47"/>
        <item x="429"/>
        <item x="987"/>
        <item x="128"/>
        <item x="849"/>
        <item x="570"/>
        <item x="196"/>
        <item x="385"/>
        <item x="1143"/>
        <item x="1125"/>
        <item x="968"/>
        <item x="1399"/>
        <item x="802"/>
        <item x="1347"/>
        <item x="1450"/>
        <item x="1303"/>
        <item x="1178"/>
        <item x="1442"/>
        <item x="791"/>
        <item x="860"/>
        <item x="760"/>
        <item x="886"/>
        <item x="1449"/>
        <item x="1467"/>
        <item x="1214"/>
        <item x="246"/>
        <item x="1204"/>
        <item x="1129"/>
        <item x="1471"/>
        <item x="681"/>
        <item x="203"/>
        <item x="1158"/>
        <item x="1423"/>
        <item x="61"/>
        <item x="682"/>
        <item x="785"/>
        <item x="502"/>
        <item x="1494"/>
        <item x="81"/>
        <item x="847"/>
        <item x="678"/>
        <item x="579"/>
        <item x="950"/>
        <item x="426"/>
        <item x="689"/>
        <item x="667"/>
        <item x="1346"/>
        <item x="548"/>
        <item x="782"/>
        <item x="904"/>
        <item x="1081"/>
        <item x="1469"/>
        <item x="853"/>
        <item x="811"/>
        <item x="452"/>
        <item x="947"/>
        <item x="789"/>
        <item x="888"/>
        <item x="103"/>
        <item x="645"/>
        <item x="1215"/>
        <item x="1466"/>
        <item x="156"/>
        <item x="146"/>
        <item x="1180"/>
        <item x="927"/>
        <item x="216"/>
        <item x="288"/>
        <item x="1279"/>
        <item x="964"/>
        <item x="1179"/>
        <item x="712"/>
        <item x="1255"/>
        <item x="1225"/>
        <item x="705"/>
        <item x="49"/>
        <item x="535"/>
        <item x="69"/>
        <item x="248"/>
        <item x="231"/>
        <item x="87"/>
        <item x="564"/>
        <item x="1069"/>
        <item x="179"/>
        <item x="1168"/>
        <item x="1342"/>
        <item x="1463"/>
        <item x="511"/>
        <item x="1361"/>
        <item x="621"/>
        <item x="1122"/>
        <item x="530"/>
        <item x="359"/>
        <item x="509"/>
        <item x="714"/>
        <item x="1107"/>
        <item x="221"/>
        <item x="842"/>
        <item x="88"/>
        <item x="709"/>
        <item x="594"/>
        <item x="273"/>
        <item x="1090"/>
        <item x="348"/>
        <item x="916"/>
        <item x="998"/>
        <item x="880"/>
        <item x="257"/>
        <item x="1048"/>
        <item x="1190"/>
        <item x="1073"/>
        <item x="453"/>
        <item x="352"/>
        <item x="374"/>
        <item x="383"/>
        <item x="213"/>
        <item x="237"/>
        <item x="494"/>
        <item x="856"/>
        <item x="922"/>
        <item x="1093"/>
        <item x="843"/>
        <item x="677"/>
        <item x="97"/>
        <item x="668"/>
        <item x="997"/>
        <item x="1189"/>
        <item x="1446"/>
        <item x="1424"/>
        <item x="783"/>
        <item x="407"/>
        <item x="272"/>
        <item x="46"/>
        <item x="543"/>
        <item x="495"/>
        <item x="188"/>
        <item x="732"/>
        <item x="580"/>
        <item x="921"/>
        <item x="166"/>
        <item x="836"/>
        <item x="639"/>
        <item x="1365"/>
        <item x="561"/>
        <item x="751"/>
        <item x="1459"/>
        <item x="1003"/>
        <item x="1045"/>
        <item x="56"/>
        <item x="1376"/>
        <item x="313"/>
        <item x="459"/>
        <item x="632"/>
        <item x="325"/>
        <item x="919"/>
        <item x="907"/>
        <item x="113"/>
        <item x="1499"/>
        <item x="993"/>
        <item x="512"/>
        <item x="503"/>
        <item x="1332"/>
        <item x="172"/>
        <item x="212"/>
        <item x="1383"/>
        <item x="589"/>
        <item x="1201"/>
        <item x="1184"/>
        <item x="468"/>
        <item x="688"/>
        <item x="978"/>
        <item x="155"/>
        <item x="889"/>
        <item x="1219"/>
        <item x="60"/>
        <item x="817"/>
        <item x="175"/>
        <item x="289"/>
        <item x="596"/>
        <item x="942"/>
        <item x="820"/>
        <item x="1404"/>
        <item x="617"/>
        <item x="1238"/>
        <item x="504"/>
        <item x="361"/>
        <item x="458"/>
        <item x="1308"/>
        <item x="1061"/>
        <item x="1012"/>
        <item x="238"/>
        <item x="422"/>
        <item x="1373"/>
        <item x="1334"/>
        <item x="421"/>
        <item x="298"/>
        <item x="133"/>
        <item x="700"/>
        <item x="763"/>
        <item x="259"/>
        <item x="1458"/>
        <item x="1312"/>
        <item x="592"/>
        <item x="1286"/>
        <item x="474"/>
        <item x="1000"/>
        <item x="1403"/>
        <item x="1475"/>
        <item x="604"/>
        <item x="1174"/>
        <item x="1358"/>
        <item x="510"/>
        <item x="1413"/>
        <item x="814"/>
        <item x="1379"/>
        <item x="202"/>
        <item x="111"/>
        <item x="1131"/>
        <item x="190"/>
        <item x="1199"/>
        <item x="569"/>
        <item x="419"/>
        <item x="654"/>
        <item x="559"/>
        <item x="1139"/>
        <item x="481"/>
        <item x="778"/>
        <item x="432"/>
        <item x="662"/>
        <item x="641"/>
        <item x="438"/>
        <item x="413"/>
        <item x="391"/>
        <item x="358"/>
        <item x="167"/>
        <item x="493"/>
        <item x="701"/>
        <item x="382"/>
        <item x="726"/>
        <item x="521"/>
        <item x="1027"/>
        <item x="819"/>
        <item x="1057"/>
        <item x="1384"/>
        <item x="1411"/>
        <item x="1217"/>
        <item x="893"/>
        <item x="1058"/>
        <item x="191"/>
        <item x="829"/>
        <item x="944"/>
        <item x="767"/>
        <item x="1298"/>
        <item x="797"/>
        <item x="64"/>
        <item x="66"/>
        <item x="394"/>
        <item x="158"/>
        <item x="686"/>
        <item x="574"/>
        <item x="75"/>
        <item x="414"/>
        <item x="335"/>
        <item x="946"/>
        <item x="514"/>
        <item x="538"/>
        <item x="1066"/>
        <item x="271"/>
        <item x="508"/>
        <item x="555"/>
        <item x="100"/>
        <item x="1109"/>
        <item x="1443"/>
        <item x="517"/>
        <item x="1421"/>
        <item x="1324"/>
        <item x="366"/>
        <item x="540"/>
        <item x="859"/>
        <item x="308"/>
        <item x="1170"/>
        <item x="48"/>
        <item x="1293"/>
        <item x="132"/>
        <item x="1155"/>
        <item x="551"/>
        <item x="1060"/>
        <item x="545"/>
        <item x="821"/>
        <item x="1493"/>
        <item x="410"/>
        <item x="982"/>
        <item x="193"/>
        <item x="1074"/>
        <item x="251"/>
        <item x="1034"/>
        <item x="149"/>
        <item x="1295"/>
        <item x="764"/>
        <item x="1273"/>
        <item x="612"/>
        <item x="204"/>
        <item x="15"/>
        <item x="1231"/>
        <item x="1456"/>
        <item x="623"/>
        <item x="611"/>
        <item x="211"/>
        <item x="1040"/>
        <item x="845"/>
        <item x="218"/>
        <item x="1077"/>
        <item x="1306"/>
        <item x="1270"/>
        <item x="96"/>
        <item x="1368"/>
        <item x="848"/>
        <item x="562"/>
        <item x="1395"/>
        <item x="1114"/>
        <item x="1232"/>
        <item x="972"/>
        <item x="977"/>
        <item x="343"/>
        <item x="687"/>
        <item x="1083"/>
        <item x="98"/>
        <item x="793"/>
        <item x="884"/>
        <item x="390"/>
        <item x="499"/>
        <item x="1243"/>
        <item x="655"/>
        <item x="1420"/>
        <item x="522"/>
        <item x="863"/>
        <item x="173"/>
        <item x="1249"/>
        <item x="806"/>
        <item x="1173"/>
        <item x="804"/>
        <item x="908"/>
        <item x="1281"/>
        <item x="1385"/>
        <item x="131"/>
        <item x="90"/>
        <item x="329"/>
        <item x="948"/>
        <item x="595"/>
        <item x="605"/>
        <item x="1166"/>
        <item x="640"/>
        <item x="648"/>
        <item x="1296"/>
        <item x="65"/>
        <item x="516"/>
        <item x="1113"/>
        <item x="801"/>
        <item x="378"/>
        <item x="1268"/>
        <item x="108"/>
        <item x="355"/>
        <item x="1038"/>
        <item x="727"/>
        <item x="368"/>
        <item x="1196"/>
        <item x="164"/>
        <item x="1165"/>
        <item x="666"/>
        <item x="877"/>
        <item x="182"/>
        <item x="183"/>
        <item x="1163"/>
        <item x="77"/>
        <item x="138"/>
        <item x="443"/>
        <item x="901"/>
        <item x="795"/>
        <item x="328"/>
        <item x="647"/>
        <item x="1205"/>
        <item x="523"/>
        <item x="656"/>
        <item x="346"/>
        <item x="219"/>
        <item x="1357"/>
        <item x="1023"/>
        <item x="195"/>
        <item x="971"/>
        <item x="832"/>
        <item x="827"/>
        <item x="309"/>
        <item x="953"/>
        <item x="327"/>
        <item x="796"/>
        <item x="50"/>
        <item x="35"/>
        <item x="326"/>
        <item x="903"/>
        <item x="250"/>
        <item x="1336"/>
        <item x="269"/>
        <item x="28"/>
        <item x="1299"/>
        <item x="207"/>
        <item x="316"/>
        <item x="99"/>
        <item x="53"/>
        <item x="29"/>
        <item x="483"/>
        <item x="1461"/>
        <item x="1096"/>
        <item x="665"/>
        <item x="567"/>
        <item x="245"/>
        <item x="1479"/>
        <item x="94"/>
        <item x="40"/>
        <item x="1156"/>
        <item x="24"/>
        <item x="883"/>
        <item x="472"/>
        <item x="1454"/>
        <item x="403"/>
        <item x="683"/>
        <item x="1026"/>
        <item x="1030"/>
        <item x="869"/>
        <item x="230"/>
        <item x="336"/>
        <item x="437"/>
        <item x="910"/>
        <item x="292"/>
        <item x="333"/>
        <item x="57"/>
        <item x="777"/>
        <item x="354"/>
        <item x="423"/>
        <item x="773"/>
        <item x="1352"/>
        <item x="1282"/>
        <item x="1323"/>
        <item x="529"/>
        <item x="1186"/>
        <item x="1335"/>
        <item x="1297"/>
        <item x="1269"/>
        <item x="1208"/>
        <item x="1059"/>
        <item x="1322"/>
        <item x="1100"/>
        <item x="1381"/>
        <item x="719"/>
        <item x="135"/>
        <item x="528"/>
        <item x="1068"/>
        <item x="967"/>
        <item x="1433"/>
        <item x="1462"/>
        <item x="1330"/>
        <item x="1484"/>
        <item x="711"/>
        <item x="1378"/>
        <item x="1434"/>
        <item x="1351"/>
        <item x="1343"/>
        <item x="1349"/>
        <item x="531"/>
        <item x="464"/>
        <item x="51"/>
        <item x="556"/>
        <item x="1111"/>
        <item x="254"/>
        <item x="991"/>
        <item x="1054"/>
        <item x="73"/>
        <item x="86"/>
        <item x="894"/>
        <item x="798"/>
        <item x="591"/>
        <item x="631"/>
        <item x="1212"/>
        <item x="1294"/>
        <item x="906"/>
        <item x="1375"/>
        <item x="1194"/>
        <item x="1017"/>
        <item x="44"/>
        <item x="8"/>
        <item x="235"/>
        <item x="505"/>
        <item x="74"/>
        <item x="1001"/>
        <item x="1465"/>
        <item x="1283"/>
        <item x="1406"/>
        <item x="1007"/>
        <item x="1464"/>
        <item x="1262"/>
        <item x="442"/>
        <item x="755"/>
        <item x="1137"/>
        <item x="1011"/>
        <item x="745"/>
        <item x="757"/>
        <item x="822"/>
        <item x="78"/>
        <item x="1389"/>
        <item t="default"/>
      </items>
    </pivotField>
    <pivotField showAll="0">
      <items count="8">
        <item x="6"/>
        <item x="2"/>
        <item x="1"/>
        <item x="3"/>
        <item x="0"/>
        <item x="4"/>
        <item x="5"/>
        <item t="default"/>
      </items>
    </pivotField>
    <pivotField showAll="0">
      <items count="7">
        <item x="2"/>
        <item x="0"/>
        <item x="3"/>
        <item x="1"/>
        <item x="4"/>
        <item x="5"/>
        <item t="default"/>
      </items>
    </pivotField>
    <pivotField numFmtId="1" showAll="0"/>
    <pivotField showAll="0"/>
    <pivotField showAll="0"/>
    <pivotField showAll="0"/>
    <pivotField dataField="1" showAll="0"/>
    <pivotField numFmtId="164" showAll="0"/>
    <pivotField showAll="0"/>
    <pivotField showAll="0">
      <items count="5">
        <item x="3"/>
        <item x="1"/>
        <item x="0"/>
        <item x="2"/>
        <item t="default"/>
      </items>
    </pivotField>
  </pivotFields>
  <rowFields count="1">
    <field x="1"/>
  </rowFields>
  <rowItems count="11">
    <i>
      <x v="103"/>
    </i>
    <i>
      <x v="550"/>
    </i>
    <i>
      <x v="753"/>
    </i>
    <i>
      <x v="833"/>
    </i>
    <i>
      <x v="922"/>
    </i>
    <i>
      <x v="1004"/>
    </i>
    <i>
      <x v="1085"/>
    </i>
    <i>
      <x v="1318"/>
    </i>
    <i>
      <x v="1371"/>
    </i>
    <i>
      <x v="1438"/>
    </i>
    <i t="grand">
      <x/>
    </i>
  </rowItems>
  <colItems count="1">
    <i/>
  </colItems>
  <dataFields count="1">
    <dataField name="Average of stickiness_index" fld="8" subtotal="average" baseField="1" baseItem="0"/>
  </dataFields>
  <chartFormats count="1">
    <chartFormat chart="4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30EB1E-E763-4A7C-8438-1A066764038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M21:N32" firstHeaderRow="1" firstDataRow="1" firstDataCol="1"/>
  <pivotFields count="12">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axis="axisRow" showAll="0" measureFilter="1">
      <items count="1501">
        <item x="144"/>
        <item x="420"/>
        <item x="1356"/>
        <item x="1014"/>
        <item x="986"/>
        <item x="1408"/>
        <item x="659"/>
        <item x="1387"/>
        <item x="547"/>
        <item x="492"/>
        <item x="738"/>
        <item x="707"/>
        <item x="582"/>
        <item x="500"/>
        <item x="1412"/>
        <item x="157"/>
        <item x="297"/>
        <item x="989"/>
        <item x="1481"/>
        <item x="104"/>
        <item x="41"/>
        <item x="1035"/>
        <item x="1181"/>
        <item x="584"/>
        <item x="1095"/>
        <item x="813"/>
        <item x="599"/>
        <item x="1207"/>
        <item x="1367"/>
        <item x="1250"/>
        <item x="1146"/>
        <item x="1206"/>
        <item x="833"/>
        <item x="963"/>
        <item x="446"/>
        <item x="729"/>
        <item x="905"/>
        <item x="807"/>
        <item x="1260"/>
        <item x="1451"/>
        <item x="178"/>
        <item x="67"/>
        <item x="171"/>
        <item x="417"/>
        <item x="718"/>
        <item x="566"/>
        <item x="324"/>
        <item x="372"/>
        <item x="226"/>
        <item x="201"/>
        <item x="1076"/>
        <item x="722"/>
        <item x="809"/>
        <item x="380"/>
        <item x="1136"/>
        <item x="643"/>
        <item x="835"/>
        <item x="973"/>
        <item x="945"/>
        <item x="431"/>
        <item x="377"/>
        <item x="21"/>
        <item x="52"/>
        <item x="13"/>
        <item x="22"/>
        <item x="334"/>
        <item x="501"/>
        <item x="233"/>
        <item x="1241"/>
        <item x="291"/>
        <item x="234"/>
        <item x="486"/>
        <item x="321"/>
        <item x="387"/>
        <item x="1230"/>
        <item x="898"/>
        <item x="357"/>
        <item x="159"/>
        <item x="409"/>
        <item x="733"/>
        <item x="344"/>
        <item x="815"/>
        <item x="1240"/>
        <item x="1056"/>
        <item x="1087"/>
        <item x="661"/>
        <item x="520"/>
        <item x="287"/>
        <item x="23"/>
        <item x="957"/>
        <item x="866"/>
        <item x="1025"/>
        <item x="1151"/>
        <item x="411"/>
        <item x="124"/>
        <item x="734"/>
        <item x="642"/>
        <item x="724"/>
        <item x="750"/>
        <item x="120"/>
        <item x="397"/>
        <item x="9"/>
        <item x="644"/>
        <item x="129"/>
        <item x="1052"/>
        <item x="786"/>
        <item x="749"/>
        <item x="477"/>
        <item x="296"/>
        <item x="476"/>
        <item x="484"/>
        <item x="1005"/>
        <item x="232"/>
        <item x="694"/>
        <item x="1431"/>
        <item x="691"/>
        <item x="428"/>
        <item x="1288"/>
        <item x="1130"/>
        <item x="122"/>
        <item x="1145"/>
        <item x="1496"/>
        <item x="805"/>
        <item x="134"/>
        <item x="1032"/>
        <item x="684"/>
        <item x="7"/>
        <item x="1473"/>
        <item x="1440"/>
        <item x="38"/>
        <item x="142"/>
        <item x="119"/>
        <item x="274"/>
        <item x="42"/>
        <item x="743"/>
        <item x="1486"/>
        <item x="909"/>
        <item x="140"/>
        <item x="1138"/>
        <item x="1218"/>
        <item x="633"/>
        <item x="585"/>
        <item x="1049"/>
        <item x="1316"/>
        <item x="702"/>
        <item x="1300"/>
        <item x="573"/>
        <item x="620"/>
        <item x="879"/>
        <item x="1159"/>
        <item x="1019"/>
        <item x="302"/>
        <item x="185"/>
        <item x="412"/>
        <item x="625"/>
        <item x="364"/>
        <item x="162"/>
        <item x="553"/>
        <item x="552"/>
        <item x="117"/>
        <item x="1317"/>
        <item x="26"/>
        <item x="824"/>
        <item x="536"/>
        <item x="205"/>
        <item x="174"/>
        <item x="187"/>
        <item x="91"/>
        <item x="342"/>
        <item x="766"/>
        <item x="867"/>
        <item x="1490"/>
        <item x="1482"/>
        <item x="210"/>
        <item x="208"/>
        <item x="143"/>
        <item x="680"/>
        <item x="498"/>
        <item x="450"/>
        <item x="563"/>
        <item x="799"/>
        <item x="1149"/>
        <item x="1405"/>
        <item x="1053"/>
        <item x="892"/>
        <item x="984"/>
        <item x="685"/>
        <item x="558"/>
        <item x="851"/>
        <item x="304"/>
        <item x="1265"/>
        <item x="975"/>
        <item x="33"/>
        <item x="1407"/>
        <item x="1117"/>
        <item x="89"/>
        <item x="1050"/>
        <item x="731"/>
        <item x="1393"/>
        <item x="525"/>
        <item x="109"/>
        <item x="1203"/>
        <item x="353"/>
        <item x="657"/>
        <item x="1438"/>
        <item x="1275"/>
        <item x="634"/>
        <item x="1360"/>
        <item x="995"/>
        <item x="253"/>
        <item x="1447"/>
        <item x="1355"/>
        <item x="748"/>
        <item x="1272"/>
        <item x="449"/>
        <item x="614"/>
        <item x="557"/>
        <item x="576"/>
        <item x="696"/>
        <item x="513"/>
        <item x="1435"/>
        <item x="902"/>
        <item x="716"/>
        <item x="780"/>
        <item x="399"/>
        <item x="1078"/>
        <item x="1221"/>
        <item x="930"/>
        <item x="630"/>
        <item x="1452"/>
        <item x="730"/>
        <item x="923"/>
        <item x="114"/>
        <item x="758"/>
        <item x="720"/>
        <item x="463"/>
        <item x="1126"/>
        <item x="293"/>
        <item x="575"/>
        <item x="952"/>
        <item x="965"/>
        <item x="1258"/>
        <item x="424"/>
        <item x="1444"/>
        <item x="1495"/>
        <item x="1285"/>
        <item x="674"/>
        <item x="222"/>
        <item x="539"/>
        <item x="307"/>
        <item x="1415"/>
        <item x="1309"/>
        <item x="1437"/>
        <item x="1396"/>
        <item x="1483"/>
        <item x="241"/>
        <item x="1020"/>
        <item x="628"/>
        <item x="332"/>
        <item x="1071"/>
        <item x="1216"/>
        <item x="471"/>
        <item x="154"/>
        <item x="169"/>
        <item x="347"/>
        <item x="255"/>
        <item x="933"/>
        <item x="1033"/>
        <item x="107"/>
        <item x="454"/>
        <item x="753"/>
        <item x="1256"/>
        <item x="918"/>
        <item x="914"/>
        <item x="160"/>
        <item x="897"/>
        <item x="330"/>
        <item x="868"/>
        <item x="728"/>
        <item x="224"/>
        <item x="841"/>
        <item x="852"/>
        <item x="1392"/>
        <item x="331"/>
        <item x="838"/>
        <item x="769"/>
        <item x="1432"/>
        <item x="123"/>
        <item x="5"/>
        <item x="68"/>
        <item x="82"/>
        <item x="320"/>
        <item x="62"/>
        <item x="788"/>
        <item x="360"/>
        <item x="899"/>
        <item x="1422"/>
        <item x="435"/>
        <item x="161"/>
        <item x="603"/>
        <item x="181"/>
        <item x="1192"/>
        <item x="996"/>
        <item x="1391"/>
        <item x="590"/>
        <item x="228"/>
        <item x="1229"/>
        <item x="519"/>
        <item x="1185"/>
        <item x="1251"/>
        <item x="627"/>
        <item x="415"/>
        <item x="375"/>
        <item x="1127"/>
        <item x="1278"/>
        <item x="1410"/>
        <item x="405"/>
        <item x="951"/>
        <item x="969"/>
        <item x="958"/>
        <item x="1105"/>
        <item x="223"/>
        <item x="1380"/>
        <item x="319"/>
        <item x="937"/>
        <item x="723"/>
        <item x="198"/>
        <item x="1266"/>
        <item x="137"/>
        <item x="759"/>
        <item x="1314"/>
        <item x="441"/>
        <item x="670"/>
        <item x="1067"/>
        <item x="1104"/>
        <item x="739"/>
        <item x="1128"/>
        <item x="1348"/>
        <item x="345"/>
        <item x="363"/>
        <item x="1320"/>
        <item x="787"/>
        <item x="935"/>
        <item x="959"/>
        <item x="747"/>
        <item x="717"/>
        <item x="1264"/>
        <item x="1119"/>
        <item x="317"/>
        <item x="636"/>
        <item x="1157"/>
        <item x="371"/>
        <item x="896"/>
        <item x="229"/>
        <item x="1489"/>
        <item x="527"/>
        <item x="961"/>
        <item x="1202"/>
        <item x="34"/>
        <item x="1315"/>
        <item x="578"/>
        <item x="1176"/>
        <item x="870"/>
        <item x="165"/>
        <item x="110"/>
        <item x="392"/>
        <item x="771"/>
        <item x="803"/>
        <item x="775"/>
        <item x="1247"/>
        <item x="1470"/>
        <item x="1280"/>
        <item x="1172"/>
        <item x="713"/>
        <item x="115"/>
        <item x="1072"/>
        <item x="286"/>
        <item x="118"/>
        <item x="264"/>
        <item x="537"/>
        <item x="679"/>
        <item x="526"/>
        <item x="862"/>
        <item x="1108"/>
        <item x="225"/>
        <item x="32"/>
        <item x="1287"/>
        <item x="660"/>
        <item x="31"/>
        <item x="260"/>
        <item x="323"/>
        <item x="600"/>
        <item x="1041"/>
        <item x="268"/>
        <item x="127"/>
        <item x="290"/>
        <item x="240"/>
        <item x="572"/>
        <item x="398"/>
        <item x="433"/>
        <item x="1289"/>
        <item x="546"/>
        <item x="1121"/>
        <item x="11"/>
        <item x="43"/>
        <item x="1257"/>
        <item x="278"/>
        <item x="379"/>
        <item x="1010"/>
        <item x="871"/>
        <item x="227"/>
        <item x="934"/>
        <item x="1236"/>
        <item x="1455"/>
        <item x="1103"/>
        <item x="1021"/>
        <item x="638"/>
        <item x="242"/>
        <item x="83"/>
        <item x="92"/>
        <item x="1037"/>
        <item x="1353"/>
        <item x="1331"/>
        <item x="1398"/>
        <item x="475"/>
        <item x="1167"/>
        <item x="1177"/>
        <item x="1102"/>
        <item x="646"/>
        <item x="1429"/>
        <item x="1254"/>
        <item x="754"/>
        <item x="931"/>
        <item x="116"/>
        <item x="940"/>
        <item x="1118"/>
        <item x="736"/>
        <item x="541"/>
        <item x="381"/>
        <item x="1142"/>
        <item x="294"/>
        <item x="1175"/>
        <item x="874"/>
        <item x="112"/>
        <item x="473"/>
        <item x="818"/>
        <item x="1318"/>
        <item x="184"/>
        <item x="1448"/>
        <item x="402"/>
        <item x="794"/>
        <item x="1310"/>
        <item x="583"/>
        <item x="311"/>
        <item x="148"/>
        <item x="3"/>
        <item x="376"/>
        <item x="609"/>
        <item x="1226"/>
        <item x="1325"/>
        <item x="1008"/>
        <item x="1439"/>
        <item x="544"/>
        <item x="1492"/>
        <item x="37"/>
        <item x="276"/>
        <item x="1498"/>
        <item x="693"/>
        <item x="1209"/>
        <item x="19"/>
        <item x="1031"/>
        <item x="941"/>
        <item x="784"/>
        <item x="1302"/>
        <item x="1386"/>
        <item x="1228"/>
        <item x="1401"/>
        <item x="983"/>
        <item x="846"/>
        <item x="1366"/>
        <item x="1193"/>
        <item x="1106"/>
        <item x="506"/>
        <item x="427"/>
        <item x="752"/>
        <item x="1147"/>
        <item x="830"/>
        <item x="168"/>
        <item x="1015"/>
        <item x="1305"/>
        <item x="980"/>
        <item x="615"/>
        <item x="199"/>
        <item x="618"/>
        <item x="145"/>
        <item x="305"/>
        <item x="1097"/>
        <item x="451"/>
        <item x="1426"/>
        <item x="1110"/>
        <item x="593"/>
        <item x="706"/>
        <item x="911"/>
        <item x="524"/>
        <item x="1276"/>
        <item x="1427"/>
        <item x="1169"/>
        <item x="1274"/>
        <item x="828"/>
        <item x="635"/>
        <item x="467"/>
        <item x="1372"/>
        <item x="436"/>
        <item x="1419"/>
        <item x="59"/>
        <item x="515"/>
        <item x="994"/>
        <item x="1211"/>
        <item x="1292"/>
        <item x="532"/>
        <item x="924"/>
        <item x="1468"/>
        <item x="1400"/>
        <item x="876"/>
        <item x="671"/>
        <item x="152"/>
        <item x="457"/>
        <item x="1116"/>
        <item x="30"/>
        <item x="121"/>
        <item x="650"/>
        <item x="460"/>
        <item x="926"/>
        <item x="858"/>
        <item x="395"/>
        <item x="220"/>
        <item x="341"/>
        <item x="351"/>
        <item x="170"/>
        <item x="1135"/>
        <item x="839"/>
        <item x="55"/>
        <item x="444"/>
        <item x="1478"/>
        <item x="1099"/>
        <item x="737"/>
        <item x="990"/>
        <item x="663"/>
        <item x="0"/>
        <item x="400"/>
        <item x="549"/>
        <item x="479"/>
        <item x="1115"/>
        <item x="1024"/>
        <item x="1239"/>
        <item x="1474"/>
        <item x="105"/>
        <item x="79"/>
        <item x="6"/>
        <item x="284"/>
        <item x="72"/>
        <item x="54"/>
        <item x="20"/>
        <item x="602"/>
        <item x="27"/>
        <item x="16"/>
        <item x="571"/>
        <item x="912"/>
        <item x="456"/>
        <item x="283"/>
        <item x="610"/>
        <item x="125"/>
        <item x="1079"/>
        <item x="1307"/>
        <item x="12"/>
        <item x="810"/>
        <item x="1"/>
        <item x="1213"/>
        <item x="710"/>
        <item x="71"/>
        <item x="70"/>
        <item x="1319"/>
        <item x="1425"/>
        <item x="262"/>
        <item x="608"/>
        <item x="779"/>
        <item x="482"/>
        <item x="1397"/>
        <item x="1460"/>
        <item x="651"/>
        <item x="850"/>
        <item x="1036"/>
        <item x="936"/>
        <item x="1134"/>
        <item x="369"/>
        <item x="988"/>
        <item x="285"/>
        <item x="1327"/>
        <item x="270"/>
        <item x="624"/>
        <item x="676"/>
        <item x="1120"/>
        <item x="1055"/>
        <item x="861"/>
        <item x="1326"/>
        <item x="1237"/>
        <item x="1141"/>
        <item x="895"/>
        <item x="1337"/>
        <item x="725"/>
        <item x="430"/>
        <item x="721"/>
        <item x="550"/>
        <item x="1233"/>
        <item x="258"/>
        <item x="1445"/>
        <item x="408"/>
        <item x="249"/>
        <item x="1047"/>
        <item x="913"/>
        <item x="1369"/>
        <item x="1140"/>
        <item x="1044"/>
        <item x="295"/>
        <item x="367"/>
        <item x="1200"/>
        <item x="45"/>
        <item x="491"/>
        <item x="588"/>
        <item x="1227"/>
        <item x="1377"/>
        <item x="1101"/>
        <item x="601"/>
        <item x="440"/>
        <item x="1261"/>
        <item x="981"/>
        <item x="1480"/>
        <item x="597"/>
        <item x="1370"/>
        <item x="1063"/>
        <item x="1374"/>
        <item x="1321"/>
        <item x="425"/>
        <item x="236"/>
        <item x="461"/>
        <item x="622"/>
        <item x="1338"/>
        <item x="925"/>
        <item x="669"/>
        <item x="761"/>
        <item x="1051"/>
        <item x="396"/>
        <item x="404"/>
        <item x="1388"/>
        <item x="1409"/>
        <item x="1223"/>
        <item x="496"/>
        <item x="1144"/>
        <item x="1022"/>
        <item x="1082"/>
        <item x="261"/>
        <item x="338"/>
        <item x="10"/>
        <item x="1153"/>
        <item x="533"/>
        <item x="581"/>
        <item x="102"/>
        <item x="1363"/>
        <item x="781"/>
        <item x="607"/>
        <item x="434"/>
        <item x="637"/>
        <item x="1488"/>
        <item x="406"/>
        <item x="1311"/>
        <item x="854"/>
        <item x="318"/>
        <item x="1039"/>
        <item x="1182"/>
        <item x="306"/>
        <item x="1197"/>
        <item x="1340"/>
        <item x="1354"/>
        <item x="1362"/>
        <item x="1333"/>
        <item x="1183"/>
        <item x="1198"/>
        <item x="943"/>
        <item x="891"/>
        <item x="1084"/>
        <item x="239"/>
        <item x="613"/>
        <item x="534"/>
        <item x="301"/>
        <item x="1123"/>
        <item x="1271"/>
        <item x="1284"/>
        <item x="1162"/>
        <item x="1339"/>
        <item x="1359"/>
        <item x="150"/>
        <item x="310"/>
        <item x="1070"/>
        <item x="1345"/>
        <item x="878"/>
        <item x="976"/>
        <item x="673"/>
        <item x="920"/>
        <item x="1062"/>
        <item x="1453"/>
        <item x="704"/>
        <item x="1416"/>
        <item x="776"/>
        <item x="929"/>
        <item x="247"/>
        <item x="939"/>
        <item x="864"/>
        <item x="966"/>
        <item x="470"/>
        <item x="312"/>
        <item x="386"/>
        <item x="985"/>
        <item x="1124"/>
        <item x="774"/>
        <item x="299"/>
        <item x="263"/>
        <item x="1252"/>
        <item x="1098"/>
        <item x="816"/>
        <item x="928"/>
        <item x="690"/>
        <item x="177"/>
        <item x="741"/>
        <item x="1004"/>
        <item x="1164"/>
        <item x="1224"/>
        <item x="1350"/>
        <item x="1018"/>
        <item x="979"/>
        <item x="742"/>
        <item x="1091"/>
        <item x="698"/>
        <item x="586"/>
        <item x="1188"/>
        <item x="770"/>
        <item x="699"/>
        <item x="1006"/>
        <item x="619"/>
        <item x="455"/>
        <item x="18"/>
        <item x="244"/>
        <item x="857"/>
        <item x="1497"/>
        <item x="439"/>
        <item x="1418"/>
        <item x="1246"/>
        <item x="17"/>
        <item x="616"/>
        <item x="825"/>
        <item x="1242"/>
        <item x="350"/>
        <item x="808"/>
        <item x="349"/>
        <item x="577"/>
        <item x="873"/>
        <item x="1417"/>
        <item x="1195"/>
        <item x="163"/>
        <item x="1002"/>
        <item x="974"/>
        <item x="4"/>
        <item x="887"/>
        <item x="697"/>
        <item x="176"/>
        <item x="1222"/>
        <item x="1291"/>
        <item x="1414"/>
        <item x="1210"/>
        <item x="215"/>
        <item x="1042"/>
        <item x="790"/>
        <item x="542"/>
        <item x="1187"/>
        <item x="1245"/>
        <item x="649"/>
        <item x="1430"/>
        <item x="800"/>
        <item x="1313"/>
        <item x="478"/>
        <item x="834"/>
        <item x="672"/>
        <item x="756"/>
        <item x="1263"/>
        <item x="300"/>
        <item x="275"/>
        <item x="1390"/>
        <item x="708"/>
        <item x="462"/>
        <item x="180"/>
        <item x="1064"/>
        <item x="606"/>
        <item x="885"/>
        <item x="1154"/>
        <item x="243"/>
        <item x="956"/>
        <item x="1092"/>
        <item x="932"/>
        <item x="1364"/>
        <item x="384"/>
        <item x="1234"/>
        <item x="1016"/>
        <item x="1290"/>
        <item x="1171"/>
        <item x="339"/>
        <item x="2"/>
        <item x="25"/>
        <item x="962"/>
        <item x="999"/>
        <item x="147"/>
        <item x="281"/>
        <item x="1477"/>
        <item x="1402"/>
        <item x="1328"/>
        <item x="1472"/>
        <item x="217"/>
        <item x="194"/>
        <item x="768"/>
        <item x="735"/>
        <item x="1161"/>
        <item x="265"/>
        <item x="1341"/>
        <item x="831"/>
        <item x="1080"/>
        <item x="1428"/>
        <item x="1485"/>
        <item x="1112"/>
        <item x="266"/>
        <item x="101"/>
        <item x="186"/>
        <item x="1029"/>
        <item x="151"/>
        <item x="130"/>
        <item x="416"/>
        <item x="58"/>
        <item x="277"/>
        <item x="192"/>
        <item x="136"/>
        <item x="497"/>
        <item x="1267"/>
        <item x="209"/>
        <item x="356"/>
        <item x="370"/>
        <item x="1248"/>
        <item x="490"/>
        <item x="1436"/>
        <item x="337"/>
        <item x="762"/>
        <item x="485"/>
        <item x="1085"/>
        <item x="282"/>
        <item x="1487"/>
        <item x="487"/>
        <item x="480"/>
        <item x="315"/>
        <item x="1220"/>
        <item x="393"/>
        <item x="875"/>
        <item x="314"/>
        <item x="1277"/>
        <item x="340"/>
        <item x="1382"/>
        <item x="823"/>
        <item x="488"/>
        <item x="695"/>
        <item x="1304"/>
        <item x="388"/>
        <item x="507"/>
        <item x="36"/>
        <item x="373"/>
        <item x="917"/>
        <item x="1344"/>
        <item x="746"/>
        <item x="629"/>
        <item x="949"/>
        <item x="970"/>
        <item x="1371"/>
        <item x="1088"/>
        <item x="900"/>
        <item x="954"/>
        <item x="466"/>
        <item x="197"/>
        <item x="445"/>
        <item x="389"/>
        <item x="93"/>
        <item x="84"/>
        <item x="1152"/>
        <item x="840"/>
        <item x="598"/>
        <item x="76"/>
        <item x="141"/>
        <item x="626"/>
        <item x="772"/>
        <item x="653"/>
        <item x="855"/>
        <item x="189"/>
        <item x="1476"/>
        <item x="565"/>
        <item x="740"/>
        <item x="200"/>
        <item x="1259"/>
        <item x="1253"/>
        <item x="1491"/>
        <item x="469"/>
        <item x="1013"/>
        <item x="1089"/>
        <item x="1301"/>
        <item x="465"/>
        <item x="252"/>
        <item x="1133"/>
        <item x="401"/>
        <item x="1457"/>
        <item x="63"/>
        <item x="1329"/>
        <item x="1094"/>
        <item x="1160"/>
        <item x="362"/>
        <item x="872"/>
        <item x="153"/>
        <item x="1441"/>
        <item x="1075"/>
        <item x="1191"/>
        <item x="14"/>
        <item x="39"/>
        <item x="80"/>
        <item x="280"/>
        <item x="95"/>
        <item x="489"/>
        <item x="1028"/>
        <item x="1150"/>
        <item x="675"/>
        <item x="256"/>
        <item x="139"/>
        <item x="1043"/>
        <item x="703"/>
        <item x="960"/>
        <item x="882"/>
        <item x="812"/>
        <item x="560"/>
        <item x="447"/>
        <item x="792"/>
        <item x="837"/>
        <item x="267"/>
        <item x="322"/>
        <item x="865"/>
        <item x="279"/>
        <item x="85"/>
        <item x="881"/>
        <item x="587"/>
        <item x="214"/>
        <item x="715"/>
        <item x="1009"/>
        <item x="1394"/>
        <item x="890"/>
        <item x="1046"/>
        <item x="554"/>
        <item x="658"/>
        <item x="126"/>
        <item x="1244"/>
        <item x="568"/>
        <item x="744"/>
        <item x="992"/>
        <item x="1086"/>
        <item x="448"/>
        <item x="206"/>
        <item x="692"/>
        <item x="365"/>
        <item x="1235"/>
        <item x="518"/>
        <item x="1065"/>
        <item x="418"/>
        <item x="1148"/>
        <item x="915"/>
        <item x="106"/>
        <item x="938"/>
        <item x="826"/>
        <item x="652"/>
        <item x="765"/>
        <item x="844"/>
        <item x="1132"/>
        <item x="303"/>
        <item x="955"/>
        <item x="664"/>
        <item x="47"/>
        <item x="429"/>
        <item x="987"/>
        <item x="128"/>
        <item x="849"/>
        <item x="570"/>
        <item x="196"/>
        <item x="385"/>
        <item x="1143"/>
        <item x="1125"/>
        <item x="968"/>
        <item x="1399"/>
        <item x="802"/>
        <item x="1347"/>
        <item x="1450"/>
        <item x="1303"/>
        <item x="1178"/>
        <item x="1442"/>
        <item x="791"/>
        <item x="860"/>
        <item x="760"/>
        <item x="886"/>
        <item x="1449"/>
        <item x="1467"/>
        <item x="1214"/>
        <item x="246"/>
        <item x="1204"/>
        <item x="1129"/>
        <item x="1471"/>
        <item x="681"/>
        <item x="203"/>
        <item x="1158"/>
        <item x="1423"/>
        <item x="61"/>
        <item x="682"/>
        <item x="785"/>
        <item x="502"/>
        <item x="1494"/>
        <item x="81"/>
        <item x="847"/>
        <item x="678"/>
        <item x="579"/>
        <item x="950"/>
        <item x="426"/>
        <item x="689"/>
        <item x="667"/>
        <item x="1346"/>
        <item x="548"/>
        <item x="782"/>
        <item x="904"/>
        <item x="1081"/>
        <item x="1469"/>
        <item x="853"/>
        <item x="811"/>
        <item x="452"/>
        <item x="947"/>
        <item x="789"/>
        <item x="888"/>
        <item x="103"/>
        <item x="645"/>
        <item x="1215"/>
        <item x="1466"/>
        <item x="156"/>
        <item x="146"/>
        <item x="1180"/>
        <item x="927"/>
        <item x="216"/>
        <item x="288"/>
        <item x="1279"/>
        <item x="964"/>
        <item x="1179"/>
        <item x="712"/>
        <item x="1255"/>
        <item x="1225"/>
        <item x="705"/>
        <item x="49"/>
        <item x="535"/>
        <item x="69"/>
        <item x="248"/>
        <item x="231"/>
        <item x="87"/>
        <item x="564"/>
        <item x="1069"/>
        <item x="179"/>
        <item x="1168"/>
        <item x="1342"/>
        <item x="1463"/>
        <item x="511"/>
        <item x="1361"/>
        <item x="621"/>
        <item x="1122"/>
        <item x="530"/>
        <item x="359"/>
        <item x="509"/>
        <item x="714"/>
        <item x="1107"/>
        <item x="221"/>
        <item x="842"/>
        <item x="88"/>
        <item x="709"/>
        <item x="594"/>
        <item x="273"/>
        <item x="1090"/>
        <item x="348"/>
        <item x="916"/>
        <item x="998"/>
        <item x="880"/>
        <item x="257"/>
        <item x="1048"/>
        <item x="1190"/>
        <item x="1073"/>
        <item x="453"/>
        <item x="352"/>
        <item x="374"/>
        <item x="383"/>
        <item x="213"/>
        <item x="237"/>
        <item x="494"/>
        <item x="856"/>
        <item x="922"/>
        <item x="1093"/>
        <item x="843"/>
        <item x="677"/>
        <item x="97"/>
        <item x="668"/>
        <item x="997"/>
        <item x="1189"/>
        <item x="1446"/>
        <item x="1424"/>
        <item x="783"/>
        <item x="407"/>
        <item x="272"/>
        <item x="46"/>
        <item x="543"/>
        <item x="495"/>
        <item x="188"/>
        <item x="732"/>
        <item x="580"/>
        <item x="921"/>
        <item x="166"/>
        <item x="836"/>
        <item x="639"/>
        <item x="1365"/>
        <item x="561"/>
        <item x="751"/>
        <item x="1459"/>
        <item x="1003"/>
        <item x="1045"/>
        <item x="56"/>
        <item x="1376"/>
        <item x="313"/>
        <item x="459"/>
        <item x="632"/>
        <item x="325"/>
        <item x="919"/>
        <item x="907"/>
        <item x="113"/>
        <item x="1499"/>
        <item x="993"/>
        <item x="512"/>
        <item x="503"/>
        <item x="1332"/>
        <item x="172"/>
        <item x="212"/>
        <item x="1383"/>
        <item x="589"/>
        <item x="1201"/>
        <item x="1184"/>
        <item x="468"/>
        <item x="688"/>
        <item x="978"/>
        <item x="155"/>
        <item x="889"/>
        <item x="1219"/>
        <item x="60"/>
        <item x="817"/>
        <item x="175"/>
        <item x="289"/>
        <item x="596"/>
        <item x="942"/>
        <item x="820"/>
        <item x="1404"/>
        <item x="617"/>
        <item x="1238"/>
        <item x="504"/>
        <item x="361"/>
        <item x="458"/>
        <item x="1308"/>
        <item x="1061"/>
        <item x="1012"/>
        <item x="238"/>
        <item x="422"/>
        <item x="1373"/>
        <item x="1334"/>
        <item x="421"/>
        <item x="298"/>
        <item x="133"/>
        <item x="700"/>
        <item x="763"/>
        <item x="259"/>
        <item x="1458"/>
        <item x="1312"/>
        <item x="592"/>
        <item x="1286"/>
        <item x="474"/>
        <item x="1000"/>
        <item x="1403"/>
        <item x="1475"/>
        <item x="604"/>
        <item x="1174"/>
        <item x="1358"/>
        <item x="510"/>
        <item x="1413"/>
        <item x="814"/>
        <item x="1379"/>
        <item x="202"/>
        <item x="111"/>
        <item x="1131"/>
        <item x="190"/>
        <item x="1199"/>
        <item x="569"/>
        <item x="419"/>
        <item x="654"/>
        <item x="559"/>
        <item x="1139"/>
        <item x="481"/>
        <item x="778"/>
        <item x="432"/>
        <item x="662"/>
        <item x="641"/>
        <item x="438"/>
        <item x="413"/>
        <item x="391"/>
        <item x="358"/>
        <item x="167"/>
        <item x="493"/>
        <item x="701"/>
        <item x="382"/>
        <item x="726"/>
        <item x="521"/>
        <item x="1027"/>
        <item x="819"/>
        <item x="1057"/>
        <item x="1384"/>
        <item x="1411"/>
        <item x="1217"/>
        <item x="893"/>
        <item x="1058"/>
        <item x="191"/>
        <item x="829"/>
        <item x="944"/>
        <item x="767"/>
        <item x="1298"/>
        <item x="797"/>
        <item x="64"/>
        <item x="66"/>
        <item x="394"/>
        <item x="158"/>
        <item x="686"/>
        <item x="574"/>
        <item x="75"/>
        <item x="414"/>
        <item x="335"/>
        <item x="946"/>
        <item x="514"/>
        <item x="538"/>
        <item x="1066"/>
        <item x="271"/>
        <item x="508"/>
        <item x="555"/>
        <item x="100"/>
        <item x="1109"/>
        <item x="1443"/>
        <item x="517"/>
        <item x="1421"/>
        <item x="1324"/>
        <item x="366"/>
        <item x="540"/>
        <item x="859"/>
        <item x="308"/>
        <item x="1170"/>
        <item x="48"/>
        <item x="1293"/>
        <item x="132"/>
        <item x="1155"/>
        <item x="551"/>
        <item x="1060"/>
        <item x="545"/>
        <item x="821"/>
        <item x="1493"/>
        <item x="410"/>
        <item x="982"/>
        <item x="193"/>
        <item x="1074"/>
        <item x="251"/>
        <item x="1034"/>
        <item x="149"/>
        <item x="1295"/>
        <item x="764"/>
        <item x="1273"/>
        <item x="612"/>
        <item x="204"/>
        <item x="15"/>
        <item x="1231"/>
        <item x="1456"/>
        <item x="623"/>
        <item x="611"/>
        <item x="211"/>
        <item x="1040"/>
        <item x="845"/>
        <item x="218"/>
        <item x="1077"/>
        <item x="1306"/>
        <item x="1270"/>
        <item x="96"/>
        <item x="1368"/>
        <item x="848"/>
        <item x="562"/>
        <item x="1395"/>
        <item x="1114"/>
        <item x="1232"/>
        <item x="972"/>
        <item x="977"/>
        <item x="343"/>
        <item x="687"/>
        <item x="1083"/>
        <item x="98"/>
        <item x="793"/>
        <item x="884"/>
        <item x="390"/>
        <item x="499"/>
        <item x="1243"/>
        <item x="655"/>
        <item x="1420"/>
        <item x="522"/>
        <item x="863"/>
        <item x="173"/>
        <item x="1249"/>
        <item x="806"/>
        <item x="1173"/>
        <item x="804"/>
        <item x="908"/>
        <item x="1281"/>
        <item x="1385"/>
        <item x="131"/>
        <item x="90"/>
        <item x="329"/>
        <item x="948"/>
        <item x="595"/>
        <item x="605"/>
        <item x="1166"/>
        <item x="640"/>
        <item x="648"/>
        <item x="1296"/>
        <item x="65"/>
        <item x="516"/>
        <item x="1113"/>
        <item x="801"/>
        <item x="378"/>
        <item x="1268"/>
        <item x="108"/>
        <item x="355"/>
        <item x="1038"/>
        <item x="727"/>
        <item x="368"/>
        <item x="1196"/>
        <item x="164"/>
        <item x="1165"/>
        <item x="666"/>
        <item x="877"/>
        <item x="182"/>
        <item x="183"/>
        <item x="1163"/>
        <item x="77"/>
        <item x="138"/>
        <item x="443"/>
        <item x="901"/>
        <item x="795"/>
        <item x="328"/>
        <item x="647"/>
        <item x="1205"/>
        <item x="523"/>
        <item x="656"/>
        <item x="346"/>
        <item x="219"/>
        <item x="1357"/>
        <item x="1023"/>
        <item x="195"/>
        <item x="971"/>
        <item x="832"/>
        <item x="827"/>
        <item x="309"/>
        <item x="953"/>
        <item x="327"/>
        <item x="796"/>
        <item x="50"/>
        <item x="35"/>
        <item x="326"/>
        <item x="903"/>
        <item x="250"/>
        <item x="1336"/>
        <item x="269"/>
        <item x="28"/>
        <item x="1299"/>
        <item x="207"/>
        <item x="316"/>
        <item x="99"/>
        <item x="53"/>
        <item x="29"/>
        <item x="483"/>
        <item x="1461"/>
        <item x="1096"/>
        <item x="665"/>
        <item x="567"/>
        <item x="245"/>
        <item x="1479"/>
        <item x="94"/>
        <item x="40"/>
        <item x="1156"/>
        <item x="24"/>
        <item x="883"/>
        <item x="472"/>
        <item x="1454"/>
        <item x="403"/>
        <item x="683"/>
        <item x="1026"/>
        <item x="1030"/>
        <item x="869"/>
        <item x="230"/>
        <item x="336"/>
        <item x="437"/>
        <item x="910"/>
        <item x="292"/>
        <item x="333"/>
        <item x="57"/>
        <item x="777"/>
        <item x="354"/>
        <item x="423"/>
        <item x="773"/>
        <item x="1352"/>
        <item x="1282"/>
        <item x="1323"/>
        <item x="529"/>
        <item x="1186"/>
        <item x="1335"/>
        <item x="1297"/>
        <item x="1269"/>
        <item x="1208"/>
        <item x="1059"/>
        <item x="1322"/>
        <item x="1100"/>
        <item x="1381"/>
        <item x="719"/>
        <item x="135"/>
        <item x="528"/>
        <item x="1068"/>
        <item x="967"/>
        <item x="1433"/>
        <item x="1462"/>
        <item x="1330"/>
        <item x="1484"/>
        <item x="711"/>
        <item x="1378"/>
        <item x="1434"/>
        <item x="1351"/>
        <item x="1343"/>
        <item x="1349"/>
        <item x="531"/>
        <item x="464"/>
        <item x="51"/>
        <item x="556"/>
        <item x="1111"/>
        <item x="254"/>
        <item x="991"/>
        <item x="1054"/>
        <item x="73"/>
        <item x="86"/>
        <item x="894"/>
        <item x="798"/>
        <item x="591"/>
        <item x="631"/>
        <item x="1212"/>
        <item x="1294"/>
        <item x="906"/>
        <item x="1375"/>
        <item x="1194"/>
        <item x="1017"/>
        <item x="44"/>
        <item x="8"/>
        <item x="235"/>
        <item x="505"/>
        <item x="74"/>
        <item x="1001"/>
        <item x="1465"/>
        <item x="1283"/>
        <item x="1406"/>
        <item x="1007"/>
        <item x="1464"/>
        <item x="1262"/>
        <item x="442"/>
        <item x="755"/>
        <item x="1137"/>
        <item x="1011"/>
        <item x="745"/>
        <item x="757"/>
        <item x="822"/>
        <item x="78"/>
        <item x="1389"/>
        <item t="default"/>
      </items>
    </pivotField>
    <pivotField showAll="0">
      <items count="8">
        <item x="6"/>
        <item x="2"/>
        <item x="1"/>
        <item x="3"/>
        <item x="0"/>
        <item x="4"/>
        <item x="5"/>
        <item t="default"/>
      </items>
    </pivotField>
    <pivotField showAll="0">
      <items count="7">
        <item x="2"/>
        <item x="0"/>
        <item x="3"/>
        <item x="1"/>
        <item x="4"/>
        <item x="5"/>
        <item t="default"/>
      </items>
    </pivotField>
    <pivotField numFmtId="1" showAll="0"/>
    <pivotField showAll="0"/>
    <pivotField dataField="1" showAll="0"/>
    <pivotField showAll="0"/>
    <pivotField showAll="0"/>
    <pivotField numFmtId="164" showAll="0"/>
    <pivotField showAll="0"/>
    <pivotField showAll="0">
      <items count="5">
        <item x="3"/>
        <item x="1"/>
        <item x="0"/>
        <item x="2"/>
        <item t="default"/>
      </items>
    </pivotField>
  </pivotFields>
  <rowFields count="1">
    <field x="1"/>
  </rowFields>
  <rowItems count="11">
    <i>
      <x v="103"/>
    </i>
    <i>
      <x v="565"/>
    </i>
    <i>
      <x v="598"/>
    </i>
    <i>
      <x v="632"/>
    </i>
    <i>
      <x v="637"/>
    </i>
    <i>
      <x v="884"/>
    </i>
    <i>
      <x v="901"/>
    </i>
    <i>
      <x v="1010"/>
    </i>
    <i>
      <x v="1362"/>
    </i>
    <i>
      <x v="1438"/>
    </i>
    <i t="grand">
      <x/>
    </i>
  </rowItems>
  <colItems count="1">
    <i/>
  </colItems>
  <dataFields count="1">
    <dataField name="Average of avg_session_duration_min" fld="6" subtotal="average" baseField="1" baseItem="0"/>
  </dataFields>
  <chartFormats count="1">
    <chartFormat chart="3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C79004-C651-41C3-9A23-0C712D0E07D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7:B48" firstHeaderRow="1" firstDataRow="1" firstDataCol="1"/>
  <pivotFields count="12">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axis="axisRow" showAll="0" measureFilter="1">
      <items count="1501">
        <item x="144"/>
        <item x="420"/>
        <item x="1356"/>
        <item x="1014"/>
        <item x="986"/>
        <item x="1408"/>
        <item x="659"/>
        <item x="1387"/>
        <item x="547"/>
        <item x="492"/>
        <item x="738"/>
        <item x="707"/>
        <item x="582"/>
        <item x="500"/>
        <item x="1412"/>
        <item x="157"/>
        <item x="297"/>
        <item x="989"/>
        <item x="1481"/>
        <item x="104"/>
        <item x="41"/>
        <item x="1035"/>
        <item x="1181"/>
        <item x="584"/>
        <item x="1095"/>
        <item x="813"/>
        <item x="599"/>
        <item x="1207"/>
        <item x="1367"/>
        <item x="1250"/>
        <item x="1146"/>
        <item x="1206"/>
        <item x="833"/>
        <item x="963"/>
        <item x="446"/>
        <item x="729"/>
        <item x="905"/>
        <item x="807"/>
        <item x="1260"/>
        <item x="1451"/>
        <item x="178"/>
        <item x="67"/>
        <item x="171"/>
        <item x="417"/>
        <item x="718"/>
        <item x="566"/>
        <item x="324"/>
        <item x="372"/>
        <item x="226"/>
        <item x="201"/>
        <item x="1076"/>
        <item x="722"/>
        <item x="809"/>
        <item x="380"/>
        <item x="1136"/>
        <item x="643"/>
        <item x="835"/>
        <item x="973"/>
        <item x="945"/>
        <item x="431"/>
        <item x="377"/>
        <item x="21"/>
        <item x="52"/>
        <item x="13"/>
        <item x="22"/>
        <item x="334"/>
        <item x="501"/>
        <item x="233"/>
        <item x="1241"/>
        <item x="291"/>
        <item x="234"/>
        <item x="486"/>
        <item x="321"/>
        <item x="387"/>
        <item x="1230"/>
        <item x="898"/>
        <item x="357"/>
        <item x="159"/>
        <item x="409"/>
        <item x="733"/>
        <item x="344"/>
        <item x="815"/>
        <item x="1240"/>
        <item x="1056"/>
        <item x="1087"/>
        <item x="661"/>
        <item x="520"/>
        <item x="287"/>
        <item x="23"/>
        <item x="957"/>
        <item x="866"/>
        <item x="1025"/>
        <item x="1151"/>
        <item x="411"/>
        <item x="124"/>
        <item x="734"/>
        <item x="642"/>
        <item x="724"/>
        <item x="750"/>
        <item x="120"/>
        <item x="397"/>
        <item x="9"/>
        <item x="644"/>
        <item x="129"/>
        <item x="1052"/>
        <item x="786"/>
        <item x="749"/>
        <item x="477"/>
        <item x="296"/>
        <item x="476"/>
        <item x="484"/>
        <item x="1005"/>
        <item x="232"/>
        <item x="694"/>
        <item x="1431"/>
        <item x="691"/>
        <item x="428"/>
        <item x="1288"/>
        <item x="1130"/>
        <item x="122"/>
        <item x="1145"/>
        <item x="1496"/>
        <item x="805"/>
        <item x="134"/>
        <item x="1032"/>
        <item x="684"/>
        <item x="7"/>
        <item x="1473"/>
        <item x="1440"/>
        <item x="38"/>
        <item x="142"/>
        <item x="119"/>
        <item x="274"/>
        <item x="42"/>
        <item x="743"/>
        <item x="1486"/>
        <item x="909"/>
        <item x="140"/>
        <item x="1138"/>
        <item x="1218"/>
        <item x="633"/>
        <item x="585"/>
        <item x="1049"/>
        <item x="1316"/>
        <item x="702"/>
        <item x="1300"/>
        <item x="573"/>
        <item x="620"/>
        <item x="879"/>
        <item x="1159"/>
        <item x="1019"/>
        <item x="302"/>
        <item x="185"/>
        <item x="412"/>
        <item x="625"/>
        <item x="364"/>
        <item x="162"/>
        <item x="553"/>
        <item x="552"/>
        <item x="117"/>
        <item x="1317"/>
        <item x="26"/>
        <item x="824"/>
        <item x="536"/>
        <item x="205"/>
        <item x="174"/>
        <item x="187"/>
        <item x="91"/>
        <item x="342"/>
        <item x="766"/>
        <item x="867"/>
        <item x="1490"/>
        <item x="1482"/>
        <item x="210"/>
        <item x="208"/>
        <item x="143"/>
        <item x="680"/>
        <item x="498"/>
        <item x="450"/>
        <item x="563"/>
        <item x="799"/>
        <item x="1149"/>
        <item x="1405"/>
        <item x="1053"/>
        <item x="892"/>
        <item x="984"/>
        <item x="685"/>
        <item x="558"/>
        <item x="851"/>
        <item x="304"/>
        <item x="1265"/>
        <item x="975"/>
        <item x="33"/>
        <item x="1407"/>
        <item x="1117"/>
        <item x="89"/>
        <item x="1050"/>
        <item x="731"/>
        <item x="1393"/>
        <item x="525"/>
        <item x="109"/>
        <item x="1203"/>
        <item x="353"/>
        <item x="657"/>
        <item x="1438"/>
        <item x="1275"/>
        <item x="634"/>
        <item x="1360"/>
        <item x="995"/>
        <item x="253"/>
        <item x="1447"/>
        <item x="1355"/>
        <item x="748"/>
        <item x="1272"/>
        <item x="449"/>
        <item x="614"/>
        <item x="557"/>
        <item x="576"/>
        <item x="696"/>
        <item x="513"/>
        <item x="1435"/>
        <item x="902"/>
        <item x="716"/>
        <item x="780"/>
        <item x="399"/>
        <item x="1078"/>
        <item x="1221"/>
        <item x="930"/>
        <item x="630"/>
        <item x="1452"/>
        <item x="730"/>
        <item x="923"/>
        <item x="114"/>
        <item x="758"/>
        <item x="720"/>
        <item x="463"/>
        <item x="1126"/>
        <item x="293"/>
        <item x="575"/>
        <item x="952"/>
        <item x="965"/>
        <item x="1258"/>
        <item x="424"/>
        <item x="1444"/>
        <item x="1495"/>
        <item x="1285"/>
        <item x="674"/>
        <item x="222"/>
        <item x="539"/>
        <item x="307"/>
        <item x="1415"/>
        <item x="1309"/>
        <item x="1437"/>
        <item x="1396"/>
        <item x="1483"/>
        <item x="241"/>
        <item x="1020"/>
        <item x="628"/>
        <item x="332"/>
        <item x="1071"/>
        <item x="1216"/>
        <item x="471"/>
        <item x="154"/>
        <item x="169"/>
        <item x="347"/>
        <item x="255"/>
        <item x="933"/>
        <item x="1033"/>
        <item x="107"/>
        <item x="454"/>
        <item x="753"/>
        <item x="1256"/>
        <item x="918"/>
        <item x="914"/>
        <item x="160"/>
        <item x="897"/>
        <item x="330"/>
        <item x="868"/>
        <item x="728"/>
        <item x="224"/>
        <item x="841"/>
        <item x="852"/>
        <item x="1392"/>
        <item x="331"/>
        <item x="838"/>
        <item x="769"/>
        <item x="1432"/>
        <item x="123"/>
        <item x="5"/>
        <item x="68"/>
        <item x="82"/>
        <item x="320"/>
        <item x="62"/>
        <item x="788"/>
        <item x="360"/>
        <item x="899"/>
        <item x="1422"/>
        <item x="435"/>
        <item x="161"/>
        <item x="603"/>
        <item x="181"/>
        <item x="1192"/>
        <item x="996"/>
        <item x="1391"/>
        <item x="590"/>
        <item x="228"/>
        <item x="1229"/>
        <item x="519"/>
        <item x="1185"/>
        <item x="1251"/>
        <item x="627"/>
        <item x="415"/>
        <item x="375"/>
        <item x="1127"/>
        <item x="1278"/>
        <item x="1410"/>
        <item x="405"/>
        <item x="951"/>
        <item x="969"/>
        <item x="958"/>
        <item x="1105"/>
        <item x="223"/>
        <item x="1380"/>
        <item x="319"/>
        <item x="937"/>
        <item x="723"/>
        <item x="198"/>
        <item x="1266"/>
        <item x="137"/>
        <item x="759"/>
        <item x="1314"/>
        <item x="441"/>
        <item x="670"/>
        <item x="1067"/>
        <item x="1104"/>
        <item x="739"/>
        <item x="1128"/>
        <item x="1348"/>
        <item x="345"/>
        <item x="363"/>
        <item x="1320"/>
        <item x="787"/>
        <item x="935"/>
        <item x="959"/>
        <item x="747"/>
        <item x="717"/>
        <item x="1264"/>
        <item x="1119"/>
        <item x="317"/>
        <item x="636"/>
        <item x="1157"/>
        <item x="371"/>
        <item x="896"/>
        <item x="229"/>
        <item x="1489"/>
        <item x="527"/>
        <item x="961"/>
        <item x="1202"/>
        <item x="34"/>
        <item x="1315"/>
        <item x="578"/>
        <item x="1176"/>
        <item x="870"/>
        <item x="165"/>
        <item x="110"/>
        <item x="392"/>
        <item x="771"/>
        <item x="803"/>
        <item x="775"/>
        <item x="1247"/>
        <item x="1470"/>
        <item x="1280"/>
        <item x="1172"/>
        <item x="713"/>
        <item x="115"/>
        <item x="1072"/>
        <item x="286"/>
        <item x="118"/>
        <item x="264"/>
        <item x="537"/>
        <item x="679"/>
        <item x="526"/>
        <item x="862"/>
        <item x="1108"/>
        <item x="225"/>
        <item x="32"/>
        <item x="1287"/>
        <item x="660"/>
        <item x="31"/>
        <item x="260"/>
        <item x="323"/>
        <item x="600"/>
        <item x="1041"/>
        <item x="268"/>
        <item x="127"/>
        <item x="290"/>
        <item x="240"/>
        <item x="572"/>
        <item x="398"/>
        <item x="433"/>
        <item x="1289"/>
        <item x="546"/>
        <item x="1121"/>
        <item x="11"/>
        <item x="43"/>
        <item x="1257"/>
        <item x="278"/>
        <item x="379"/>
        <item x="1010"/>
        <item x="871"/>
        <item x="227"/>
        <item x="934"/>
        <item x="1236"/>
        <item x="1455"/>
        <item x="1103"/>
        <item x="1021"/>
        <item x="638"/>
        <item x="242"/>
        <item x="83"/>
        <item x="92"/>
        <item x="1037"/>
        <item x="1353"/>
        <item x="1331"/>
        <item x="1398"/>
        <item x="475"/>
        <item x="1167"/>
        <item x="1177"/>
        <item x="1102"/>
        <item x="646"/>
        <item x="1429"/>
        <item x="1254"/>
        <item x="754"/>
        <item x="931"/>
        <item x="116"/>
        <item x="940"/>
        <item x="1118"/>
        <item x="736"/>
        <item x="541"/>
        <item x="381"/>
        <item x="1142"/>
        <item x="294"/>
        <item x="1175"/>
        <item x="874"/>
        <item x="112"/>
        <item x="473"/>
        <item x="818"/>
        <item x="1318"/>
        <item x="184"/>
        <item x="1448"/>
        <item x="402"/>
        <item x="794"/>
        <item x="1310"/>
        <item x="583"/>
        <item x="311"/>
        <item x="148"/>
        <item x="3"/>
        <item x="376"/>
        <item x="609"/>
        <item x="1226"/>
        <item x="1325"/>
        <item x="1008"/>
        <item x="1439"/>
        <item x="544"/>
        <item x="1492"/>
        <item x="37"/>
        <item x="276"/>
        <item x="1498"/>
        <item x="693"/>
        <item x="1209"/>
        <item x="19"/>
        <item x="1031"/>
        <item x="941"/>
        <item x="784"/>
        <item x="1302"/>
        <item x="1386"/>
        <item x="1228"/>
        <item x="1401"/>
        <item x="983"/>
        <item x="846"/>
        <item x="1366"/>
        <item x="1193"/>
        <item x="1106"/>
        <item x="506"/>
        <item x="427"/>
        <item x="752"/>
        <item x="1147"/>
        <item x="830"/>
        <item x="168"/>
        <item x="1015"/>
        <item x="1305"/>
        <item x="980"/>
        <item x="615"/>
        <item x="199"/>
        <item x="618"/>
        <item x="145"/>
        <item x="305"/>
        <item x="1097"/>
        <item x="451"/>
        <item x="1426"/>
        <item x="1110"/>
        <item x="593"/>
        <item x="706"/>
        <item x="911"/>
        <item x="524"/>
        <item x="1276"/>
        <item x="1427"/>
        <item x="1169"/>
        <item x="1274"/>
        <item x="828"/>
        <item x="635"/>
        <item x="467"/>
        <item x="1372"/>
        <item x="436"/>
        <item x="1419"/>
        <item x="59"/>
        <item x="515"/>
        <item x="994"/>
        <item x="1211"/>
        <item x="1292"/>
        <item x="532"/>
        <item x="924"/>
        <item x="1468"/>
        <item x="1400"/>
        <item x="876"/>
        <item x="671"/>
        <item x="152"/>
        <item x="457"/>
        <item x="1116"/>
        <item x="30"/>
        <item x="121"/>
        <item x="650"/>
        <item x="460"/>
        <item x="926"/>
        <item x="858"/>
        <item x="395"/>
        <item x="220"/>
        <item x="341"/>
        <item x="351"/>
        <item x="170"/>
        <item x="1135"/>
        <item x="839"/>
        <item x="55"/>
        <item x="444"/>
        <item x="1478"/>
        <item x="1099"/>
        <item x="737"/>
        <item x="990"/>
        <item x="663"/>
        <item x="0"/>
        <item x="400"/>
        <item x="549"/>
        <item x="479"/>
        <item x="1115"/>
        <item x="1024"/>
        <item x="1239"/>
        <item x="1474"/>
        <item x="105"/>
        <item x="79"/>
        <item x="6"/>
        <item x="284"/>
        <item x="72"/>
        <item x="54"/>
        <item x="20"/>
        <item x="602"/>
        <item x="27"/>
        <item x="16"/>
        <item x="571"/>
        <item x="912"/>
        <item x="456"/>
        <item x="283"/>
        <item x="610"/>
        <item x="125"/>
        <item x="1079"/>
        <item x="1307"/>
        <item x="12"/>
        <item x="810"/>
        <item x="1"/>
        <item x="1213"/>
        <item x="710"/>
        <item x="71"/>
        <item x="70"/>
        <item x="1319"/>
        <item x="1425"/>
        <item x="262"/>
        <item x="608"/>
        <item x="779"/>
        <item x="482"/>
        <item x="1397"/>
        <item x="1460"/>
        <item x="651"/>
        <item x="850"/>
        <item x="1036"/>
        <item x="936"/>
        <item x="1134"/>
        <item x="369"/>
        <item x="988"/>
        <item x="285"/>
        <item x="1327"/>
        <item x="270"/>
        <item x="624"/>
        <item x="676"/>
        <item x="1120"/>
        <item x="1055"/>
        <item x="861"/>
        <item x="1326"/>
        <item x="1237"/>
        <item x="1141"/>
        <item x="895"/>
        <item x="1337"/>
        <item x="725"/>
        <item x="430"/>
        <item x="721"/>
        <item x="550"/>
        <item x="1233"/>
        <item x="258"/>
        <item x="1445"/>
        <item x="408"/>
        <item x="249"/>
        <item x="1047"/>
        <item x="913"/>
        <item x="1369"/>
        <item x="1140"/>
        <item x="1044"/>
        <item x="295"/>
        <item x="367"/>
        <item x="1200"/>
        <item x="45"/>
        <item x="491"/>
        <item x="588"/>
        <item x="1227"/>
        <item x="1377"/>
        <item x="1101"/>
        <item x="601"/>
        <item x="440"/>
        <item x="1261"/>
        <item x="981"/>
        <item x="1480"/>
        <item x="597"/>
        <item x="1370"/>
        <item x="1063"/>
        <item x="1374"/>
        <item x="1321"/>
        <item x="425"/>
        <item x="236"/>
        <item x="461"/>
        <item x="622"/>
        <item x="1338"/>
        <item x="925"/>
        <item x="669"/>
        <item x="761"/>
        <item x="1051"/>
        <item x="396"/>
        <item x="404"/>
        <item x="1388"/>
        <item x="1409"/>
        <item x="1223"/>
        <item x="496"/>
        <item x="1144"/>
        <item x="1022"/>
        <item x="1082"/>
        <item x="261"/>
        <item x="338"/>
        <item x="10"/>
        <item x="1153"/>
        <item x="533"/>
        <item x="581"/>
        <item x="102"/>
        <item x="1363"/>
        <item x="781"/>
        <item x="607"/>
        <item x="434"/>
        <item x="637"/>
        <item x="1488"/>
        <item x="406"/>
        <item x="1311"/>
        <item x="854"/>
        <item x="318"/>
        <item x="1039"/>
        <item x="1182"/>
        <item x="306"/>
        <item x="1197"/>
        <item x="1340"/>
        <item x="1354"/>
        <item x="1362"/>
        <item x="1333"/>
        <item x="1183"/>
        <item x="1198"/>
        <item x="943"/>
        <item x="891"/>
        <item x="1084"/>
        <item x="239"/>
        <item x="613"/>
        <item x="534"/>
        <item x="301"/>
        <item x="1123"/>
        <item x="1271"/>
        <item x="1284"/>
        <item x="1162"/>
        <item x="1339"/>
        <item x="1359"/>
        <item x="150"/>
        <item x="310"/>
        <item x="1070"/>
        <item x="1345"/>
        <item x="878"/>
        <item x="976"/>
        <item x="673"/>
        <item x="920"/>
        <item x="1062"/>
        <item x="1453"/>
        <item x="704"/>
        <item x="1416"/>
        <item x="776"/>
        <item x="929"/>
        <item x="247"/>
        <item x="939"/>
        <item x="864"/>
        <item x="966"/>
        <item x="470"/>
        <item x="312"/>
        <item x="386"/>
        <item x="985"/>
        <item x="1124"/>
        <item x="774"/>
        <item x="299"/>
        <item x="263"/>
        <item x="1252"/>
        <item x="1098"/>
        <item x="816"/>
        <item x="928"/>
        <item x="690"/>
        <item x="177"/>
        <item x="741"/>
        <item x="1004"/>
        <item x="1164"/>
        <item x="1224"/>
        <item x="1350"/>
        <item x="1018"/>
        <item x="979"/>
        <item x="742"/>
        <item x="1091"/>
        <item x="698"/>
        <item x="586"/>
        <item x="1188"/>
        <item x="770"/>
        <item x="699"/>
        <item x="1006"/>
        <item x="619"/>
        <item x="455"/>
        <item x="18"/>
        <item x="244"/>
        <item x="857"/>
        <item x="1497"/>
        <item x="439"/>
        <item x="1418"/>
        <item x="1246"/>
        <item x="17"/>
        <item x="616"/>
        <item x="825"/>
        <item x="1242"/>
        <item x="350"/>
        <item x="808"/>
        <item x="349"/>
        <item x="577"/>
        <item x="873"/>
        <item x="1417"/>
        <item x="1195"/>
        <item x="163"/>
        <item x="1002"/>
        <item x="974"/>
        <item x="4"/>
        <item x="887"/>
        <item x="697"/>
        <item x="176"/>
        <item x="1222"/>
        <item x="1291"/>
        <item x="1414"/>
        <item x="1210"/>
        <item x="215"/>
        <item x="1042"/>
        <item x="790"/>
        <item x="542"/>
        <item x="1187"/>
        <item x="1245"/>
        <item x="649"/>
        <item x="1430"/>
        <item x="800"/>
        <item x="1313"/>
        <item x="478"/>
        <item x="834"/>
        <item x="672"/>
        <item x="756"/>
        <item x="1263"/>
        <item x="300"/>
        <item x="275"/>
        <item x="1390"/>
        <item x="708"/>
        <item x="462"/>
        <item x="180"/>
        <item x="1064"/>
        <item x="606"/>
        <item x="885"/>
        <item x="1154"/>
        <item x="243"/>
        <item x="956"/>
        <item x="1092"/>
        <item x="932"/>
        <item x="1364"/>
        <item x="384"/>
        <item x="1234"/>
        <item x="1016"/>
        <item x="1290"/>
        <item x="1171"/>
        <item x="339"/>
        <item x="2"/>
        <item x="25"/>
        <item x="962"/>
        <item x="999"/>
        <item x="147"/>
        <item x="281"/>
        <item x="1477"/>
        <item x="1402"/>
        <item x="1328"/>
        <item x="1472"/>
        <item x="217"/>
        <item x="194"/>
        <item x="768"/>
        <item x="735"/>
        <item x="1161"/>
        <item x="265"/>
        <item x="1341"/>
        <item x="831"/>
        <item x="1080"/>
        <item x="1428"/>
        <item x="1485"/>
        <item x="1112"/>
        <item x="266"/>
        <item x="101"/>
        <item x="186"/>
        <item x="1029"/>
        <item x="151"/>
        <item x="130"/>
        <item x="416"/>
        <item x="58"/>
        <item x="277"/>
        <item x="192"/>
        <item x="136"/>
        <item x="497"/>
        <item x="1267"/>
        <item x="209"/>
        <item x="356"/>
        <item x="370"/>
        <item x="1248"/>
        <item x="490"/>
        <item x="1436"/>
        <item x="337"/>
        <item x="762"/>
        <item x="485"/>
        <item x="1085"/>
        <item x="282"/>
        <item x="1487"/>
        <item x="487"/>
        <item x="480"/>
        <item x="315"/>
        <item x="1220"/>
        <item x="393"/>
        <item x="875"/>
        <item x="314"/>
        <item x="1277"/>
        <item x="340"/>
        <item x="1382"/>
        <item x="823"/>
        <item x="488"/>
        <item x="695"/>
        <item x="1304"/>
        <item x="388"/>
        <item x="507"/>
        <item x="36"/>
        <item x="373"/>
        <item x="917"/>
        <item x="1344"/>
        <item x="746"/>
        <item x="629"/>
        <item x="949"/>
        <item x="970"/>
        <item x="1371"/>
        <item x="1088"/>
        <item x="900"/>
        <item x="954"/>
        <item x="466"/>
        <item x="197"/>
        <item x="445"/>
        <item x="389"/>
        <item x="93"/>
        <item x="84"/>
        <item x="1152"/>
        <item x="840"/>
        <item x="598"/>
        <item x="76"/>
        <item x="141"/>
        <item x="626"/>
        <item x="772"/>
        <item x="653"/>
        <item x="855"/>
        <item x="189"/>
        <item x="1476"/>
        <item x="565"/>
        <item x="740"/>
        <item x="200"/>
        <item x="1259"/>
        <item x="1253"/>
        <item x="1491"/>
        <item x="469"/>
        <item x="1013"/>
        <item x="1089"/>
        <item x="1301"/>
        <item x="465"/>
        <item x="252"/>
        <item x="1133"/>
        <item x="401"/>
        <item x="1457"/>
        <item x="63"/>
        <item x="1329"/>
        <item x="1094"/>
        <item x="1160"/>
        <item x="362"/>
        <item x="872"/>
        <item x="153"/>
        <item x="1441"/>
        <item x="1075"/>
        <item x="1191"/>
        <item x="14"/>
        <item x="39"/>
        <item x="80"/>
        <item x="280"/>
        <item x="95"/>
        <item x="489"/>
        <item x="1028"/>
        <item x="1150"/>
        <item x="675"/>
        <item x="256"/>
        <item x="139"/>
        <item x="1043"/>
        <item x="703"/>
        <item x="960"/>
        <item x="882"/>
        <item x="812"/>
        <item x="560"/>
        <item x="447"/>
        <item x="792"/>
        <item x="837"/>
        <item x="267"/>
        <item x="322"/>
        <item x="865"/>
        <item x="279"/>
        <item x="85"/>
        <item x="881"/>
        <item x="587"/>
        <item x="214"/>
        <item x="715"/>
        <item x="1009"/>
        <item x="1394"/>
        <item x="890"/>
        <item x="1046"/>
        <item x="554"/>
        <item x="658"/>
        <item x="126"/>
        <item x="1244"/>
        <item x="568"/>
        <item x="744"/>
        <item x="992"/>
        <item x="1086"/>
        <item x="448"/>
        <item x="206"/>
        <item x="692"/>
        <item x="365"/>
        <item x="1235"/>
        <item x="518"/>
        <item x="1065"/>
        <item x="418"/>
        <item x="1148"/>
        <item x="915"/>
        <item x="106"/>
        <item x="938"/>
        <item x="826"/>
        <item x="652"/>
        <item x="765"/>
        <item x="844"/>
        <item x="1132"/>
        <item x="303"/>
        <item x="955"/>
        <item x="664"/>
        <item x="47"/>
        <item x="429"/>
        <item x="987"/>
        <item x="128"/>
        <item x="849"/>
        <item x="570"/>
        <item x="196"/>
        <item x="385"/>
        <item x="1143"/>
        <item x="1125"/>
        <item x="968"/>
        <item x="1399"/>
        <item x="802"/>
        <item x="1347"/>
        <item x="1450"/>
        <item x="1303"/>
        <item x="1178"/>
        <item x="1442"/>
        <item x="791"/>
        <item x="860"/>
        <item x="760"/>
        <item x="886"/>
        <item x="1449"/>
        <item x="1467"/>
        <item x="1214"/>
        <item x="246"/>
        <item x="1204"/>
        <item x="1129"/>
        <item x="1471"/>
        <item x="681"/>
        <item x="203"/>
        <item x="1158"/>
        <item x="1423"/>
        <item x="61"/>
        <item x="682"/>
        <item x="785"/>
        <item x="502"/>
        <item x="1494"/>
        <item x="81"/>
        <item x="847"/>
        <item x="678"/>
        <item x="579"/>
        <item x="950"/>
        <item x="426"/>
        <item x="689"/>
        <item x="667"/>
        <item x="1346"/>
        <item x="548"/>
        <item x="782"/>
        <item x="904"/>
        <item x="1081"/>
        <item x="1469"/>
        <item x="853"/>
        <item x="811"/>
        <item x="452"/>
        <item x="947"/>
        <item x="789"/>
        <item x="888"/>
        <item x="103"/>
        <item x="645"/>
        <item x="1215"/>
        <item x="1466"/>
        <item x="156"/>
        <item x="146"/>
        <item x="1180"/>
        <item x="927"/>
        <item x="216"/>
        <item x="288"/>
        <item x="1279"/>
        <item x="964"/>
        <item x="1179"/>
        <item x="712"/>
        <item x="1255"/>
        <item x="1225"/>
        <item x="705"/>
        <item x="49"/>
        <item x="535"/>
        <item x="69"/>
        <item x="248"/>
        <item x="231"/>
        <item x="87"/>
        <item x="564"/>
        <item x="1069"/>
        <item x="179"/>
        <item x="1168"/>
        <item x="1342"/>
        <item x="1463"/>
        <item x="511"/>
        <item x="1361"/>
        <item x="621"/>
        <item x="1122"/>
        <item x="530"/>
        <item x="359"/>
        <item x="509"/>
        <item x="714"/>
        <item x="1107"/>
        <item x="221"/>
        <item x="842"/>
        <item x="88"/>
        <item x="709"/>
        <item x="594"/>
        <item x="273"/>
        <item x="1090"/>
        <item x="348"/>
        <item x="916"/>
        <item x="998"/>
        <item x="880"/>
        <item x="257"/>
        <item x="1048"/>
        <item x="1190"/>
        <item x="1073"/>
        <item x="453"/>
        <item x="352"/>
        <item x="374"/>
        <item x="383"/>
        <item x="213"/>
        <item x="237"/>
        <item x="494"/>
        <item x="856"/>
        <item x="922"/>
        <item x="1093"/>
        <item x="843"/>
        <item x="677"/>
        <item x="97"/>
        <item x="668"/>
        <item x="997"/>
        <item x="1189"/>
        <item x="1446"/>
        <item x="1424"/>
        <item x="783"/>
        <item x="407"/>
        <item x="272"/>
        <item x="46"/>
        <item x="543"/>
        <item x="495"/>
        <item x="188"/>
        <item x="732"/>
        <item x="580"/>
        <item x="921"/>
        <item x="166"/>
        <item x="836"/>
        <item x="639"/>
        <item x="1365"/>
        <item x="561"/>
        <item x="751"/>
        <item x="1459"/>
        <item x="1003"/>
        <item x="1045"/>
        <item x="56"/>
        <item x="1376"/>
        <item x="313"/>
        <item x="459"/>
        <item x="632"/>
        <item x="325"/>
        <item x="919"/>
        <item x="907"/>
        <item x="113"/>
        <item x="1499"/>
        <item x="993"/>
        <item x="512"/>
        <item x="503"/>
        <item x="1332"/>
        <item x="172"/>
        <item x="212"/>
        <item x="1383"/>
        <item x="589"/>
        <item x="1201"/>
        <item x="1184"/>
        <item x="468"/>
        <item x="688"/>
        <item x="978"/>
        <item x="155"/>
        <item x="889"/>
        <item x="1219"/>
        <item x="60"/>
        <item x="817"/>
        <item x="175"/>
        <item x="289"/>
        <item x="596"/>
        <item x="942"/>
        <item x="820"/>
        <item x="1404"/>
        <item x="617"/>
        <item x="1238"/>
        <item x="504"/>
        <item x="361"/>
        <item x="458"/>
        <item x="1308"/>
        <item x="1061"/>
        <item x="1012"/>
        <item x="238"/>
        <item x="422"/>
        <item x="1373"/>
        <item x="1334"/>
        <item x="421"/>
        <item x="298"/>
        <item x="133"/>
        <item x="700"/>
        <item x="763"/>
        <item x="259"/>
        <item x="1458"/>
        <item x="1312"/>
        <item x="592"/>
        <item x="1286"/>
        <item x="474"/>
        <item x="1000"/>
        <item x="1403"/>
        <item x="1475"/>
        <item x="604"/>
        <item x="1174"/>
        <item x="1358"/>
        <item x="510"/>
        <item x="1413"/>
        <item x="814"/>
        <item x="1379"/>
        <item x="202"/>
        <item x="111"/>
        <item x="1131"/>
        <item x="190"/>
        <item x="1199"/>
        <item x="569"/>
        <item x="419"/>
        <item x="654"/>
        <item x="559"/>
        <item x="1139"/>
        <item x="481"/>
        <item x="778"/>
        <item x="432"/>
        <item x="662"/>
        <item x="641"/>
        <item x="438"/>
        <item x="413"/>
        <item x="391"/>
        <item x="358"/>
        <item x="167"/>
        <item x="493"/>
        <item x="701"/>
        <item x="382"/>
        <item x="726"/>
        <item x="521"/>
        <item x="1027"/>
        <item x="819"/>
        <item x="1057"/>
        <item x="1384"/>
        <item x="1411"/>
        <item x="1217"/>
        <item x="893"/>
        <item x="1058"/>
        <item x="191"/>
        <item x="829"/>
        <item x="944"/>
        <item x="767"/>
        <item x="1298"/>
        <item x="797"/>
        <item x="64"/>
        <item x="66"/>
        <item x="394"/>
        <item x="158"/>
        <item x="686"/>
        <item x="574"/>
        <item x="75"/>
        <item x="414"/>
        <item x="335"/>
        <item x="946"/>
        <item x="514"/>
        <item x="538"/>
        <item x="1066"/>
        <item x="271"/>
        <item x="508"/>
        <item x="555"/>
        <item x="100"/>
        <item x="1109"/>
        <item x="1443"/>
        <item x="517"/>
        <item x="1421"/>
        <item x="1324"/>
        <item x="366"/>
        <item x="540"/>
        <item x="859"/>
        <item x="308"/>
        <item x="1170"/>
        <item x="48"/>
        <item x="1293"/>
        <item x="132"/>
        <item x="1155"/>
        <item x="551"/>
        <item x="1060"/>
        <item x="545"/>
        <item x="821"/>
        <item x="1493"/>
        <item x="410"/>
        <item x="982"/>
        <item x="193"/>
        <item x="1074"/>
        <item x="251"/>
        <item x="1034"/>
        <item x="149"/>
        <item x="1295"/>
        <item x="764"/>
        <item x="1273"/>
        <item x="612"/>
        <item x="204"/>
        <item x="15"/>
        <item x="1231"/>
        <item x="1456"/>
        <item x="623"/>
        <item x="611"/>
        <item x="211"/>
        <item x="1040"/>
        <item x="845"/>
        <item x="218"/>
        <item x="1077"/>
        <item x="1306"/>
        <item x="1270"/>
        <item x="96"/>
        <item x="1368"/>
        <item x="848"/>
        <item x="562"/>
        <item x="1395"/>
        <item x="1114"/>
        <item x="1232"/>
        <item x="972"/>
        <item x="977"/>
        <item x="343"/>
        <item x="687"/>
        <item x="1083"/>
        <item x="98"/>
        <item x="793"/>
        <item x="884"/>
        <item x="390"/>
        <item x="499"/>
        <item x="1243"/>
        <item x="655"/>
        <item x="1420"/>
        <item x="522"/>
        <item x="863"/>
        <item x="173"/>
        <item x="1249"/>
        <item x="806"/>
        <item x="1173"/>
        <item x="804"/>
        <item x="908"/>
        <item x="1281"/>
        <item x="1385"/>
        <item x="131"/>
        <item x="90"/>
        <item x="329"/>
        <item x="948"/>
        <item x="595"/>
        <item x="605"/>
        <item x="1166"/>
        <item x="640"/>
        <item x="648"/>
        <item x="1296"/>
        <item x="65"/>
        <item x="516"/>
        <item x="1113"/>
        <item x="801"/>
        <item x="378"/>
        <item x="1268"/>
        <item x="108"/>
        <item x="355"/>
        <item x="1038"/>
        <item x="727"/>
        <item x="368"/>
        <item x="1196"/>
        <item x="164"/>
        <item x="1165"/>
        <item x="666"/>
        <item x="877"/>
        <item x="182"/>
        <item x="183"/>
        <item x="1163"/>
        <item x="77"/>
        <item x="138"/>
        <item x="443"/>
        <item x="901"/>
        <item x="795"/>
        <item x="328"/>
        <item x="647"/>
        <item x="1205"/>
        <item x="523"/>
        <item x="656"/>
        <item x="346"/>
        <item x="219"/>
        <item x="1357"/>
        <item x="1023"/>
        <item x="195"/>
        <item x="971"/>
        <item x="832"/>
        <item x="827"/>
        <item x="309"/>
        <item x="953"/>
        <item x="327"/>
        <item x="796"/>
        <item x="50"/>
        <item x="35"/>
        <item x="326"/>
        <item x="903"/>
        <item x="250"/>
        <item x="1336"/>
        <item x="269"/>
        <item x="28"/>
        <item x="1299"/>
        <item x="207"/>
        <item x="316"/>
        <item x="99"/>
        <item x="53"/>
        <item x="29"/>
        <item x="483"/>
        <item x="1461"/>
        <item x="1096"/>
        <item x="665"/>
        <item x="567"/>
        <item x="245"/>
        <item x="1479"/>
        <item x="94"/>
        <item x="40"/>
        <item x="1156"/>
        <item x="24"/>
        <item x="883"/>
        <item x="472"/>
        <item x="1454"/>
        <item x="403"/>
        <item x="683"/>
        <item x="1026"/>
        <item x="1030"/>
        <item x="869"/>
        <item x="230"/>
        <item x="336"/>
        <item x="437"/>
        <item x="910"/>
        <item x="292"/>
        <item x="333"/>
        <item x="57"/>
        <item x="777"/>
        <item x="354"/>
        <item x="423"/>
        <item x="773"/>
        <item x="1352"/>
        <item x="1282"/>
        <item x="1323"/>
        <item x="529"/>
        <item x="1186"/>
        <item x="1335"/>
        <item x="1297"/>
        <item x="1269"/>
        <item x="1208"/>
        <item x="1059"/>
        <item x="1322"/>
        <item x="1100"/>
        <item x="1381"/>
        <item x="719"/>
        <item x="135"/>
        <item x="528"/>
        <item x="1068"/>
        <item x="967"/>
        <item x="1433"/>
        <item x="1462"/>
        <item x="1330"/>
        <item x="1484"/>
        <item x="711"/>
        <item x="1378"/>
        <item x="1434"/>
        <item x="1351"/>
        <item x="1343"/>
        <item x="1349"/>
        <item x="531"/>
        <item x="464"/>
        <item x="51"/>
        <item x="556"/>
        <item x="1111"/>
        <item x="254"/>
        <item x="991"/>
        <item x="1054"/>
        <item x="73"/>
        <item x="86"/>
        <item x="894"/>
        <item x="798"/>
        <item x="591"/>
        <item x="631"/>
        <item x="1212"/>
        <item x="1294"/>
        <item x="906"/>
        <item x="1375"/>
        <item x="1194"/>
        <item x="1017"/>
        <item x="44"/>
        <item x="8"/>
        <item x="235"/>
        <item x="505"/>
        <item x="74"/>
        <item x="1001"/>
        <item x="1465"/>
        <item x="1283"/>
        <item x="1406"/>
        <item x="1007"/>
        <item x="1464"/>
        <item x="1262"/>
        <item x="442"/>
        <item x="755"/>
        <item x="1137"/>
        <item x="1011"/>
        <item x="745"/>
        <item x="757"/>
        <item x="822"/>
        <item x="78"/>
        <item x="1389"/>
        <item t="default"/>
      </items>
    </pivotField>
    <pivotField showAll="0">
      <items count="8">
        <item x="6"/>
        <item x="2"/>
        <item x="1"/>
        <item x="3"/>
        <item x="0"/>
        <item x="4"/>
        <item x="5"/>
        <item t="default"/>
      </items>
    </pivotField>
    <pivotField showAll="0">
      <items count="7">
        <item x="2"/>
        <item x="0"/>
        <item x="3"/>
        <item x="1"/>
        <item x="4"/>
        <item x="5"/>
        <item t="default"/>
      </items>
    </pivotField>
    <pivotField numFmtId="1" showAll="0"/>
    <pivotField dataField="1" showAll="0"/>
    <pivotField showAll="0"/>
    <pivotField showAll="0"/>
    <pivotField showAll="0"/>
    <pivotField numFmtId="164" showAll="0"/>
    <pivotField showAll="0"/>
    <pivotField showAll="0">
      <items count="5">
        <item x="3"/>
        <item x="1"/>
        <item x="0"/>
        <item x="2"/>
        <item t="default"/>
      </items>
    </pivotField>
  </pivotFields>
  <rowFields count="1">
    <field x="1"/>
  </rowFields>
  <rowItems count="11">
    <i>
      <x v="52"/>
    </i>
    <i>
      <x v="66"/>
    </i>
    <i>
      <x v="85"/>
    </i>
    <i>
      <x v="212"/>
    </i>
    <i>
      <x v="814"/>
    </i>
    <i>
      <x v="818"/>
    </i>
    <i>
      <x v="967"/>
    </i>
    <i>
      <x v="1099"/>
    </i>
    <i>
      <x v="1139"/>
    </i>
    <i>
      <x v="1305"/>
    </i>
    <i t="grand">
      <x/>
    </i>
  </rowItems>
  <colItems count="1">
    <i/>
  </colItems>
  <dataFields count="1">
    <dataField name="Average of bounce_rate_pct" fld="5" subtotal="average" baseField="1" baseItem="0"/>
  </dataFields>
  <chartFormats count="1">
    <chartFormat chart="2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38943A-850F-4953-A4E3-F68AFB37470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20:B31" firstHeaderRow="1" firstDataRow="1" firstDataCol="1"/>
  <pivotFields count="12">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axis="axisRow" showAll="0" measureFilter="1">
      <items count="1501">
        <item x="144"/>
        <item x="420"/>
        <item x="1356"/>
        <item x="1014"/>
        <item x="986"/>
        <item x="1408"/>
        <item x="659"/>
        <item x="1387"/>
        <item x="547"/>
        <item x="492"/>
        <item x="738"/>
        <item x="707"/>
        <item x="582"/>
        <item x="500"/>
        <item x="1412"/>
        <item x="157"/>
        <item x="297"/>
        <item x="989"/>
        <item x="1481"/>
        <item x="104"/>
        <item x="41"/>
        <item x="1035"/>
        <item x="1181"/>
        <item x="584"/>
        <item x="1095"/>
        <item x="813"/>
        <item x="599"/>
        <item x="1207"/>
        <item x="1367"/>
        <item x="1250"/>
        <item x="1146"/>
        <item x="1206"/>
        <item x="833"/>
        <item x="963"/>
        <item x="446"/>
        <item x="729"/>
        <item x="905"/>
        <item x="807"/>
        <item x="1260"/>
        <item x="1451"/>
        <item x="178"/>
        <item x="67"/>
        <item x="171"/>
        <item x="417"/>
        <item x="718"/>
        <item x="566"/>
        <item x="324"/>
        <item x="372"/>
        <item x="226"/>
        <item x="201"/>
        <item x="1076"/>
        <item x="722"/>
        <item x="809"/>
        <item x="380"/>
        <item x="1136"/>
        <item x="643"/>
        <item x="835"/>
        <item x="973"/>
        <item x="945"/>
        <item x="431"/>
        <item x="377"/>
        <item x="21"/>
        <item x="52"/>
        <item x="13"/>
        <item x="22"/>
        <item x="334"/>
        <item x="501"/>
        <item x="233"/>
        <item x="1241"/>
        <item x="291"/>
        <item x="234"/>
        <item x="486"/>
        <item x="321"/>
        <item x="387"/>
        <item x="1230"/>
        <item x="898"/>
        <item x="357"/>
        <item x="159"/>
        <item x="409"/>
        <item x="733"/>
        <item x="344"/>
        <item x="815"/>
        <item x="1240"/>
        <item x="1056"/>
        <item x="1087"/>
        <item x="661"/>
        <item x="520"/>
        <item x="287"/>
        <item x="23"/>
        <item x="957"/>
        <item x="866"/>
        <item x="1025"/>
        <item x="1151"/>
        <item x="411"/>
        <item x="124"/>
        <item x="734"/>
        <item x="642"/>
        <item x="724"/>
        <item x="750"/>
        <item x="120"/>
        <item x="397"/>
        <item x="9"/>
        <item x="644"/>
        <item x="129"/>
        <item x="1052"/>
        <item x="786"/>
        <item x="749"/>
        <item x="477"/>
        <item x="296"/>
        <item x="476"/>
        <item x="484"/>
        <item x="1005"/>
        <item x="232"/>
        <item x="694"/>
        <item x="1431"/>
        <item x="691"/>
        <item x="428"/>
        <item x="1288"/>
        <item x="1130"/>
        <item x="122"/>
        <item x="1145"/>
        <item x="1496"/>
        <item x="805"/>
        <item x="134"/>
        <item x="1032"/>
        <item x="684"/>
        <item x="7"/>
        <item x="1473"/>
        <item x="1440"/>
        <item x="38"/>
        <item x="142"/>
        <item x="119"/>
        <item x="274"/>
        <item x="42"/>
        <item x="743"/>
        <item x="1486"/>
        <item x="909"/>
        <item x="140"/>
        <item x="1138"/>
        <item x="1218"/>
        <item x="633"/>
        <item x="585"/>
        <item x="1049"/>
        <item x="1316"/>
        <item x="702"/>
        <item x="1300"/>
        <item x="573"/>
        <item x="620"/>
        <item x="879"/>
        <item x="1159"/>
        <item x="1019"/>
        <item x="302"/>
        <item x="185"/>
        <item x="412"/>
        <item x="625"/>
        <item x="364"/>
        <item x="162"/>
        <item x="553"/>
        <item x="552"/>
        <item x="117"/>
        <item x="1317"/>
        <item x="26"/>
        <item x="824"/>
        <item x="536"/>
        <item x="205"/>
        <item x="174"/>
        <item x="187"/>
        <item x="91"/>
        <item x="342"/>
        <item x="766"/>
        <item x="867"/>
        <item x="1490"/>
        <item x="1482"/>
        <item x="210"/>
        <item x="208"/>
        <item x="143"/>
        <item x="680"/>
        <item x="498"/>
        <item x="450"/>
        <item x="563"/>
        <item x="799"/>
        <item x="1149"/>
        <item x="1405"/>
        <item x="1053"/>
        <item x="892"/>
        <item x="984"/>
        <item x="685"/>
        <item x="558"/>
        <item x="851"/>
        <item x="304"/>
        <item x="1265"/>
        <item x="975"/>
        <item x="33"/>
        <item x="1407"/>
        <item x="1117"/>
        <item x="89"/>
        <item x="1050"/>
        <item x="731"/>
        <item x="1393"/>
        <item x="525"/>
        <item x="109"/>
        <item x="1203"/>
        <item x="353"/>
        <item x="657"/>
        <item x="1438"/>
        <item x="1275"/>
        <item x="634"/>
        <item x="1360"/>
        <item x="995"/>
        <item x="253"/>
        <item x="1447"/>
        <item x="1355"/>
        <item x="748"/>
        <item x="1272"/>
        <item x="449"/>
        <item x="614"/>
        <item x="557"/>
        <item x="576"/>
        <item x="696"/>
        <item x="513"/>
        <item x="1435"/>
        <item x="902"/>
        <item x="716"/>
        <item x="780"/>
        <item x="399"/>
        <item x="1078"/>
        <item x="1221"/>
        <item x="930"/>
        <item x="630"/>
        <item x="1452"/>
        <item x="730"/>
        <item x="923"/>
        <item x="114"/>
        <item x="758"/>
        <item x="720"/>
        <item x="463"/>
        <item x="1126"/>
        <item x="293"/>
        <item x="575"/>
        <item x="952"/>
        <item x="965"/>
        <item x="1258"/>
        <item x="424"/>
        <item x="1444"/>
        <item x="1495"/>
        <item x="1285"/>
        <item x="674"/>
        <item x="222"/>
        <item x="539"/>
        <item x="307"/>
        <item x="1415"/>
        <item x="1309"/>
        <item x="1437"/>
        <item x="1396"/>
        <item x="1483"/>
        <item x="241"/>
        <item x="1020"/>
        <item x="628"/>
        <item x="332"/>
        <item x="1071"/>
        <item x="1216"/>
        <item x="471"/>
        <item x="154"/>
        <item x="169"/>
        <item x="347"/>
        <item x="255"/>
        <item x="933"/>
        <item x="1033"/>
        <item x="107"/>
        <item x="454"/>
        <item x="753"/>
        <item x="1256"/>
        <item x="918"/>
        <item x="914"/>
        <item x="160"/>
        <item x="897"/>
        <item x="330"/>
        <item x="868"/>
        <item x="728"/>
        <item x="224"/>
        <item x="841"/>
        <item x="852"/>
        <item x="1392"/>
        <item x="331"/>
        <item x="838"/>
        <item x="769"/>
        <item x="1432"/>
        <item x="123"/>
        <item x="5"/>
        <item x="68"/>
        <item x="82"/>
        <item x="320"/>
        <item x="62"/>
        <item x="788"/>
        <item x="360"/>
        <item x="899"/>
        <item x="1422"/>
        <item x="435"/>
        <item x="161"/>
        <item x="603"/>
        <item x="181"/>
        <item x="1192"/>
        <item x="996"/>
        <item x="1391"/>
        <item x="590"/>
        <item x="228"/>
        <item x="1229"/>
        <item x="519"/>
        <item x="1185"/>
        <item x="1251"/>
        <item x="627"/>
        <item x="415"/>
        <item x="375"/>
        <item x="1127"/>
        <item x="1278"/>
        <item x="1410"/>
        <item x="405"/>
        <item x="951"/>
        <item x="969"/>
        <item x="958"/>
        <item x="1105"/>
        <item x="223"/>
        <item x="1380"/>
        <item x="319"/>
        <item x="937"/>
        <item x="723"/>
        <item x="198"/>
        <item x="1266"/>
        <item x="137"/>
        <item x="759"/>
        <item x="1314"/>
        <item x="441"/>
        <item x="670"/>
        <item x="1067"/>
        <item x="1104"/>
        <item x="739"/>
        <item x="1128"/>
        <item x="1348"/>
        <item x="345"/>
        <item x="363"/>
        <item x="1320"/>
        <item x="787"/>
        <item x="935"/>
        <item x="959"/>
        <item x="747"/>
        <item x="717"/>
        <item x="1264"/>
        <item x="1119"/>
        <item x="317"/>
        <item x="636"/>
        <item x="1157"/>
        <item x="371"/>
        <item x="896"/>
        <item x="229"/>
        <item x="1489"/>
        <item x="527"/>
        <item x="961"/>
        <item x="1202"/>
        <item x="34"/>
        <item x="1315"/>
        <item x="578"/>
        <item x="1176"/>
        <item x="870"/>
        <item x="165"/>
        <item x="110"/>
        <item x="392"/>
        <item x="771"/>
        <item x="803"/>
        <item x="775"/>
        <item x="1247"/>
        <item x="1470"/>
        <item x="1280"/>
        <item x="1172"/>
        <item x="713"/>
        <item x="115"/>
        <item x="1072"/>
        <item x="286"/>
        <item x="118"/>
        <item x="264"/>
        <item x="537"/>
        <item x="679"/>
        <item x="526"/>
        <item x="862"/>
        <item x="1108"/>
        <item x="225"/>
        <item x="32"/>
        <item x="1287"/>
        <item x="660"/>
        <item x="31"/>
        <item x="260"/>
        <item x="323"/>
        <item x="600"/>
        <item x="1041"/>
        <item x="268"/>
        <item x="127"/>
        <item x="290"/>
        <item x="240"/>
        <item x="572"/>
        <item x="398"/>
        <item x="433"/>
        <item x="1289"/>
        <item x="546"/>
        <item x="1121"/>
        <item x="11"/>
        <item x="43"/>
        <item x="1257"/>
        <item x="278"/>
        <item x="379"/>
        <item x="1010"/>
        <item x="871"/>
        <item x="227"/>
        <item x="934"/>
        <item x="1236"/>
        <item x="1455"/>
        <item x="1103"/>
        <item x="1021"/>
        <item x="638"/>
        <item x="242"/>
        <item x="83"/>
        <item x="92"/>
        <item x="1037"/>
        <item x="1353"/>
        <item x="1331"/>
        <item x="1398"/>
        <item x="475"/>
        <item x="1167"/>
        <item x="1177"/>
        <item x="1102"/>
        <item x="646"/>
        <item x="1429"/>
        <item x="1254"/>
        <item x="754"/>
        <item x="931"/>
        <item x="116"/>
        <item x="940"/>
        <item x="1118"/>
        <item x="736"/>
        <item x="541"/>
        <item x="381"/>
        <item x="1142"/>
        <item x="294"/>
        <item x="1175"/>
        <item x="874"/>
        <item x="112"/>
        <item x="473"/>
        <item x="818"/>
        <item x="1318"/>
        <item x="184"/>
        <item x="1448"/>
        <item x="402"/>
        <item x="794"/>
        <item x="1310"/>
        <item x="583"/>
        <item x="311"/>
        <item x="148"/>
        <item x="3"/>
        <item x="376"/>
        <item x="609"/>
        <item x="1226"/>
        <item x="1325"/>
        <item x="1008"/>
        <item x="1439"/>
        <item x="544"/>
        <item x="1492"/>
        <item x="37"/>
        <item x="276"/>
        <item x="1498"/>
        <item x="693"/>
        <item x="1209"/>
        <item x="19"/>
        <item x="1031"/>
        <item x="941"/>
        <item x="784"/>
        <item x="1302"/>
        <item x="1386"/>
        <item x="1228"/>
        <item x="1401"/>
        <item x="983"/>
        <item x="846"/>
        <item x="1366"/>
        <item x="1193"/>
        <item x="1106"/>
        <item x="506"/>
        <item x="427"/>
        <item x="752"/>
        <item x="1147"/>
        <item x="830"/>
        <item x="168"/>
        <item x="1015"/>
        <item x="1305"/>
        <item x="980"/>
        <item x="615"/>
        <item x="199"/>
        <item x="618"/>
        <item x="145"/>
        <item x="305"/>
        <item x="1097"/>
        <item x="451"/>
        <item x="1426"/>
        <item x="1110"/>
        <item x="593"/>
        <item x="706"/>
        <item x="911"/>
        <item x="524"/>
        <item x="1276"/>
        <item x="1427"/>
        <item x="1169"/>
        <item x="1274"/>
        <item x="828"/>
        <item x="635"/>
        <item x="467"/>
        <item x="1372"/>
        <item x="436"/>
        <item x="1419"/>
        <item x="59"/>
        <item x="515"/>
        <item x="994"/>
        <item x="1211"/>
        <item x="1292"/>
        <item x="532"/>
        <item x="924"/>
        <item x="1468"/>
        <item x="1400"/>
        <item x="876"/>
        <item x="671"/>
        <item x="152"/>
        <item x="457"/>
        <item x="1116"/>
        <item x="30"/>
        <item x="121"/>
        <item x="650"/>
        <item x="460"/>
        <item x="926"/>
        <item x="858"/>
        <item x="395"/>
        <item x="220"/>
        <item x="341"/>
        <item x="351"/>
        <item x="170"/>
        <item x="1135"/>
        <item x="839"/>
        <item x="55"/>
        <item x="444"/>
        <item x="1478"/>
        <item x="1099"/>
        <item x="737"/>
        <item x="990"/>
        <item x="663"/>
        <item x="0"/>
        <item x="400"/>
        <item x="549"/>
        <item x="479"/>
        <item x="1115"/>
        <item x="1024"/>
        <item x="1239"/>
        <item x="1474"/>
        <item x="105"/>
        <item x="79"/>
        <item x="6"/>
        <item x="284"/>
        <item x="72"/>
        <item x="54"/>
        <item x="20"/>
        <item x="602"/>
        <item x="27"/>
        <item x="16"/>
        <item x="571"/>
        <item x="912"/>
        <item x="456"/>
        <item x="283"/>
        <item x="610"/>
        <item x="125"/>
        <item x="1079"/>
        <item x="1307"/>
        <item x="12"/>
        <item x="810"/>
        <item x="1"/>
        <item x="1213"/>
        <item x="710"/>
        <item x="71"/>
        <item x="70"/>
        <item x="1319"/>
        <item x="1425"/>
        <item x="262"/>
        <item x="608"/>
        <item x="779"/>
        <item x="482"/>
        <item x="1397"/>
        <item x="1460"/>
        <item x="651"/>
        <item x="850"/>
        <item x="1036"/>
        <item x="936"/>
        <item x="1134"/>
        <item x="369"/>
        <item x="988"/>
        <item x="285"/>
        <item x="1327"/>
        <item x="270"/>
        <item x="624"/>
        <item x="676"/>
        <item x="1120"/>
        <item x="1055"/>
        <item x="861"/>
        <item x="1326"/>
        <item x="1237"/>
        <item x="1141"/>
        <item x="895"/>
        <item x="1337"/>
        <item x="725"/>
        <item x="430"/>
        <item x="721"/>
        <item x="550"/>
        <item x="1233"/>
        <item x="258"/>
        <item x="1445"/>
        <item x="408"/>
        <item x="249"/>
        <item x="1047"/>
        <item x="913"/>
        <item x="1369"/>
        <item x="1140"/>
        <item x="1044"/>
        <item x="295"/>
        <item x="367"/>
        <item x="1200"/>
        <item x="45"/>
        <item x="491"/>
        <item x="588"/>
        <item x="1227"/>
        <item x="1377"/>
        <item x="1101"/>
        <item x="601"/>
        <item x="440"/>
        <item x="1261"/>
        <item x="981"/>
        <item x="1480"/>
        <item x="597"/>
        <item x="1370"/>
        <item x="1063"/>
        <item x="1374"/>
        <item x="1321"/>
        <item x="425"/>
        <item x="236"/>
        <item x="461"/>
        <item x="622"/>
        <item x="1338"/>
        <item x="925"/>
        <item x="669"/>
        <item x="761"/>
        <item x="1051"/>
        <item x="396"/>
        <item x="404"/>
        <item x="1388"/>
        <item x="1409"/>
        <item x="1223"/>
        <item x="496"/>
        <item x="1144"/>
        <item x="1022"/>
        <item x="1082"/>
        <item x="261"/>
        <item x="338"/>
        <item x="10"/>
        <item x="1153"/>
        <item x="533"/>
        <item x="581"/>
        <item x="102"/>
        <item x="1363"/>
        <item x="781"/>
        <item x="607"/>
        <item x="434"/>
        <item x="637"/>
        <item x="1488"/>
        <item x="406"/>
        <item x="1311"/>
        <item x="854"/>
        <item x="318"/>
        <item x="1039"/>
        <item x="1182"/>
        <item x="306"/>
        <item x="1197"/>
        <item x="1340"/>
        <item x="1354"/>
        <item x="1362"/>
        <item x="1333"/>
        <item x="1183"/>
        <item x="1198"/>
        <item x="943"/>
        <item x="891"/>
        <item x="1084"/>
        <item x="239"/>
        <item x="613"/>
        <item x="534"/>
        <item x="301"/>
        <item x="1123"/>
        <item x="1271"/>
        <item x="1284"/>
        <item x="1162"/>
        <item x="1339"/>
        <item x="1359"/>
        <item x="150"/>
        <item x="310"/>
        <item x="1070"/>
        <item x="1345"/>
        <item x="878"/>
        <item x="976"/>
        <item x="673"/>
        <item x="920"/>
        <item x="1062"/>
        <item x="1453"/>
        <item x="704"/>
        <item x="1416"/>
        <item x="776"/>
        <item x="929"/>
        <item x="247"/>
        <item x="939"/>
        <item x="864"/>
        <item x="966"/>
        <item x="470"/>
        <item x="312"/>
        <item x="386"/>
        <item x="985"/>
        <item x="1124"/>
        <item x="774"/>
        <item x="299"/>
        <item x="263"/>
        <item x="1252"/>
        <item x="1098"/>
        <item x="816"/>
        <item x="928"/>
        <item x="690"/>
        <item x="177"/>
        <item x="741"/>
        <item x="1004"/>
        <item x="1164"/>
        <item x="1224"/>
        <item x="1350"/>
        <item x="1018"/>
        <item x="979"/>
        <item x="742"/>
        <item x="1091"/>
        <item x="698"/>
        <item x="586"/>
        <item x="1188"/>
        <item x="770"/>
        <item x="699"/>
        <item x="1006"/>
        <item x="619"/>
        <item x="455"/>
        <item x="18"/>
        <item x="244"/>
        <item x="857"/>
        <item x="1497"/>
        <item x="439"/>
        <item x="1418"/>
        <item x="1246"/>
        <item x="17"/>
        <item x="616"/>
        <item x="825"/>
        <item x="1242"/>
        <item x="350"/>
        <item x="808"/>
        <item x="349"/>
        <item x="577"/>
        <item x="873"/>
        <item x="1417"/>
        <item x="1195"/>
        <item x="163"/>
        <item x="1002"/>
        <item x="974"/>
        <item x="4"/>
        <item x="887"/>
        <item x="697"/>
        <item x="176"/>
        <item x="1222"/>
        <item x="1291"/>
        <item x="1414"/>
        <item x="1210"/>
        <item x="215"/>
        <item x="1042"/>
        <item x="790"/>
        <item x="542"/>
        <item x="1187"/>
        <item x="1245"/>
        <item x="649"/>
        <item x="1430"/>
        <item x="800"/>
        <item x="1313"/>
        <item x="478"/>
        <item x="834"/>
        <item x="672"/>
        <item x="756"/>
        <item x="1263"/>
        <item x="300"/>
        <item x="275"/>
        <item x="1390"/>
        <item x="708"/>
        <item x="462"/>
        <item x="180"/>
        <item x="1064"/>
        <item x="606"/>
        <item x="885"/>
        <item x="1154"/>
        <item x="243"/>
        <item x="956"/>
        <item x="1092"/>
        <item x="932"/>
        <item x="1364"/>
        <item x="384"/>
        <item x="1234"/>
        <item x="1016"/>
        <item x="1290"/>
        <item x="1171"/>
        <item x="339"/>
        <item x="2"/>
        <item x="25"/>
        <item x="962"/>
        <item x="999"/>
        <item x="147"/>
        <item x="281"/>
        <item x="1477"/>
        <item x="1402"/>
        <item x="1328"/>
        <item x="1472"/>
        <item x="217"/>
        <item x="194"/>
        <item x="768"/>
        <item x="735"/>
        <item x="1161"/>
        <item x="265"/>
        <item x="1341"/>
        <item x="831"/>
        <item x="1080"/>
        <item x="1428"/>
        <item x="1485"/>
        <item x="1112"/>
        <item x="266"/>
        <item x="101"/>
        <item x="186"/>
        <item x="1029"/>
        <item x="151"/>
        <item x="130"/>
        <item x="416"/>
        <item x="58"/>
        <item x="277"/>
        <item x="192"/>
        <item x="136"/>
        <item x="497"/>
        <item x="1267"/>
        <item x="209"/>
        <item x="356"/>
        <item x="370"/>
        <item x="1248"/>
        <item x="490"/>
        <item x="1436"/>
        <item x="337"/>
        <item x="762"/>
        <item x="485"/>
        <item x="1085"/>
        <item x="282"/>
        <item x="1487"/>
        <item x="487"/>
        <item x="480"/>
        <item x="315"/>
        <item x="1220"/>
        <item x="393"/>
        <item x="875"/>
        <item x="314"/>
        <item x="1277"/>
        <item x="340"/>
        <item x="1382"/>
        <item x="823"/>
        <item x="488"/>
        <item x="695"/>
        <item x="1304"/>
        <item x="388"/>
        <item x="507"/>
        <item x="36"/>
        <item x="373"/>
        <item x="917"/>
        <item x="1344"/>
        <item x="746"/>
        <item x="629"/>
        <item x="949"/>
        <item x="970"/>
        <item x="1371"/>
        <item x="1088"/>
        <item x="900"/>
        <item x="954"/>
        <item x="466"/>
        <item x="197"/>
        <item x="445"/>
        <item x="389"/>
        <item x="93"/>
        <item x="84"/>
        <item x="1152"/>
        <item x="840"/>
        <item x="598"/>
        <item x="76"/>
        <item x="141"/>
        <item x="626"/>
        <item x="772"/>
        <item x="653"/>
        <item x="855"/>
        <item x="189"/>
        <item x="1476"/>
        <item x="565"/>
        <item x="740"/>
        <item x="200"/>
        <item x="1259"/>
        <item x="1253"/>
        <item x="1491"/>
        <item x="469"/>
        <item x="1013"/>
        <item x="1089"/>
        <item x="1301"/>
        <item x="465"/>
        <item x="252"/>
        <item x="1133"/>
        <item x="401"/>
        <item x="1457"/>
        <item x="63"/>
        <item x="1329"/>
        <item x="1094"/>
        <item x="1160"/>
        <item x="362"/>
        <item x="872"/>
        <item x="153"/>
        <item x="1441"/>
        <item x="1075"/>
        <item x="1191"/>
        <item x="14"/>
        <item x="39"/>
        <item x="80"/>
        <item x="280"/>
        <item x="95"/>
        <item x="489"/>
        <item x="1028"/>
        <item x="1150"/>
        <item x="675"/>
        <item x="256"/>
        <item x="139"/>
        <item x="1043"/>
        <item x="703"/>
        <item x="960"/>
        <item x="882"/>
        <item x="812"/>
        <item x="560"/>
        <item x="447"/>
        <item x="792"/>
        <item x="837"/>
        <item x="267"/>
        <item x="322"/>
        <item x="865"/>
        <item x="279"/>
        <item x="85"/>
        <item x="881"/>
        <item x="587"/>
        <item x="214"/>
        <item x="715"/>
        <item x="1009"/>
        <item x="1394"/>
        <item x="890"/>
        <item x="1046"/>
        <item x="554"/>
        <item x="658"/>
        <item x="126"/>
        <item x="1244"/>
        <item x="568"/>
        <item x="744"/>
        <item x="992"/>
        <item x="1086"/>
        <item x="448"/>
        <item x="206"/>
        <item x="692"/>
        <item x="365"/>
        <item x="1235"/>
        <item x="518"/>
        <item x="1065"/>
        <item x="418"/>
        <item x="1148"/>
        <item x="915"/>
        <item x="106"/>
        <item x="938"/>
        <item x="826"/>
        <item x="652"/>
        <item x="765"/>
        <item x="844"/>
        <item x="1132"/>
        <item x="303"/>
        <item x="955"/>
        <item x="664"/>
        <item x="47"/>
        <item x="429"/>
        <item x="987"/>
        <item x="128"/>
        <item x="849"/>
        <item x="570"/>
        <item x="196"/>
        <item x="385"/>
        <item x="1143"/>
        <item x="1125"/>
        <item x="968"/>
        <item x="1399"/>
        <item x="802"/>
        <item x="1347"/>
        <item x="1450"/>
        <item x="1303"/>
        <item x="1178"/>
        <item x="1442"/>
        <item x="791"/>
        <item x="860"/>
        <item x="760"/>
        <item x="886"/>
        <item x="1449"/>
        <item x="1467"/>
        <item x="1214"/>
        <item x="246"/>
        <item x="1204"/>
        <item x="1129"/>
        <item x="1471"/>
        <item x="681"/>
        <item x="203"/>
        <item x="1158"/>
        <item x="1423"/>
        <item x="61"/>
        <item x="682"/>
        <item x="785"/>
        <item x="502"/>
        <item x="1494"/>
        <item x="81"/>
        <item x="847"/>
        <item x="678"/>
        <item x="579"/>
        <item x="950"/>
        <item x="426"/>
        <item x="689"/>
        <item x="667"/>
        <item x="1346"/>
        <item x="548"/>
        <item x="782"/>
        <item x="904"/>
        <item x="1081"/>
        <item x="1469"/>
        <item x="853"/>
        <item x="811"/>
        <item x="452"/>
        <item x="947"/>
        <item x="789"/>
        <item x="888"/>
        <item x="103"/>
        <item x="645"/>
        <item x="1215"/>
        <item x="1466"/>
        <item x="156"/>
        <item x="146"/>
        <item x="1180"/>
        <item x="927"/>
        <item x="216"/>
        <item x="288"/>
        <item x="1279"/>
        <item x="964"/>
        <item x="1179"/>
        <item x="712"/>
        <item x="1255"/>
        <item x="1225"/>
        <item x="705"/>
        <item x="49"/>
        <item x="535"/>
        <item x="69"/>
        <item x="248"/>
        <item x="231"/>
        <item x="87"/>
        <item x="564"/>
        <item x="1069"/>
        <item x="179"/>
        <item x="1168"/>
        <item x="1342"/>
        <item x="1463"/>
        <item x="511"/>
        <item x="1361"/>
        <item x="621"/>
        <item x="1122"/>
        <item x="530"/>
        <item x="359"/>
        <item x="509"/>
        <item x="714"/>
        <item x="1107"/>
        <item x="221"/>
        <item x="842"/>
        <item x="88"/>
        <item x="709"/>
        <item x="594"/>
        <item x="273"/>
        <item x="1090"/>
        <item x="348"/>
        <item x="916"/>
        <item x="998"/>
        <item x="880"/>
        <item x="257"/>
        <item x="1048"/>
        <item x="1190"/>
        <item x="1073"/>
        <item x="453"/>
        <item x="352"/>
        <item x="374"/>
        <item x="383"/>
        <item x="213"/>
        <item x="237"/>
        <item x="494"/>
        <item x="856"/>
        <item x="922"/>
        <item x="1093"/>
        <item x="843"/>
        <item x="677"/>
        <item x="97"/>
        <item x="668"/>
        <item x="997"/>
        <item x="1189"/>
        <item x="1446"/>
        <item x="1424"/>
        <item x="783"/>
        <item x="407"/>
        <item x="272"/>
        <item x="46"/>
        <item x="543"/>
        <item x="495"/>
        <item x="188"/>
        <item x="732"/>
        <item x="580"/>
        <item x="921"/>
        <item x="166"/>
        <item x="836"/>
        <item x="639"/>
        <item x="1365"/>
        <item x="561"/>
        <item x="751"/>
        <item x="1459"/>
        <item x="1003"/>
        <item x="1045"/>
        <item x="56"/>
        <item x="1376"/>
        <item x="313"/>
        <item x="459"/>
        <item x="632"/>
        <item x="325"/>
        <item x="919"/>
        <item x="907"/>
        <item x="113"/>
        <item x="1499"/>
        <item x="993"/>
        <item x="512"/>
        <item x="503"/>
        <item x="1332"/>
        <item x="172"/>
        <item x="212"/>
        <item x="1383"/>
        <item x="589"/>
        <item x="1201"/>
        <item x="1184"/>
        <item x="468"/>
        <item x="688"/>
        <item x="978"/>
        <item x="155"/>
        <item x="889"/>
        <item x="1219"/>
        <item x="60"/>
        <item x="817"/>
        <item x="175"/>
        <item x="289"/>
        <item x="596"/>
        <item x="942"/>
        <item x="820"/>
        <item x="1404"/>
        <item x="617"/>
        <item x="1238"/>
        <item x="504"/>
        <item x="361"/>
        <item x="458"/>
        <item x="1308"/>
        <item x="1061"/>
        <item x="1012"/>
        <item x="238"/>
        <item x="422"/>
        <item x="1373"/>
        <item x="1334"/>
        <item x="421"/>
        <item x="298"/>
        <item x="133"/>
        <item x="700"/>
        <item x="763"/>
        <item x="259"/>
        <item x="1458"/>
        <item x="1312"/>
        <item x="592"/>
        <item x="1286"/>
        <item x="474"/>
        <item x="1000"/>
        <item x="1403"/>
        <item x="1475"/>
        <item x="604"/>
        <item x="1174"/>
        <item x="1358"/>
        <item x="510"/>
        <item x="1413"/>
        <item x="814"/>
        <item x="1379"/>
        <item x="202"/>
        <item x="111"/>
        <item x="1131"/>
        <item x="190"/>
        <item x="1199"/>
        <item x="569"/>
        <item x="419"/>
        <item x="654"/>
        <item x="559"/>
        <item x="1139"/>
        <item x="481"/>
        <item x="778"/>
        <item x="432"/>
        <item x="662"/>
        <item x="641"/>
        <item x="438"/>
        <item x="413"/>
        <item x="391"/>
        <item x="358"/>
        <item x="167"/>
        <item x="493"/>
        <item x="701"/>
        <item x="382"/>
        <item x="726"/>
        <item x="521"/>
        <item x="1027"/>
        <item x="819"/>
        <item x="1057"/>
        <item x="1384"/>
        <item x="1411"/>
        <item x="1217"/>
        <item x="893"/>
        <item x="1058"/>
        <item x="191"/>
        <item x="829"/>
        <item x="944"/>
        <item x="767"/>
        <item x="1298"/>
        <item x="797"/>
        <item x="64"/>
        <item x="66"/>
        <item x="394"/>
        <item x="158"/>
        <item x="686"/>
        <item x="574"/>
        <item x="75"/>
        <item x="414"/>
        <item x="335"/>
        <item x="946"/>
        <item x="514"/>
        <item x="538"/>
        <item x="1066"/>
        <item x="271"/>
        <item x="508"/>
        <item x="555"/>
        <item x="100"/>
        <item x="1109"/>
        <item x="1443"/>
        <item x="517"/>
        <item x="1421"/>
        <item x="1324"/>
        <item x="366"/>
        <item x="540"/>
        <item x="859"/>
        <item x="308"/>
        <item x="1170"/>
        <item x="48"/>
        <item x="1293"/>
        <item x="132"/>
        <item x="1155"/>
        <item x="551"/>
        <item x="1060"/>
        <item x="545"/>
        <item x="821"/>
        <item x="1493"/>
        <item x="410"/>
        <item x="982"/>
        <item x="193"/>
        <item x="1074"/>
        <item x="251"/>
        <item x="1034"/>
        <item x="149"/>
        <item x="1295"/>
        <item x="764"/>
        <item x="1273"/>
        <item x="612"/>
        <item x="204"/>
        <item x="15"/>
        <item x="1231"/>
        <item x="1456"/>
        <item x="623"/>
        <item x="611"/>
        <item x="211"/>
        <item x="1040"/>
        <item x="845"/>
        <item x="218"/>
        <item x="1077"/>
        <item x="1306"/>
        <item x="1270"/>
        <item x="96"/>
        <item x="1368"/>
        <item x="848"/>
        <item x="562"/>
        <item x="1395"/>
        <item x="1114"/>
        <item x="1232"/>
        <item x="972"/>
        <item x="977"/>
        <item x="343"/>
        <item x="687"/>
        <item x="1083"/>
        <item x="98"/>
        <item x="793"/>
        <item x="884"/>
        <item x="390"/>
        <item x="499"/>
        <item x="1243"/>
        <item x="655"/>
        <item x="1420"/>
        <item x="522"/>
        <item x="863"/>
        <item x="173"/>
        <item x="1249"/>
        <item x="806"/>
        <item x="1173"/>
        <item x="804"/>
        <item x="908"/>
        <item x="1281"/>
        <item x="1385"/>
        <item x="131"/>
        <item x="90"/>
        <item x="329"/>
        <item x="948"/>
        <item x="595"/>
        <item x="605"/>
        <item x="1166"/>
        <item x="640"/>
        <item x="648"/>
        <item x="1296"/>
        <item x="65"/>
        <item x="516"/>
        <item x="1113"/>
        <item x="801"/>
        <item x="378"/>
        <item x="1268"/>
        <item x="108"/>
        <item x="355"/>
        <item x="1038"/>
        <item x="727"/>
        <item x="368"/>
        <item x="1196"/>
        <item x="164"/>
        <item x="1165"/>
        <item x="666"/>
        <item x="877"/>
        <item x="182"/>
        <item x="183"/>
        <item x="1163"/>
        <item x="77"/>
        <item x="138"/>
        <item x="443"/>
        <item x="901"/>
        <item x="795"/>
        <item x="328"/>
        <item x="647"/>
        <item x="1205"/>
        <item x="523"/>
        <item x="656"/>
        <item x="346"/>
        <item x="219"/>
        <item x="1357"/>
        <item x="1023"/>
        <item x="195"/>
        <item x="971"/>
        <item x="832"/>
        <item x="827"/>
        <item x="309"/>
        <item x="953"/>
        <item x="327"/>
        <item x="796"/>
        <item x="50"/>
        <item x="35"/>
        <item x="326"/>
        <item x="903"/>
        <item x="250"/>
        <item x="1336"/>
        <item x="269"/>
        <item x="28"/>
        <item x="1299"/>
        <item x="207"/>
        <item x="316"/>
        <item x="99"/>
        <item x="53"/>
        <item x="29"/>
        <item x="483"/>
        <item x="1461"/>
        <item x="1096"/>
        <item x="665"/>
        <item x="567"/>
        <item x="245"/>
        <item x="1479"/>
        <item x="94"/>
        <item x="40"/>
        <item x="1156"/>
        <item x="24"/>
        <item x="883"/>
        <item x="472"/>
        <item x="1454"/>
        <item x="403"/>
        <item x="683"/>
        <item x="1026"/>
        <item x="1030"/>
        <item x="869"/>
        <item x="230"/>
        <item x="336"/>
        <item x="437"/>
        <item x="910"/>
        <item x="292"/>
        <item x="333"/>
        <item x="57"/>
        <item x="777"/>
        <item x="354"/>
        <item x="423"/>
        <item x="773"/>
        <item x="1352"/>
        <item x="1282"/>
        <item x="1323"/>
        <item x="529"/>
        <item x="1186"/>
        <item x="1335"/>
        <item x="1297"/>
        <item x="1269"/>
        <item x="1208"/>
        <item x="1059"/>
        <item x="1322"/>
        <item x="1100"/>
        <item x="1381"/>
        <item x="719"/>
        <item x="135"/>
        <item x="528"/>
        <item x="1068"/>
        <item x="967"/>
        <item x="1433"/>
        <item x="1462"/>
        <item x="1330"/>
        <item x="1484"/>
        <item x="711"/>
        <item x="1378"/>
        <item x="1434"/>
        <item x="1351"/>
        <item x="1343"/>
        <item x="1349"/>
        <item x="531"/>
        <item x="464"/>
        <item x="51"/>
        <item x="556"/>
        <item x="1111"/>
        <item x="254"/>
        <item x="991"/>
        <item x="1054"/>
        <item x="73"/>
        <item x="86"/>
        <item x="894"/>
        <item x="798"/>
        <item x="591"/>
        <item x="631"/>
        <item x="1212"/>
        <item x="1294"/>
        <item x="906"/>
        <item x="1375"/>
        <item x="1194"/>
        <item x="1017"/>
        <item x="44"/>
        <item x="8"/>
        <item x="235"/>
        <item x="505"/>
        <item x="74"/>
        <item x="1001"/>
        <item x="1465"/>
        <item x="1283"/>
        <item x="1406"/>
        <item x="1007"/>
        <item x="1464"/>
        <item x="1262"/>
        <item x="442"/>
        <item x="755"/>
        <item x="1137"/>
        <item x="1011"/>
        <item x="745"/>
        <item x="757"/>
        <item x="822"/>
        <item x="78"/>
        <item x="1389"/>
        <item t="default"/>
      </items>
    </pivotField>
    <pivotField showAll="0">
      <items count="8">
        <item x="6"/>
        <item x="2"/>
        <item x="1"/>
        <item x="3"/>
        <item x="0"/>
        <item x="4"/>
        <item x="5"/>
        <item t="default"/>
      </items>
    </pivotField>
    <pivotField showAll="0">
      <items count="7">
        <item x="2"/>
        <item x="0"/>
        <item x="3"/>
        <item x="1"/>
        <item x="4"/>
        <item x="5"/>
        <item t="default"/>
      </items>
    </pivotField>
    <pivotField dataField="1" numFmtId="1" showAll="0"/>
    <pivotField showAll="0"/>
    <pivotField showAll="0"/>
    <pivotField showAll="0"/>
    <pivotField showAll="0"/>
    <pivotField numFmtId="164" showAll="0"/>
    <pivotField showAll="0"/>
    <pivotField showAll="0">
      <items count="5">
        <item x="3"/>
        <item x="1"/>
        <item x="0"/>
        <item x="2"/>
        <item t="default"/>
      </items>
    </pivotField>
  </pivotFields>
  <rowFields count="1">
    <field x="1"/>
  </rowFields>
  <rowItems count="11">
    <i>
      <x v="63"/>
    </i>
    <i>
      <x v="126"/>
    </i>
    <i>
      <x v="288"/>
    </i>
    <i>
      <x v="403"/>
    </i>
    <i>
      <x v="455"/>
    </i>
    <i>
      <x v="548"/>
    </i>
    <i>
      <x v="558"/>
    </i>
    <i>
      <x v="576"/>
    </i>
    <i>
      <x v="770"/>
    </i>
    <i>
      <x v="814"/>
    </i>
    <i t="grand">
      <x/>
    </i>
  </rowItems>
  <colItems count="1">
    <i/>
  </colItems>
  <dataFields count="1">
    <dataField name="Sum of monthly_visits" fld="4" baseField="0" baseItem="0" numFmtId="166"/>
  </dataFields>
  <formats count="1">
    <format dxfId="9">
      <pivotArea outline="0" collapsedLevelsAreSubtotals="1" fieldPosition="0"/>
    </format>
  </formats>
  <chartFormats count="2">
    <chartFormat chart="24"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AD1E05-23B4-4D64-B2D5-90875E721F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B12" firstHeaderRow="1" firstDataRow="1" firstDataCol="1"/>
  <pivotFields count="12">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axis="axisRow" showAll="0" measureFilter="1">
      <items count="1501">
        <item x="144"/>
        <item x="420"/>
        <item x="1356"/>
        <item x="1014"/>
        <item x="986"/>
        <item x="1408"/>
        <item x="659"/>
        <item x="1387"/>
        <item x="547"/>
        <item x="492"/>
        <item x="738"/>
        <item x="707"/>
        <item x="582"/>
        <item x="500"/>
        <item x="1412"/>
        <item x="157"/>
        <item x="297"/>
        <item x="989"/>
        <item x="1481"/>
        <item x="104"/>
        <item x="41"/>
        <item x="1035"/>
        <item x="1181"/>
        <item x="584"/>
        <item x="1095"/>
        <item x="813"/>
        <item x="599"/>
        <item x="1207"/>
        <item x="1367"/>
        <item x="1250"/>
        <item x="1146"/>
        <item x="1206"/>
        <item x="833"/>
        <item x="963"/>
        <item x="446"/>
        <item x="729"/>
        <item x="905"/>
        <item x="807"/>
        <item x="1260"/>
        <item x="1451"/>
        <item x="178"/>
        <item x="67"/>
        <item x="171"/>
        <item x="417"/>
        <item x="718"/>
        <item x="566"/>
        <item x="324"/>
        <item x="372"/>
        <item x="226"/>
        <item x="201"/>
        <item x="1076"/>
        <item x="722"/>
        <item x="809"/>
        <item x="380"/>
        <item x="1136"/>
        <item x="643"/>
        <item x="835"/>
        <item x="973"/>
        <item x="945"/>
        <item x="431"/>
        <item x="377"/>
        <item x="21"/>
        <item x="52"/>
        <item x="13"/>
        <item x="22"/>
        <item x="334"/>
        <item x="501"/>
        <item x="233"/>
        <item x="1241"/>
        <item x="291"/>
        <item x="234"/>
        <item x="486"/>
        <item x="321"/>
        <item x="387"/>
        <item x="1230"/>
        <item x="898"/>
        <item x="357"/>
        <item x="159"/>
        <item x="409"/>
        <item x="733"/>
        <item x="344"/>
        <item x="815"/>
        <item x="1240"/>
        <item x="1056"/>
        <item x="1087"/>
        <item x="661"/>
        <item x="520"/>
        <item x="287"/>
        <item x="23"/>
        <item x="957"/>
        <item x="866"/>
        <item x="1025"/>
        <item x="1151"/>
        <item x="411"/>
        <item x="124"/>
        <item x="734"/>
        <item x="642"/>
        <item x="724"/>
        <item x="750"/>
        <item x="120"/>
        <item x="397"/>
        <item x="9"/>
        <item x="644"/>
        <item x="129"/>
        <item x="1052"/>
        <item x="786"/>
        <item x="749"/>
        <item x="477"/>
        <item x="296"/>
        <item x="476"/>
        <item x="484"/>
        <item x="1005"/>
        <item x="232"/>
        <item x="694"/>
        <item x="1431"/>
        <item x="691"/>
        <item x="428"/>
        <item x="1288"/>
        <item x="1130"/>
        <item x="122"/>
        <item x="1145"/>
        <item x="1496"/>
        <item x="805"/>
        <item x="134"/>
        <item x="1032"/>
        <item x="684"/>
        <item x="7"/>
        <item x="1473"/>
        <item x="1440"/>
        <item x="38"/>
        <item x="142"/>
        <item x="119"/>
        <item x="274"/>
        <item x="42"/>
        <item x="743"/>
        <item x="1486"/>
        <item x="909"/>
        <item x="140"/>
        <item x="1138"/>
        <item x="1218"/>
        <item x="633"/>
        <item x="585"/>
        <item x="1049"/>
        <item x="1316"/>
        <item x="702"/>
        <item x="1300"/>
        <item x="573"/>
        <item x="620"/>
        <item x="879"/>
        <item x="1159"/>
        <item x="1019"/>
        <item x="302"/>
        <item x="185"/>
        <item x="412"/>
        <item x="625"/>
        <item x="364"/>
        <item x="162"/>
        <item x="553"/>
        <item x="552"/>
        <item x="117"/>
        <item x="1317"/>
        <item x="26"/>
        <item x="824"/>
        <item x="536"/>
        <item x="205"/>
        <item x="174"/>
        <item x="187"/>
        <item x="91"/>
        <item x="342"/>
        <item x="766"/>
        <item x="867"/>
        <item x="1490"/>
        <item x="1482"/>
        <item x="210"/>
        <item x="208"/>
        <item x="143"/>
        <item x="680"/>
        <item x="498"/>
        <item x="450"/>
        <item x="563"/>
        <item x="799"/>
        <item x="1149"/>
        <item x="1405"/>
        <item x="1053"/>
        <item x="892"/>
        <item x="984"/>
        <item x="685"/>
        <item x="558"/>
        <item x="851"/>
        <item x="304"/>
        <item x="1265"/>
        <item x="975"/>
        <item x="33"/>
        <item x="1407"/>
        <item x="1117"/>
        <item x="89"/>
        <item x="1050"/>
        <item x="731"/>
        <item x="1393"/>
        <item x="525"/>
        <item x="109"/>
        <item x="1203"/>
        <item x="353"/>
        <item x="657"/>
        <item x="1438"/>
        <item x="1275"/>
        <item x="634"/>
        <item x="1360"/>
        <item x="995"/>
        <item x="253"/>
        <item x="1447"/>
        <item x="1355"/>
        <item x="748"/>
        <item x="1272"/>
        <item x="449"/>
        <item x="614"/>
        <item x="557"/>
        <item x="576"/>
        <item x="696"/>
        <item x="513"/>
        <item x="1435"/>
        <item x="902"/>
        <item x="716"/>
        <item x="780"/>
        <item x="399"/>
        <item x="1078"/>
        <item x="1221"/>
        <item x="930"/>
        <item x="630"/>
        <item x="1452"/>
        <item x="730"/>
        <item x="923"/>
        <item x="114"/>
        <item x="758"/>
        <item x="720"/>
        <item x="463"/>
        <item x="1126"/>
        <item x="293"/>
        <item x="575"/>
        <item x="952"/>
        <item x="965"/>
        <item x="1258"/>
        <item x="424"/>
        <item x="1444"/>
        <item x="1495"/>
        <item x="1285"/>
        <item x="674"/>
        <item x="222"/>
        <item x="539"/>
        <item x="307"/>
        <item x="1415"/>
        <item x="1309"/>
        <item x="1437"/>
        <item x="1396"/>
        <item x="1483"/>
        <item x="241"/>
        <item x="1020"/>
        <item x="628"/>
        <item x="332"/>
        <item x="1071"/>
        <item x="1216"/>
        <item x="471"/>
        <item x="154"/>
        <item x="169"/>
        <item x="347"/>
        <item x="255"/>
        <item x="933"/>
        <item x="1033"/>
        <item x="107"/>
        <item x="454"/>
        <item x="753"/>
        <item x="1256"/>
        <item x="918"/>
        <item x="914"/>
        <item x="160"/>
        <item x="897"/>
        <item x="330"/>
        <item x="868"/>
        <item x="728"/>
        <item x="224"/>
        <item x="841"/>
        <item x="852"/>
        <item x="1392"/>
        <item x="331"/>
        <item x="838"/>
        <item x="769"/>
        <item x="1432"/>
        <item x="123"/>
        <item x="5"/>
        <item x="68"/>
        <item x="82"/>
        <item x="320"/>
        <item x="62"/>
        <item x="788"/>
        <item x="360"/>
        <item x="899"/>
        <item x="1422"/>
        <item x="435"/>
        <item x="161"/>
        <item x="603"/>
        <item x="181"/>
        <item x="1192"/>
        <item x="996"/>
        <item x="1391"/>
        <item x="590"/>
        <item x="228"/>
        <item x="1229"/>
        <item x="519"/>
        <item x="1185"/>
        <item x="1251"/>
        <item x="627"/>
        <item x="415"/>
        <item x="375"/>
        <item x="1127"/>
        <item x="1278"/>
        <item x="1410"/>
        <item x="405"/>
        <item x="951"/>
        <item x="969"/>
        <item x="958"/>
        <item x="1105"/>
        <item x="223"/>
        <item x="1380"/>
        <item x="319"/>
        <item x="937"/>
        <item x="723"/>
        <item x="198"/>
        <item x="1266"/>
        <item x="137"/>
        <item x="759"/>
        <item x="1314"/>
        <item x="441"/>
        <item x="670"/>
        <item x="1067"/>
        <item x="1104"/>
        <item x="739"/>
        <item x="1128"/>
        <item x="1348"/>
        <item x="345"/>
        <item x="363"/>
        <item x="1320"/>
        <item x="787"/>
        <item x="935"/>
        <item x="959"/>
        <item x="747"/>
        <item x="717"/>
        <item x="1264"/>
        <item x="1119"/>
        <item x="317"/>
        <item x="636"/>
        <item x="1157"/>
        <item x="371"/>
        <item x="896"/>
        <item x="229"/>
        <item x="1489"/>
        <item x="527"/>
        <item x="961"/>
        <item x="1202"/>
        <item x="34"/>
        <item x="1315"/>
        <item x="578"/>
        <item x="1176"/>
        <item x="870"/>
        <item x="165"/>
        <item x="110"/>
        <item x="392"/>
        <item x="771"/>
        <item x="803"/>
        <item x="775"/>
        <item x="1247"/>
        <item x="1470"/>
        <item x="1280"/>
        <item x="1172"/>
        <item x="713"/>
        <item x="115"/>
        <item x="1072"/>
        <item x="286"/>
        <item x="118"/>
        <item x="264"/>
        <item x="537"/>
        <item x="679"/>
        <item x="526"/>
        <item x="862"/>
        <item x="1108"/>
        <item x="225"/>
        <item x="32"/>
        <item x="1287"/>
        <item x="660"/>
        <item x="31"/>
        <item x="260"/>
        <item x="323"/>
        <item x="600"/>
        <item x="1041"/>
        <item x="268"/>
        <item x="127"/>
        <item x="290"/>
        <item x="240"/>
        <item x="572"/>
        <item x="398"/>
        <item x="433"/>
        <item x="1289"/>
        <item x="546"/>
        <item x="1121"/>
        <item x="11"/>
        <item x="43"/>
        <item x="1257"/>
        <item x="278"/>
        <item x="379"/>
        <item x="1010"/>
        <item x="871"/>
        <item x="227"/>
        <item x="934"/>
        <item x="1236"/>
        <item x="1455"/>
        <item x="1103"/>
        <item x="1021"/>
        <item x="638"/>
        <item x="242"/>
        <item x="83"/>
        <item x="92"/>
        <item x="1037"/>
        <item x="1353"/>
        <item x="1331"/>
        <item x="1398"/>
        <item x="475"/>
        <item x="1167"/>
        <item x="1177"/>
        <item x="1102"/>
        <item x="646"/>
        <item x="1429"/>
        <item x="1254"/>
        <item x="754"/>
        <item x="931"/>
        <item x="116"/>
        <item x="940"/>
        <item x="1118"/>
        <item x="736"/>
        <item x="541"/>
        <item x="381"/>
        <item x="1142"/>
        <item x="294"/>
        <item x="1175"/>
        <item x="874"/>
        <item x="112"/>
        <item x="473"/>
        <item x="818"/>
        <item x="1318"/>
        <item x="184"/>
        <item x="1448"/>
        <item x="402"/>
        <item x="794"/>
        <item x="1310"/>
        <item x="583"/>
        <item x="311"/>
        <item x="148"/>
        <item x="3"/>
        <item x="376"/>
        <item x="609"/>
        <item x="1226"/>
        <item x="1325"/>
        <item x="1008"/>
        <item x="1439"/>
        <item x="544"/>
        <item x="1492"/>
        <item x="37"/>
        <item x="276"/>
        <item x="1498"/>
        <item x="693"/>
        <item x="1209"/>
        <item x="19"/>
        <item x="1031"/>
        <item x="941"/>
        <item x="784"/>
        <item x="1302"/>
        <item x="1386"/>
        <item x="1228"/>
        <item x="1401"/>
        <item x="983"/>
        <item x="846"/>
        <item x="1366"/>
        <item x="1193"/>
        <item x="1106"/>
        <item x="506"/>
        <item x="427"/>
        <item x="752"/>
        <item x="1147"/>
        <item x="830"/>
        <item x="168"/>
        <item x="1015"/>
        <item x="1305"/>
        <item x="980"/>
        <item x="615"/>
        <item x="199"/>
        <item x="618"/>
        <item x="145"/>
        <item x="305"/>
        <item x="1097"/>
        <item x="451"/>
        <item x="1426"/>
        <item x="1110"/>
        <item x="593"/>
        <item x="706"/>
        <item x="911"/>
        <item x="524"/>
        <item x="1276"/>
        <item x="1427"/>
        <item x="1169"/>
        <item x="1274"/>
        <item x="828"/>
        <item x="635"/>
        <item x="467"/>
        <item x="1372"/>
        <item x="436"/>
        <item x="1419"/>
        <item x="59"/>
        <item x="515"/>
        <item x="994"/>
        <item x="1211"/>
        <item x="1292"/>
        <item x="532"/>
        <item x="924"/>
        <item x="1468"/>
        <item x="1400"/>
        <item x="876"/>
        <item x="671"/>
        <item x="152"/>
        <item x="457"/>
        <item x="1116"/>
        <item x="30"/>
        <item x="121"/>
        <item x="650"/>
        <item x="460"/>
        <item x="926"/>
        <item x="858"/>
        <item x="395"/>
        <item x="220"/>
        <item x="341"/>
        <item x="351"/>
        <item x="170"/>
        <item x="1135"/>
        <item x="839"/>
        <item x="55"/>
        <item x="444"/>
        <item x="1478"/>
        <item x="1099"/>
        <item x="737"/>
        <item x="990"/>
        <item x="663"/>
        <item x="0"/>
        <item x="400"/>
        <item x="549"/>
        <item x="479"/>
        <item x="1115"/>
        <item x="1024"/>
        <item x="1239"/>
        <item x="1474"/>
        <item x="105"/>
        <item x="79"/>
        <item x="6"/>
        <item x="284"/>
        <item x="72"/>
        <item x="54"/>
        <item x="20"/>
        <item x="602"/>
        <item x="27"/>
        <item x="16"/>
        <item x="571"/>
        <item x="912"/>
        <item x="456"/>
        <item x="283"/>
        <item x="610"/>
        <item x="125"/>
        <item x="1079"/>
        <item x="1307"/>
        <item x="12"/>
        <item x="810"/>
        <item x="1"/>
        <item x="1213"/>
        <item x="710"/>
        <item x="71"/>
        <item x="70"/>
        <item x="1319"/>
        <item x="1425"/>
        <item x="262"/>
        <item x="608"/>
        <item x="779"/>
        <item x="482"/>
        <item x="1397"/>
        <item x="1460"/>
        <item x="651"/>
        <item x="850"/>
        <item x="1036"/>
        <item x="936"/>
        <item x="1134"/>
        <item x="369"/>
        <item x="988"/>
        <item x="285"/>
        <item x="1327"/>
        <item x="270"/>
        <item x="624"/>
        <item x="676"/>
        <item x="1120"/>
        <item x="1055"/>
        <item x="861"/>
        <item x="1326"/>
        <item x="1237"/>
        <item x="1141"/>
        <item x="895"/>
        <item x="1337"/>
        <item x="725"/>
        <item x="430"/>
        <item x="721"/>
        <item x="550"/>
        <item x="1233"/>
        <item x="258"/>
        <item x="1445"/>
        <item x="408"/>
        <item x="249"/>
        <item x="1047"/>
        <item x="913"/>
        <item x="1369"/>
        <item x="1140"/>
        <item x="1044"/>
        <item x="295"/>
        <item x="367"/>
        <item x="1200"/>
        <item x="45"/>
        <item x="491"/>
        <item x="588"/>
        <item x="1227"/>
        <item x="1377"/>
        <item x="1101"/>
        <item x="601"/>
        <item x="440"/>
        <item x="1261"/>
        <item x="981"/>
        <item x="1480"/>
        <item x="597"/>
        <item x="1370"/>
        <item x="1063"/>
        <item x="1374"/>
        <item x="1321"/>
        <item x="425"/>
        <item x="236"/>
        <item x="461"/>
        <item x="622"/>
        <item x="1338"/>
        <item x="925"/>
        <item x="669"/>
        <item x="761"/>
        <item x="1051"/>
        <item x="396"/>
        <item x="404"/>
        <item x="1388"/>
        <item x="1409"/>
        <item x="1223"/>
        <item x="496"/>
        <item x="1144"/>
        <item x="1022"/>
        <item x="1082"/>
        <item x="261"/>
        <item x="338"/>
        <item x="10"/>
        <item x="1153"/>
        <item x="533"/>
        <item x="581"/>
        <item x="102"/>
        <item x="1363"/>
        <item x="781"/>
        <item x="607"/>
        <item x="434"/>
        <item x="637"/>
        <item x="1488"/>
        <item x="406"/>
        <item x="1311"/>
        <item x="854"/>
        <item x="318"/>
        <item x="1039"/>
        <item x="1182"/>
        <item x="306"/>
        <item x="1197"/>
        <item x="1340"/>
        <item x="1354"/>
        <item x="1362"/>
        <item x="1333"/>
        <item x="1183"/>
        <item x="1198"/>
        <item x="943"/>
        <item x="891"/>
        <item x="1084"/>
        <item x="239"/>
        <item x="613"/>
        <item x="534"/>
        <item x="301"/>
        <item x="1123"/>
        <item x="1271"/>
        <item x="1284"/>
        <item x="1162"/>
        <item x="1339"/>
        <item x="1359"/>
        <item x="150"/>
        <item x="310"/>
        <item x="1070"/>
        <item x="1345"/>
        <item x="878"/>
        <item x="976"/>
        <item x="673"/>
        <item x="920"/>
        <item x="1062"/>
        <item x="1453"/>
        <item x="704"/>
        <item x="1416"/>
        <item x="776"/>
        <item x="929"/>
        <item x="247"/>
        <item x="939"/>
        <item x="864"/>
        <item x="966"/>
        <item x="470"/>
        <item x="312"/>
        <item x="386"/>
        <item x="985"/>
        <item x="1124"/>
        <item x="774"/>
        <item x="299"/>
        <item x="263"/>
        <item x="1252"/>
        <item x="1098"/>
        <item x="816"/>
        <item x="928"/>
        <item x="690"/>
        <item x="177"/>
        <item x="741"/>
        <item x="1004"/>
        <item x="1164"/>
        <item x="1224"/>
        <item x="1350"/>
        <item x="1018"/>
        <item x="979"/>
        <item x="742"/>
        <item x="1091"/>
        <item x="698"/>
        <item x="586"/>
        <item x="1188"/>
        <item x="770"/>
        <item x="699"/>
        <item x="1006"/>
        <item x="619"/>
        <item x="455"/>
        <item x="18"/>
        <item x="244"/>
        <item x="857"/>
        <item x="1497"/>
        <item x="439"/>
        <item x="1418"/>
        <item x="1246"/>
        <item x="17"/>
        <item x="616"/>
        <item x="825"/>
        <item x="1242"/>
        <item x="350"/>
        <item x="808"/>
        <item x="349"/>
        <item x="577"/>
        <item x="873"/>
        <item x="1417"/>
        <item x="1195"/>
        <item x="163"/>
        <item x="1002"/>
        <item x="974"/>
        <item x="4"/>
        <item x="887"/>
        <item x="697"/>
        <item x="176"/>
        <item x="1222"/>
        <item x="1291"/>
        <item x="1414"/>
        <item x="1210"/>
        <item x="215"/>
        <item x="1042"/>
        <item x="790"/>
        <item x="542"/>
        <item x="1187"/>
        <item x="1245"/>
        <item x="649"/>
        <item x="1430"/>
        <item x="800"/>
        <item x="1313"/>
        <item x="478"/>
        <item x="834"/>
        <item x="672"/>
        <item x="756"/>
        <item x="1263"/>
        <item x="300"/>
        <item x="275"/>
        <item x="1390"/>
        <item x="708"/>
        <item x="462"/>
        <item x="180"/>
        <item x="1064"/>
        <item x="606"/>
        <item x="885"/>
        <item x="1154"/>
        <item x="243"/>
        <item x="956"/>
        <item x="1092"/>
        <item x="932"/>
        <item x="1364"/>
        <item x="384"/>
        <item x="1234"/>
        <item x="1016"/>
        <item x="1290"/>
        <item x="1171"/>
        <item x="339"/>
        <item x="2"/>
        <item x="25"/>
        <item x="962"/>
        <item x="999"/>
        <item x="147"/>
        <item x="281"/>
        <item x="1477"/>
        <item x="1402"/>
        <item x="1328"/>
        <item x="1472"/>
        <item x="217"/>
        <item x="194"/>
        <item x="768"/>
        <item x="735"/>
        <item x="1161"/>
        <item x="265"/>
        <item x="1341"/>
        <item x="831"/>
        <item x="1080"/>
        <item x="1428"/>
        <item x="1485"/>
        <item x="1112"/>
        <item x="266"/>
        <item x="101"/>
        <item x="186"/>
        <item x="1029"/>
        <item x="151"/>
        <item x="130"/>
        <item x="416"/>
        <item x="58"/>
        <item x="277"/>
        <item x="192"/>
        <item x="136"/>
        <item x="497"/>
        <item x="1267"/>
        <item x="209"/>
        <item x="356"/>
        <item x="370"/>
        <item x="1248"/>
        <item x="490"/>
        <item x="1436"/>
        <item x="337"/>
        <item x="762"/>
        <item x="485"/>
        <item x="1085"/>
        <item x="282"/>
        <item x="1487"/>
        <item x="487"/>
        <item x="480"/>
        <item x="315"/>
        <item x="1220"/>
        <item x="393"/>
        <item x="875"/>
        <item x="314"/>
        <item x="1277"/>
        <item x="340"/>
        <item x="1382"/>
        <item x="823"/>
        <item x="488"/>
        <item x="695"/>
        <item x="1304"/>
        <item x="388"/>
        <item x="507"/>
        <item x="36"/>
        <item x="373"/>
        <item x="917"/>
        <item x="1344"/>
        <item x="746"/>
        <item x="629"/>
        <item x="949"/>
        <item x="970"/>
        <item x="1371"/>
        <item x="1088"/>
        <item x="900"/>
        <item x="954"/>
        <item x="466"/>
        <item x="197"/>
        <item x="445"/>
        <item x="389"/>
        <item x="93"/>
        <item x="84"/>
        <item x="1152"/>
        <item x="840"/>
        <item x="598"/>
        <item x="76"/>
        <item x="141"/>
        <item x="626"/>
        <item x="772"/>
        <item x="653"/>
        <item x="855"/>
        <item x="189"/>
        <item x="1476"/>
        <item x="565"/>
        <item x="740"/>
        <item x="200"/>
        <item x="1259"/>
        <item x="1253"/>
        <item x="1491"/>
        <item x="469"/>
        <item x="1013"/>
        <item x="1089"/>
        <item x="1301"/>
        <item x="465"/>
        <item x="252"/>
        <item x="1133"/>
        <item x="401"/>
        <item x="1457"/>
        <item x="63"/>
        <item x="1329"/>
        <item x="1094"/>
        <item x="1160"/>
        <item x="362"/>
        <item x="872"/>
        <item x="153"/>
        <item x="1441"/>
        <item x="1075"/>
        <item x="1191"/>
        <item x="14"/>
        <item x="39"/>
        <item x="80"/>
        <item x="280"/>
        <item x="95"/>
        <item x="489"/>
        <item x="1028"/>
        <item x="1150"/>
        <item x="675"/>
        <item x="256"/>
        <item x="139"/>
        <item x="1043"/>
        <item x="703"/>
        <item x="960"/>
        <item x="882"/>
        <item x="812"/>
        <item x="560"/>
        <item x="447"/>
        <item x="792"/>
        <item x="837"/>
        <item x="267"/>
        <item x="322"/>
        <item x="865"/>
        <item x="279"/>
        <item x="85"/>
        <item x="881"/>
        <item x="587"/>
        <item x="214"/>
        <item x="715"/>
        <item x="1009"/>
        <item x="1394"/>
        <item x="890"/>
        <item x="1046"/>
        <item x="554"/>
        <item x="658"/>
        <item x="126"/>
        <item x="1244"/>
        <item x="568"/>
        <item x="744"/>
        <item x="992"/>
        <item x="1086"/>
        <item x="448"/>
        <item x="206"/>
        <item x="692"/>
        <item x="365"/>
        <item x="1235"/>
        <item x="518"/>
        <item x="1065"/>
        <item x="418"/>
        <item x="1148"/>
        <item x="915"/>
        <item x="106"/>
        <item x="938"/>
        <item x="826"/>
        <item x="652"/>
        <item x="765"/>
        <item x="844"/>
        <item x="1132"/>
        <item x="303"/>
        <item x="955"/>
        <item x="664"/>
        <item x="47"/>
        <item x="429"/>
        <item x="987"/>
        <item x="128"/>
        <item x="849"/>
        <item x="570"/>
        <item x="196"/>
        <item x="385"/>
        <item x="1143"/>
        <item x="1125"/>
        <item x="968"/>
        <item x="1399"/>
        <item x="802"/>
        <item x="1347"/>
        <item x="1450"/>
        <item x="1303"/>
        <item x="1178"/>
        <item x="1442"/>
        <item x="791"/>
        <item x="860"/>
        <item x="760"/>
        <item x="886"/>
        <item x="1449"/>
        <item x="1467"/>
        <item x="1214"/>
        <item x="246"/>
        <item x="1204"/>
        <item x="1129"/>
        <item x="1471"/>
        <item x="681"/>
        <item x="203"/>
        <item x="1158"/>
        <item x="1423"/>
        <item x="61"/>
        <item x="682"/>
        <item x="785"/>
        <item x="502"/>
        <item x="1494"/>
        <item x="81"/>
        <item x="847"/>
        <item x="678"/>
        <item x="579"/>
        <item x="950"/>
        <item x="426"/>
        <item x="689"/>
        <item x="667"/>
        <item x="1346"/>
        <item x="548"/>
        <item x="782"/>
        <item x="904"/>
        <item x="1081"/>
        <item x="1469"/>
        <item x="853"/>
        <item x="811"/>
        <item x="452"/>
        <item x="947"/>
        <item x="789"/>
        <item x="888"/>
        <item x="103"/>
        <item x="645"/>
        <item x="1215"/>
        <item x="1466"/>
        <item x="156"/>
        <item x="146"/>
        <item x="1180"/>
        <item x="927"/>
        <item x="216"/>
        <item x="288"/>
        <item x="1279"/>
        <item x="964"/>
        <item x="1179"/>
        <item x="712"/>
        <item x="1255"/>
        <item x="1225"/>
        <item x="705"/>
        <item x="49"/>
        <item x="535"/>
        <item x="69"/>
        <item x="248"/>
        <item x="231"/>
        <item x="87"/>
        <item x="564"/>
        <item x="1069"/>
        <item x="179"/>
        <item x="1168"/>
        <item x="1342"/>
        <item x="1463"/>
        <item x="511"/>
        <item x="1361"/>
        <item x="621"/>
        <item x="1122"/>
        <item x="530"/>
        <item x="359"/>
        <item x="509"/>
        <item x="714"/>
        <item x="1107"/>
        <item x="221"/>
        <item x="842"/>
        <item x="88"/>
        <item x="709"/>
        <item x="594"/>
        <item x="273"/>
        <item x="1090"/>
        <item x="348"/>
        <item x="916"/>
        <item x="998"/>
        <item x="880"/>
        <item x="257"/>
        <item x="1048"/>
        <item x="1190"/>
        <item x="1073"/>
        <item x="453"/>
        <item x="352"/>
        <item x="374"/>
        <item x="383"/>
        <item x="213"/>
        <item x="237"/>
        <item x="494"/>
        <item x="856"/>
        <item x="922"/>
        <item x="1093"/>
        <item x="843"/>
        <item x="677"/>
        <item x="97"/>
        <item x="668"/>
        <item x="997"/>
        <item x="1189"/>
        <item x="1446"/>
        <item x="1424"/>
        <item x="783"/>
        <item x="407"/>
        <item x="272"/>
        <item x="46"/>
        <item x="543"/>
        <item x="495"/>
        <item x="188"/>
        <item x="732"/>
        <item x="580"/>
        <item x="921"/>
        <item x="166"/>
        <item x="836"/>
        <item x="639"/>
        <item x="1365"/>
        <item x="561"/>
        <item x="751"/>
        <item x="1459"/>
        <item x="1003"/>
        <item x="1045"/>
        <item x="56"/>
        <item x="1376"/>
        <item x="313"/>
        <item x="459"/>
        <item x="632"/>
        <item x="325"/>
        <item x="919"/>
        <item x="907"/>
        <item x="113"/>
        <item x="1499"/>
        <item x="993"/>
        <item x="512"/>
        <item x="503"/>
        <item x="1332"/>
        <item x="172"/>
        <item x="212"/>
        <item x="1383"/>
        <item x="589"/>
        <item x="1201"/>
        <item x="1184"/>
        <item x="468"/>
        <item x="688"/>
        <item x="978"/>
        <item x="155"/>
        <item x="889"/>
        <item x="1219"/>
        <item x="60"/>
        <item x="817"/>
        <item x="175"/>
        <item x="289"/>
        <item x="596"/>
        <item x="942"/>
        <item x="820"/>
        <item x="1404"/>
        <item x="617"/>
        <item x="1238"/>
        <item x="504"/>
        <item x="361"/>
        <item x="458"/>
        <item x="1308"/>
        <item x="1061"/>
        <item x="1012"/>
        <item x="238"/>
        <item x="422"/>
        <item x="1373"/>
        <item x="1334"/>
        <item x="421"/>
        <item x="298"/>
        <item x="133"/>
        <item x="700"/>
        <item x="763"/>
        <item x="259"/>
        <item x="1458"/>
        <item x="1312"/>
        <item x="592"/>
        <item x="1286"/>
        <item x="474"/>
        <item x="1000"/>
        <item x="1403"/>
        <item x="1475"/>
        <item x="604"/>
        <item x="1174"/>
        <item x="1358"/>
        <item x="510"/>
        <item x="1413"/>
        <item x="814"/>
        <item x="1379"/>
        <item x="202"/>
        <item x="111"/>
        <item x="1131"/>
        <item x="190"/>
        <item x="1199"/>
        <item x="569"/>
        <item x="419"/>
        <item x="654"/>
        <item x="559"/>
        <item x="1139"/>
        <item x="481"/>
        <item x="778"/>
        <item x="432"/>
        <item x="662"/>
        <item x="641"/>
        <item x="438"/>
        <item x="413"/>
        <item x="391"/>
        <item x="358"/>
        <item x="167"/>
        <item x="493"/>
        <item x="701"/>
        <item x="382"/>
        <item x="726"/>
        <item x="521"/>
        <item x="1027"/>
        <item x="819"/>
        <item x="1057"/>
        <item x="1384"/>
        <item x="1411"/>
        <item x="1217"/>
        <item x="893"/>
        <item x="1058"/>
        <item x="191"/>
        <item x="829"/>
        <item x="944"/>
        <item x="767"/>
        <item x="1298"/>
        <item x="797"/>
        <item x="64"/>
        <item x="66"/>
        <item x="394"/>
        <item x="158"/>
        <item x="686"/>
        <item x="574"/>
        <item x="75"/>
        <item x="414"/>
        <item x="335"/>
        <item x="946"/>
        <item x="514"/>
        <item x="538"/>
        <item x="1066"/>
        <item x="271"/>
        <item x="508"/>
        <item x="555"/>
        <item x="100"/>
        <item x="1109"/>
        <item x="1443"/>
        <item x="517"/>
        <item x="1421"/>
        <item x="1324"/>
        <item x="366"/>
        <item x="540"/>
        <item x="859"/>
        <item x="308"/>
        <item x="1170"/>
        <item x="48"/>
        <item x="1293"/>
        <item x="132"/>
        <item x="1155"/>
        <item x="551"/>
        <item x="1060"/>
        <item x="545"/>
        <item x="821"/>
        <item x="1493"/>
        <item x="410"/>
        <item x="982"/>
        <item x="193"/>
        <item x="1074"/>
        <item x="251"/>
        <item x="1034"/>
        <item x="149"/>
        <item x="1295"/>
        <item x="764"/>
        <item x="1273"/>
        <item x="612"/>
        <item x="204"/>
        <item x="15"/>
        <item x="1231"/>
        <item x="1456"/>
        <item x="623"/>
        <item x="611"/>
        <item x="211"/>
        <item x="1040"/>
        <item x="845"/>
        <item x="218"/>
        <item x="1077"/>
        <item x="1306"/>
        <item x="1270"/>
        <item x="96"/>
        <item x="1368"/>
        <item x="848"/>
        <item x="562"/>
        <item x="1395"/>
        <item x="1114"/>
        <item x="1232"/>
        <item x="972"/>
        <item x="977"/>
        <item x="343"/>
        <item x="687"/>
        <item x="1083"/>
        <item x="98"/>
        <item x="793"/>
        <item x="884"/>
        <item x="390"/>
        <item x="499"/>
        <item x="1243"/>
        <item x="655"/>
        <item x="1420"/>
        <item x="522"/>
        <item x="863"/>
        <item x="173"/>
        <item x="1249"/>
        <item x="806"/>
        <item x="1173"/>
        <item x="804"/>
        <item x="908"/>
        <item x="1281"/>
        <item x="1385"/>
        <item x="131"/>
        <item x="90"/>
        <item x="329"/>
        <item x="948"/>
        <item x="595"/>
        <item x="605"/>
        <item x="1166"/>
        <item x="640"/>
        <item x="648"/>
        <item x="1296"/>
        <item x="65"/>
        <item x="516"/>
        <item x="1113"/>
        <item x="801"/>
        <item x="378"/>
        <item x="1268"/>
        <item x="108"/>
        <item x="355"/>
        <item x="1038"/>
        <item x="727"/>
        <item x="368"/>
        <item x="1196"/>
        <item x="164"/>
        <item x="1165"/>
        <item x="666"/>
        <item x="877"/>
        <item x="182"/>
        <item x="183"/>
        <item x="1163"/>
        <item x="77"/>
        <item x="138"/>
        <item x="443"/>
        <item x="901"/>
        <item x="795"/>
        <item x="328"/>
        <item x="647"/>
        <item x="1205"/>
        <item x="523"/>
        <item x="656"/>
        <item x="346"/>
        <item x="219"/>
        <item x="1357"/>
        <item x="1023"/>
        <item x="195"/>
        <item x="971"/>
        <item x="832"/>
        <item x="827"/>
        <item x="309"/>
        <item x="953"/>
        <item x="327"/>
        <item x="796"/>
        <item x="50"/>
        <item x="35"/>
        <item x="326"/>
        <item x="903"/>
        <item x="250"/>
        <item x="1336"/>
        <item x="269"/>
        <item x="28"/>
        <item x="1299"/>
        <item x="207"/>
        <item x="316"/>
        <item x="99"/>
        <item x="53"/>
        <item x="29"/>
        <item x="483"/>
        <item x="1461"/>
        <item x="1096"/>
        <item x="665"/>
        <item x="567"/>
        <item x="245"/>
        <item x="1479"/>
        <item x="94"/>
        <item x="40"/>
        <item x="1156"/>
        <item x="24"/>
        <item x="883"/>
        <item x="472"/>
        <item x="1454"/>
        <item x="403"/>
        <item x="683"/>
        <item x="1026"/>
        <item x="1030"/>
        <item x="869"/>
        <item x="230"/>
        <item x="336"/>
        <item x="437"/>
        <item x="910"/>
        <item x="292"/>
        <item x="333"/>
        <item x="57"/>
        <item x="777"/>
        <item x="354"/>
        <item x="423"/>
        <item x="773"/>
        <item x="1352"/>
        <item x="1282"/>
        <item x="1323"/>
        <item x="529"/>
        <item x="1186"/>
        <item x="1335"/>
        <item x="1297"/>
        <item x="1269"/>
        <item x="1208"/>
        <item x="1059"/>
        <item x="1322"/>
        <item x="1100"/>
        <item x="1381"/>
        <item x="719"/>
        <item x="135"/>
        <item x="528"/>
        <item x="1068"/>
        <item x="967"/>
        <item x="1433"/>
        <item x="1462"/>
        <item x="1330"/>
        <item x="1484"/>
        <item x="711"/>
        <item x="1378"/>
        <item x="1434"/>
        <item x="1351"/>
        <item x="1343"/>
        <item x="1349"/>
        <item x="531"/>
        <item x="464"/>
        <item x="51"/>
        <item x="556"/>
        <item x="1111"/>
        <item x="254"/>
        <item x="991"/>
        <item x="1054"/>
        <item x="73"/>
        <item x="86"/>
        <item x="894"/>
        <item x="798"/>
        <item x="591"/>
        <item x="631"/>
        <item x="1212"/>
        <item x="1294"/>
        <item x="906"/>
        <item x="1375"/>
        <item x="1194"/>
        <item x="1017"/>
        <item x="44"/>
        <item x="8"/>
        <item x="235"/>
        <item x="505"/>
        <item x="74"/>
        <item x="1001"/>
        <item x="1465"/>
        <item x="1283"/>
        <item x="1406"/>
        <item x="1007"/>
        <item x="1464"/>
        <item x="1262"/>
        <item x="442"/>
        <item x="755"/>
        <item x="1137"/>
        <item x="1011"/>
        <item x="745"/>
        <item x="757"/>
        <item x="822"/>
        <item x="78"/>
        <item x="1389"/>
        <item t="default"/>
      </items>
    </pivotField>
    <pivotField showAll="0">
      <items count="8">
        <item x="6"/>
        <item x="2"/>
        <item x="1"/>
        <item x="3"/>
        <item x="0"/>
        <item x="4"/>
        <item x="5"/>
        <item t="default"/>
      </items>
    </pivotField>
    <pivotField showAll="0">
      <items count="7">
        <item x="2"/>
        <item x="0"/>
        <item x="3"/>
        <item x="1"/>
        <item x="4"/>
        <item x="5"/>
        <item t="default"/>
      </items>
    </pivotField>
    <pivotField numFmtId="1" showAll="0"/>
    <pivotField showAll="0"/>
    <pivotField showAll="0"/>
    <pivotField showAll="0"/>
    <pivotField showAll="0"/>
    <pivotField numFmtId="164" showAll="0"/>
    <pivotField showAll="0"/>
    <pivotField showAll="0">
      <items count="5">
        <item x="3"/>
        <item x="1"/>
        <item x="0"/>
        <item x="2"/>
        <item t="default"/>
      </items>
    </pivotField>
  </pivotFields>
  <rowFields count="1">
    <field x="1"/>
  </rowFields>
  <rowItems count="11">
    <i>
      <x v="121"/>
    </i>
    <i>
      <x v="171"/>
    </i>
    <i>
      <x v="244"/>
    </i>
    <i>
      <x v="463"/>
    </i>
    <i>
      <x v="466"/>
    </i>
    <i>
      <x v="752"/>
    </i>
    <i>
      <x v="911"/>
    </i>
    <i>
      <x v="1029"/>
    </i>
    <i>
      <x v="1149"/>
    </i>
    <i>
      <x v="1281"/>
    </i>
    <i t="grand">
      <x/>
    </i>
  </rowItems>
  <colItems count="1">
    <i/>
  </colItems>
  <dataFields count="1">
    <dataField name="Min of global_rank" fld="0" subtotal="min" baseField="1" baseItem="0"/>
  </dataFields>
  <chartFormats count="1">
    <chartFormat chart="2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5FB8F9-82C3-4A65-BAA0-C5E264921DD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M40:N51" firstHeaderRow="1" firstDataRow="1" firstDataCol="1"/>
  <pivotFields count="12">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axis="axisRow" showAll="0" measureFilter="1">
      <items count="1501">
        <item x="144"/>
        <item x="420"/>
        <item x="1356"/>
        <item x="1014"/>
        <item x="986"/>
        <item x="1408"/>
        <item x="659"/>
        <item x="1387"/>
        <item x="547"/>
        <item x="492"/>
        <item x="738"/>
        <item x="707"/>
        <item x="582"/>
        <item x="500"/>
        <item x="1412"/>
        <item x="157"/>
        <item x="297"/>
        <item x="989"/>
        <item x="1481"/>
        <item x="104"/>
        <item x="41"/>
        <item x="1035"/>
        <item x="1181"/>
        <item x="584"/>
        <item x="1095"/>
        <item x="813"/>
        <item x="599"/>
        <item x="1207"/>
        <item x="1367"/>
        <item x="1250"/>
        <item x="1146"/>
        <item x="1206"/>
        <item x="833"/>
        <item x="963"/>
        <item x="446"/>
        <item x="729"/>
        <item x="905"/>
        <item x="807"/>
        <item x="1260"/>
        <item x="1451"/>
        <item x="178"/>
        <item x="67"/>
        <item x="171"/>
        <item x="417"/>
        <item x="718"/>
        <item x="566"/>
        <item x="324"/>
        <item x="372"/>
        <item x="226"/>
        <item x="201"/>
        <item x="1076"/>
        <item x="722"/>
        <item x="809"/>
        <item x="380"/>
        <item x="1136"/>
        <item x="643"/>
        <item x="835"/>
        <item x="973"/>
        <item x="945"/>
        <item x="431"/>
        <item x="377"/>
        <item x="21"/>
        <item x="52"/>
        <item x="13"/>
        <item x="22"/>
        <item x="334"/>
        <item x="501"/>
        <item x="233"/>
        <item x="1241"/>
        <item x="291"/>
        <item x="234"/>
        <item x="486"/>
        <item x="321"/>
        <item x="387"/>
        <item x="1230"/>
        <item x="898"/>
        <item x="357"/>
        <item x="159"/>
        <item x="409"/>
        <item x="733"/>
        <item x="344"/>
        <item x="815"/>
        <item x="1240"/>
        <item x="1056"/>
        <item x="1087"/>
        <item x="661"/>
        <item x="520"/>
        <item x="287"/>
        <item x="23"/>
        <item x="957"/>
        <item x="866"/>
        <item x="1025"/>
        <item x="1151"/>
        <item x="411"/>
        <item x="124"/>
        <item x="734"/>
        <item x="642"/>
        <item x="724"/>
        <item x="750"/>
        <item x="120"/>
        <item x="397"/>
        <item x="9"/>
        <item x="644"/>
        <item x="129"/>
        <item x="1052"/>
        <item x="786"/>
        <item x="749"/>
        <item x="477"/>
        <item x="296"/>
        <item x="476"/>
        <item x="484"/>
        <item x="1005"/>
        <item x="232"/>
        <item x="694"/>
        <item x="1431"/>
        <item x="691"/>
        <item x="428"/>
        <item x="1288"/>
        <item x="1130"/>
        <item x="122"/>
        <item x="1145"/>
        <item x="1496"/>
        <item x="805"/>
        <item x="134"/>
        <item x="1032"/>
        <item x="684"/>
        <item x="7"/>
        <item x="1473"/>
        <item x="1440"/>
        <item x="38"/>
        <item x="142"/>
        <item x="119"/>
        <item x="274"/>
        <item x="42"/>
        <item x="743"/>
        <item x="1486"/>
        <item x="909"/>
        <item x="140"/>
        <item x="1138"/>
        <item x="1218"/>
        <item x="633"/>
        <item x="585"/>
        <item x="1049"/>
        <item x="1316"/>
        <item x="702"/>
        <item x="1300"/>
        <item x="573"/>
        <item x="620"/>
        <item x="879"/>
        <item x="1159"/>
        <item x="1019"/>
        <item x="302"/>
        <item x="185"/>
        <item x="412"/>
        <item x="625"/>
        <item x="364"/>
        <item x="162"/>
        <item x="553"/>
        <item x="552"/>
        <item x="117"/>
        <item x="1317"/>
        <item x="26"/>
        <item x="824"/>
        <item x="536"/>
        <item x="205"/>
        <item x="174"/>
        <item x="187"/>
        <item x="91"/>
        <item x="342"/>
        <item x="766"/>
        <item x="867"/>
        <item x="1490"/>
        <item x="1482"/>
        <item x="210"/>
        <item x="208"/>
        <item x="143"/>
        <item x="680"/>
        <item x="498"/>
        <item x="450"/>
        <item x="563"/>
        <item x="799"/>
        <item x="1149"/>
        <item x="1405"/>
        <item x="1053"/>
        <item x="892"/>
        <item x="984"/>
        <item x="685"/>
        <item x="558"/>
        <item x="851"/>
        <item x="304"/>
        <item x="1265"/>
        <item x="975"/>
        <item x="33"/>
        <item x="1407"/>
        <item x="1117"/>
        <item x="89"/>
        <item x="1050"/>
        <item x="731"/>
        <item x="1393"/>
        <item x="525"/>
        <item x="109"/>
        <item x="1203"/>
        <item x="353"/>
        <item x="657"/>
        <item x="1438"/>
        <item x="1275"/>
        <item x="634"/>
        <item x="1360"/>
        <item x="995"/>
        <item x="253"/>
        <item x="1447"/>
        <item x="1355"/>
        <item x="748"/>
        <item x="1272"/>
        <item x="449"/>
        <item x="614"/>
        <item x="557"/>
        <item x="576"/>
        <item x="696"/>
        <item x="513"/>
        <item x="1435"/>
        <item x="902"/>
        <item x="716"/>
        <item x="780"/>
        <item x="399"/>
        <item x="1078"/>
        <item x="1221"/>
        <item x="930"/>
        <item x="630"/>
        <item x="1452"/>
        <item x="730"/>
        <item x="923"/>
        <item x="114"/>
        <item x="758"/>
        <item x="720"/>
        <item x="463"/>
        <item x="1126"/>
        <item x="293"/>
        <item x="575"/>
        <item x="952"/>
        <item x="965"/>
        <item x="1258"/>
        <item x="424"/>
        <item x="1444"/>
        <item x="1495"/>
        <item x="1285"/>
        <item x="674"/>
        <item x="222"/>
        <item x="539"/>
        <item x="307"/>
        <item x="1415"/>
        <item x="1309"/>
        <item x="1437"/>
        <item x="1396"/>
        <item x="1483"/>
        <item x="241"/>
        <item x="1020"/>
        <item x="628"/>
        <item x="332"/>
        <item x="1071"/>
        <item x="1216"/>
        <item x="471"/>
        <item x="154"/>
        <item x="169"/>
        <item x="347"/>
        <item x="255"/>
        <item x="933"/>
        <item x="1033"/>
        <item x="107"/>
        <item x="454"/>
        <item x="753"/>
        <item x="1256"/>
        <item x="918"/>
        <item x="914"/>
        <item x="160"/>
        <item x="897"/>
        <item x="330"/>
        <item x="868"/>
        <item x="728"/>
        <item x="224"/>
        <item x="841"/>
        <item x="852"/>
        <item x="1392"/>
        <item x="331"/>
        <item x="838"/>
        <item x="769"/>
        <item x="1432"/>
        <item x="123"/>
        <item x="5"/>
        <item x="68"/>
        <item x="82"/>
        <item x="320"/>
        <item x="62"/>
        <item x="788"/>
        <item x="360"/>
        <item x="899"/>
        <item x="1422"/>
        <item x="435"/>
        <item x="161"/>
        <item x="603"/>
        <item x="181"/>
        <item x="1192"/>
        <item x="996"/>
        <item x="1391"/>
        <item x="590"/>
        <item x="228"/>
        <item x="1229"/>
        <item x="519"/>
        <item x="1185"/>
        <item x="1251"/>
        <item x="627"/>
        <item x="415"/>
        <item x="375"/>
        <item x="1127"/>
        <item x="1278"/>
        <item x="1410"/>
        <item x="405"/>
        <item x="951"/>
        <item x="969"/>
        <item x="958"/>
        <item x="1105"/>
        <item x="223"/>
        <item x="1380"/>
        <item x="319"/>
        <item x="937"/>
        <item x="723"/>
        <item x="198"/>
        <item x="1266"/>
        <item x="137"/>
        <item x="759"/>
        <item x="1314"/>
        <item x="441"/>
        <item x="670"/>
        <item x="1067"/>
        <item x="1104"/>
        <item x="739"/>
        <item x="1128"/>
        <item x="1348"/>
        <item x="345"/>
        <item x="363"/>
        <item x="1320"/>
        <item x="787"/>
        <item x="935"/>
        <item x="959"/>
        <item x="747"/>
        <item x="717"/>
        <item x="1264"/>
        <item x="1119"/>
        <item x="317"/>
        <item x="636"/>
        <item x="1157"/>
        <item x="371"/>
        <item x="896"/>
        <item x="229"/>
        <item x="1489"/>
        <item x="527"/>
        <item x="961"/>
        <item x="1202"/>
        <item x="34"/>
        <item x="1315"/>
        <item x="578"/>
        <item x="1176"/>
        <item x="870"/>
        <item x="165"/>
        <item x="110"/>
        <item x="392"/>
        <item x="771"/>
        <item x="803"/>
        <item x="775"/>
        <item x="1247"/>
        <item x="1470"/>
        <item x="1280"/>
        <item x="1172"/>
        <item x="713"/>
        <item x="115"/>
        <item x="1072"/>
        <item x="286"/>
        <item x="118"/>
        <item x="264"/>
        <item x="537"/>
        <item x="679"/>
        <item x="526"/>
        <item x="862"/>
        <item x="1108"/>
        <item x="225"/>
        <item x="32"/>
        <item x="1287"/>
        <item x="660"/>
        <item x="31"/>
        <item x="260"/>
        <item x="323"/>
        <item x="600"/>
        <item x="1041"/>
        <item x="268"/>
        <item x="127"/>
        <item x="290"/>
        <item x="240"/>
        <item x="572"/>
        <item x="398"/>
        <item x="433"/>
        <item x="1289"/>
        <item x="546"/>
        <item x="1121"/>
        <item x="11"/>
        <item x="43"/>
        <item x="1257"/>
        <item x="278"/>
        <item x="379"/>
        <item x="1010"/>
        <item x="871"/>
        <item x="227"/>
        <item x="934"/>
        <item x="1236"/>
        <item x="1455"/>
        <item x="1103"/>
        <item x="1021"/>
        <item x="638"/>
        <item x="242"/>
        <item x="83"/>
        <item x="92"/>
        <item x="1037"/>
        <item x="1353"/>
        <item x="1331"/>
        <item x="1398"/>
        <item x="475"/>
        <item x="1167"/>
        <item x="1177"/>
        <item x="1102"/>
        <item x="646"/>
        <item x="1429"/>
        <item x="1254"/>
        <item x="754"/>
        <item x="931"/>
        <item x="116"/>
        <item x="940"/>
        <item x="1118"/>
        <item x="736"/>
        <item x="541"/>
        <item x="381"/>
        <item x="1142"/>
        <item x="294"/>
        <item x="1175"/>
        <item x="874"/>
        <item x="112"/>
        <item x="473"/>
        <item x="818"/>
        <item x="1318"/>
        <item x="184"/>
        <item x="1448"/>
        <item x="402"/>
        <item x="794"/>
        <item x="1310"/>
        <item x="583"/>
        <item x="311"/>
        <item x="148"/>
        <item x="3"/>
        <item x="376"/>
        <item x="609"/>
        <item x="1226"/>
        <item x="1325"/>
        <item x="1008"/>
        <item x="1439"/>
        <item x="544"/>
        <item x="1492"/>
        <item x="37"/>
        <item x="276"/>
        <item x="1498"/>
        <item x="693"/>
        <item x="1209"/>
        <item x="19"/>
        <item x="1031"/>
        <item x="941"/>
        <item x="784"/>
        <item x="1302"/>
        <item x="1386"/>
        <item x="1228"/>
        <item x="1401"/>
        <item x="983"/>
        <item x="846"/>
        <item x="1366"/>
        <item x="1193"/>
        <item x="1106"/>
        <item x="506"/>
        <item x="427"/>
        <item x="752"/>
        <item x="1147"/>
        <item x="830"/>
        <item x="168"/>
        <item x="1015"/>
        <item x="1305"/>
        <item x="980"/>
        <item x="615"/>
        <item x="199"/>
        <item x="618"/>
        <item x="145"/>
        <item x="305"/>
        <item x="1097"/>
        <item x="451"/>
        <item x="1426"/>
        <item x="1110"/>
        <item x="593"/>
        <item x="706"/>
        <item x="911"/>
        <item x="524"/>
        <item x="1276"/>
        <item x="1427"/>
        <item x="1169"/>
        <item x="1274"/>
        <item x="828"/>
        <item x="635"/>
        <item x="467"/>
        <item x="1372"/>
        <item x="436"/>
        <item x="1419"/>
        <item x="59"/>
        <item x="515"/>
        <item x="994"/>
        <item x="1211"/>
        <item x="1292"/>
        <item x="532"/>
        <item x="924"/>
        <item x="1468"/>
        <item x="1400"/>
        <item x="876"/>
        <item x="671"/>
        <item x="152"/>
        <item x="457"/>
        <item x="1116"/>
        <item x="30"/>
        <item x="121"/>
        <item x="650"/>
        <item x="460"/>
        <item x="926"/>
        <item x="858"/>
        <item x="395"/>
        <item x="220"/>
        <item x="341"/>
        <item x="351"/>
        <item x="170"/>
        <item x="1135"/>
        <item x="839"/>
        <item x="55"/>
        <item x="444"/>
        <item x="1478"/>
        <item x="1099"/>
        <item x="737"/>
        <item x="990"/>
        <item x="663"/>
        <item x="0"/>
        <item x="400"/>
        <item x="549"/>
        <item x="479"/>
        <item x="1115"/>
        <item x="1024"/>
        <item x="1239"/>
        <item x="1474"/>
        <item x="105"/>
        <item x="79"/>
        <item x="6"/>
        <item x="284"/>
        <item x="72"/>
        <item x="54"/>
        <item x="20"/>
        <item x="602"/>
        <item x="27"/>
        <item x="16"/>
        <item x="571"/>
        <item x="912"/>
        <item x="456"/>
        <item x="283"/>
        <item x="610"/>
        <item x="125"/>
        <item x="1079"/>
        <item x="1307"/>
        <item x="12"/>
        <item x="810"/>
        <item x="1"/>
        <item x="1213"/>
        <item x="710"/>
        <item x="71"/>
        <item x="70"/>
        <item x="1319"/>
        <item x="1425"/>
        <item x="262"/>
        <item x="608"/>
        <item x="779"/>
        <item x="482"/>
        <item x="1397"/>
        <item x="1460"/>
        <item x="651"/>
        <item x="850"/>
        <item x="1036"/>
        <item x="936"/>
        <item x="1134"/>
        <item x="369"/>
        <item x="988"/>
        <item x="285"/>
        <item x="1327"/>
        <item x="270"/>
        <item x="624"/>
        <item x="676"/>
        <item x="1120"/>
        <item x="1055"/>
        <item x="861"/>
        <item x="1326"/>
        <item x="1237"/>
        <item x="1141"/>
        <item x="895"/>
        <item x="1337"/>
        <item x="725"/>
        <item x="430"/>
        <item x="721"/>
        <item x="550"/>
        <item x="1233"/>
        <item x="258"/>
        <item x="1445"/>
        <item x="408"/>
        <item x="249"/>
        <item x="1047"/>
        <item x="913"/>
        <item x="1369"/>
        <item x="1140"/>
        <item x="1044"/>
        <item x="295"/>
        <item x="367"/>
        <item x="1200"/>
        <item x="45"/>
        <item x="491"/>
        <item x="588"/>
        <item x="1227"/>
        <item x="1377"/>
        <item x="1101"/>
        <item x="601"/>
        <item x="440"/>
        <item x="1261"/>
        <item x="981"/>
        <item x="1480"/>
        <item x="597"/>
        <item x="1370"/>
        <item x="1063"/>
        <item x="1374"/>
        <item x="1321"/>
        <item x="425"/>
        <item x="236"/>
        <item x="461"/>
        <item x="622"/>
        <item x="1338"/>
        <item x="925"/>
        <item x="669"/>
        <item x="761"/>
        <item x="1051"/>
        <item x="396"/>
        <item x="404"/>
        <item x="1388"/>
        <item x="1409"/>
        <item x="1223"/>
        <item x="496"/>
        <item x="1144"/>
        <item x="1022"/>
        <item x="1082"/>
        <item x="261"/>
        <item x="338"/>
        <item x="10"/>
        <item x="1153"/>
        <item x="533"/>
        <item x="581"/>
        <item x="102"/>
        <item x="1363"/>
        <item x="781"/>
        <item x="607"/>
        <item x="434"/>
        <item x="637"/>
        <item x="1488"/>
        <item x="406"/>
        <item x="1311"/>
        <item x="854"/>
        <item x="318"/>
        <item x="1039"/>
        <item x="1182"/>
        <item x="306"/>
        <item x="1197"/>
        <item x="1340"/>
        <item x="1354"/>
        <item x="1362"/>
        <item x="1333"/>
        <item x="1183"/>
        <item x="1198"/>
        <item x="943"/>
        <item x="891"/>
        <item x="1084"/>
        <item x="239"/>
        <item x="613"/>
        <item x="534"/>
        <item x="301"/>
        <item x="1123"/>
        <item x="1271"/>
        <item x="1284"/>
        <item x="1162"/>
        <item x="1339"/>
        <item x="1359"/>
        <item x="150"/>
        <item x="310"/>
        <item x="1070"/>
        <item x="1345"/>
        <item x="878"/>
        <item x="976"/>
        <item x="673"/>
        <item x="920"/>
        <item x="1062"/>
        <item x="1453"/>
        <item x="704"/>
        <item x="1416"/>
        <item x="776"/>
        <item x="929"/>
        <item x="247"/>
        <item x="939"/>
        <item x="864"/>
        <item x="966"/>
        <item x="470"/>
        <item x="312"/>
        <item x="386"/>
        <item x="985"/>
        <item x="1124"/>
        <item x="774"/>
        <item x="299"/>
        <item x="263"/>
        <item x="1252"/>
        <item x="1098"/>
        <item x="816"/>
        <item x="928"/>
        <item x="690"/>
        <item x="177"/>
        <item x="741"/>
        <item x="1004"/>
        <item x="1164"/>
        <item x="1224"/>
        <item x="1350"/>
        <item x="1018"/>
        <item x="979"/>
        <item x="742"/>
        <item x="1091"/>
        <item x="698"/>
        <item x="586"/>
        <item x="1188"/>
        <item x="770"/>
        <item x="699"/>
        <item x="1006"/>
        <item x="619"/>
        <item x="455"/>
        <item x="18"/>
        <item x="244"/>
        <item x="857"/>
        <item x="1497"/>
        <item x="439"/>
        <item x="1418"/>
        <item x="1246"/>
        <item x="17"/>
        <item x="616"/>
        <item x="825"/>
        <item x="1242"/>
        <item x="350"/>
        <item x="808"/>
        <item x="349"/>
        <item x="577"/>
        <item x="873"/>
        <item x="1417"/>
        <item x="1195"/>
        <item x="163"/>
        <item x="1002"/>
        <item x="974"/>
        <item x="4"/>
        <item x="887"/>
        <item x="697"/>
        <item x="176"/>
        <item x="1222"/>
        <item x="1291"/>
        <item x="1414"/>
        <item x="1210"/>
        <item x="215"/>
        <item x="1042"/>
        <item x="790"/>
        <item x="542"/>
        <item x="1187"/>
        <item x="1245"/>
        <item x="649"/>
        <item x="1430"/>
        <item x="800"/>
        <item x="1313"/>
        <item x="478"/>
        <item x="834"/>
        <item x="672"/>
        <item x="756"/>
        <item x="1263"/>
        <item x="300"/>
        <item x="275"/>
        <item x="1390"/>
        <item x="708"/>
        <item x="462"/>
        <item x="180"/>
        <item x="1064"/>
        <item x="606"/>
        <item x="885"/>
        <item x="1154"/>
        <item x="243"/>
        <item x="956"/>
        <item x="1092"/>
        <item x="932"/>
        <item x="1364"/>
        <item x="384"/>
        <item x="1234"/>
        <item x="1016"/>
        <item x="1290"/>
        <item x="1171"/>
        <item x="339"/>
        <item x="2"/>
        <item x="25"/>
        <item x="962"/>
        <item x="999"/>
        <item x="147"/>
        <item x="281"/>
        <item x="1477"/>
        <item x="1402"/>
        <item x="1328"/>
        <item x="1472"/>
        <item x="217"/>
        <item x="194"/>
        <item x="768"/>
        <item x="735"/>
        <item x="1161"/>
        <item x="265"/>
        <item x="1341"/>
        <item x="831"/>
        <item x="1080"/>
        <item x="1428"/>
        <item x="1485"/>
        <item x="1112"/>
        <item x="266"/>
        <item x="101"/>
        <item x="186"/>
        <item x="1029"/>
        <item x="151"/>
        <item x="130"/>
        <item x="416"/>
        <item x="58"/>
        <item x="277"/>
        <item x="192"/>
        <item x="136"/>
        <item x="497"/>
        <item x="1267"/>
        <item x="209"/>
        <item x="356"/>
        <item x="370"/>
        <item x="1248"/>
        <item x="490"/>
        <item x="1436"/>
        <item x="337"/>
        <item x="762"/>
        <item x="485"/>
        <item x="1085"/>
        <item x="282"/>
        <item x="1487"/>
        <item x="487"/>
        <item x="480"/>
        <item x="315"/>
        <item x="1220"/>
        <item x="393"/>
        <item x="875"/>
        <item x="314"/>
        <item x="1277"/>
        <item x="340"/>
        <item x="1382"/>
        <item x="823"/>
        <item x="488"/>
        <item x="695"/>
        <item x="1304"/>
        <item x="388"/>
        <item x="507"/>
        <item x="36"/>
        <item x="373"/>
        <item x="917"/>
        <item x="1344"/>
        <item x="746"/>
        <item x="629"/>
        <item x="949"/>
        <item x="970"/>
        <item x="1371"/>
        <item x="1088"/>
        <item x="900"/>
        <item x="954"/>
        <item x="466"/>
        <item x="197"/>
        <item x="445"/>
        <item x="389"/>
        <item x="93"/>
        <item x="84"/>
        <item x="1152"/>
        <item x="840"/>
        <item x="598"/>
        <item x="76"/>
        <item x="141"/>
        <item x="626"/>
        <item x="772"/>
        <item x="653"/>
        <item x="855"/>
        <item x="189"/>
        <item x="1476"/>
        <item x="565"/>
        <item x="740"/>
        <item x="200"/>
        <item x="1259"/>
        <item x="1253"/>
        <item x="1491"/>
        <item x="469"/>
        <item x="1013"/>
        <item x="1089"/>
        <item x="1301"/>
        <item x="465"/>
        <item x="252"/>
        <item x="1133"/>
        <item x="401"/>
        <item x="1457"/>
        <item x="63"/>
        <item x="1329"/>
        <item x="1094"/>
        <item x="1160"/>
        <item x="362"/>
        <item x="872"/>
        <item x="153"/>
        <item x="1441"/>
        <item x="1075"/>
        <item x="1191"/>
        <item x="14"/>
        <item x="39"/>
        <item x="80"/>
        <item x="280"/>
        <item x="95"/>
        <item x="489"/>
        <item x="1028"/>
        <item x="1150"/>
        <item x="675"/>
        <item x="256"/>
        <item x="139"/>
        <item x="1043"/>
        <item x="703"/>
        <item x="960"/>
        <item x="882"/>
        <item x="812"/>
        <item x="560"/>
        <item x="447"/>
        <item x="792"/>
        <item x="837"/>
        <item x="267"/>
        <item x="322"/>
        <item x="865"/>
        <item x="279"/>
        <item x="85"/>
        <item x="881"/>
        <item x="587"/>
        <item x="214"/>
        <item x="715"/>
        <item x="1009"/>
        <item x="1394"/>
        <item x="890"/>
        <item x="1046"/>
        <item x="554"/>
        <item x="658"/>
        <item x="126"/>
        <item x="1244"/>
        <item x="568"/>
        <item x="744"/>
        <item x="992"/>
        <item x="1086"/>
        <item x="448"/>
        <item x="206"/>
        <item x="692"/>
        <item x="365"/>
        <item x="1235"/>
        <item x="518"/>
        <item x="1065"/>
        <item x="418"/>
        <item x="1148"/>
        <item x="915"/>
        <item x="106"/>
        <item x="938"/>
        <item x="826"/>
        <item x="652"/>
        <item x="765"/>
        <item x="844"/>
        <item x="1132"/>
        <item x="303"/>
        <item x="955"/>
        <item x="664"/>
        <item x="47"/>
        <item x="429"/>
        <item x="987"/>
        <item x="128"/>
        <item x="849"/>
        <item x="570"/>
        <item x="196"/>
        <item x="385"/>
        <item x="1143"/>
        <item x="1125"/>
        <item x="968"/>
        <item x="1399"/>
        <item x="802"/>
        <item x="1347"/>
        <item x="1450"/>
        <item x="1303"/>
        <item x="1178"/>
        <item x="1442"/>
        <item x="791"/>
        <item x="860"/>
        <item x="760"/>
        <item x="886"/>
        <item x="1449"/>
        <item x="1467"/>
        <item x="1214"/>
        <item x="246"/>
        <item x="1204"/>
        <item x="1129"/>
        <item x="1471"/>
        <item x="681"/>
        <item x="203"/>
        <item x="1158"/>
        <item x="1423"/>
        <item x="61"/>
        <item x="682"/>
        <item x="785"/>
        <item x="502"/>
        <item x="1494"/>
        <item x="81"/>
        <item x="847"/>
        <item x="678"/>
        <item x="579"/>
        <item x="950"/>
        <item x="426"/>
        <item x="689"/>
        <item x="667"/>
        <item x="1346"/>
        <item x="548"/>
        <item x="782"/>
        <item x="904"/>
        <item x="1081"/>
        <item x="1469"/>
        <item x="853"/>
        <item x="811"/>
        <item x="452"/>
        <item x="947"/>
        <item x="789"/>
        <item x="888"/>
        <item x="103"/>
        <item x="645"/>
        <item x="1215"/>
        <item x="1466"/>
        <item x="156"/>
        <item x="146"/>
        <item x="1180"/>
        <item x="927"/>
        <item x="216"/>
        <item x="288"/>
        <item x="1279"/>
        <item x="964"/>
        <item x="1179"/>
        <item x="712"/>
        <item x="1255"/>
        <item x="1225"/>
        <item x="705"/>
        <item x="49"/>
        <item x="535"/>
        <item x="69"/>
        <item x="248"/>
        <item x="231"/>
        <item x="87"/>
        <item x="564"/>
        <item x="1069"/>
        <item x="179"/>
        <item x="1168"/>
        <item x="1342"/>
        <item x="1463"/>
        <item x="511"/>
        <item x="1361"/>
        <item x="621"/>
        <item x="1122"/>
        <item x="530"/>
        <item x="359"/>
        <item x="509"/>
        <item x="714"/>
        <item x="1107"/>
        <item x="221"/>
        <item x="842"/>
        <item x="88"/>
        <item x="709"/>
        <item x="594"/>
        <item x="273"/>
        <item x="1090"/>
        <item x="348"/>
        <item x="916"/>
        <item x="998"/>
        <item x="880"/>
        <item x="257"/>
        <item x="1048"/>
        <item x="1190"/>
        <item x="1073"/>
        <item x="453"/>
        <item x="352"/>
        <item x="374"/>
        <item x="383"/>
        <item x="213"/>
        <item x="237"/>
        <item x="494"/>
        <item x="856"/>
        <item x="922"/>
        <item x="1093"/>
        <item x="843"/>
        <item x="677"/>
        <item x="97"/>
        <item x="668"/>
        <item x="997"/>
        <item x="1189"/>
        <item x="1446"/>
        <item x="1424"/>
        <item x="783"/>
        <item x="407"/>
        <item x="272"/>
        <item x="46"/>
        <item x="543"/>
        <item x="495"/>
        <item x="188"/>
        <item x="732"/>
        <item x="580"/>
        <item x="921"/>
        <item x="166"/>
        <item x="836"/>
        <item x="639"/>
        <item x="1365"/>
        <item x="561"/>
        <item x="751"/>
        <item x="1459"/>
        <item x="1003"/>
        <item x="1045"/>
        <item x="56"/>
        <item x="1376"/>
        <item x="313"/>
        <item x="459"/>
        <item x="632"/>
        <item x="325"/>
        <item x="919"/>
        <item x="907"/>
        <item x="113"/>
        <item x="1499"/>
        <item x="993"/>
        <item x="512"/>
        <item x="503"/>
        <item x="1332"/>
        <item x="172"/>
        <item x="212"/>
        <item x="1383"/>
        <item x="589"/>
        <item x="1201"/>
        <item x="1184"/>
        <item x="468"/>
        <item x="688"/>
        <item x="978"/>
        <item x="155"/>
        <item x="889"/>
        <item x="1219"/>
        <item x="60"/>
        <item x="817"/>
        <item x="175"/>
        <item x="289"/>
        <item x="596"/>
        <item x="942"/>
        <item x="820"/>
        <item x="1404"/>
        <item x="617"/>
        <item x="1238"/>
        <item x="504"/>
        <item x="361"/>
        <item x="458"/>
        <item x="1308"/>
        <item x="1061"/>
        <item x="1012"/>
        <item x="238"/>
        <item x="422"/>
        <item x="1373"/>
        <item x="1334"/>
        <item x="421"/>
        <item x="298"/>
        <item x="133"/>
        <item x="700"/>
        <item x="763"/>
        <item x="259"/>
        <item x="1458"/>
        <item x="1312"/>
        <item x="592"/>
        <item x="1286"/>
        <item x="474"/>
        <item x="1000"/>
        <item x="1403"/>
        <item x="1475"/>
        <item x="604"/>
        <item x="1174"/>
        <item x="1358"/>
        <item x="510"/>
        <item x="1413"/>
        <item x="814"/>
        <item x="1379"/>
        <item x="202"/>
        <item x="111"/>
        <item x="1131"/>
        <item x="190"/>
        <item x="1199"/>
        <item x="569"/>
        <item x="419"/>
        <item x="654"/>
        <item x="559"/>
        <item x="1139"/>
        <item x="481"/>
        <item x="778"/>
        <item x="432"/>
        <item x="662"/>
        <item x="641"/>
        <item x="438"/>
        <item x="413"/>
        <item x="391"/>
        <item x="358"/>
        <item x="167"/>
        <item x="493"/>
        <item x="701"/>
        <item x="382"/>
        <item x="726"/>
        <item x="521"/>
        <item x="1027"/>
        <item x="819"/>
        <item x="1057"/>
        <item x="1384"/>
        <item x="1411"/>
        <item x="1217"/>
        <item x="893"/>
        <item x="1058"/>
        <item x="191"/>
        <item x="829"/>
        <item x="944"/>
        <item x="767"/>
        <item x="1298"/>
        <item x="797"/>
        <item x="64"/>
        <item x="66"/>
        <item x="394"/>
        <item x="158"/>
        <item x="686"/>
        <item x="574"/>
        <item x="75"/>
        <item x="414"/>
        <item x="335"/>
        <item x="946"/>
        <item x="514"/>
        <item x="538"/>
        <item x="1066"/>
        <item x="271"/>
        <item x="508"/>
        <item x="555"/>
        <item x="100"/>
        <item x="1109"/>
        <item x="1443"/>
        <item x="517"/>
        <item x="1421"/>
        <item x="1324"/>
        <item x="366"/>
        <item x="540"/>
        <item x="859"/>
        <item x="308"/>
        <item x="1170"/>
        <item x="48"/>
        <item x="1293"/>
        <item x="132"/>
        <item x="1155"/>
        <item x="551"/>
        <item x="1060"/>
        <item x="545"/>
        <item x="821"/>
        <item x="1493"/>
        <item x="410"/>
        <item x="982"/>
        <item x="193"/>
        <item x="1074"/>
        <item x="251"/>
        <item x="1034"/>
        <item x="149"/>
        <item x="1295"/>
        <item x="764"/>
        <item x="1273"/>
        <item x="612"/>
        <item x="204"/>
        <item x="15"/>
        <item x="1231"/>
        <item x="1456"/>
        <item x="623"/>
        <item x="611"/>
        <item x="211"/>
        <item x="1040"/>
        <item x="845"/>
        <item x="218"/>
        <item x="1077"/>
        <item x="1306"/>
        <item x="1270"/>
        <item x="96"/>
        <item x="1368"/>
        <item x="848"/>
        <item x="562"/>
        <item x="1395"/>
        <item x="1114"/>
        <item x="1232"/>
        <item x="972"/>
        <item x="977"/>
        <item x="343"/>
        <item x="687"/>
        <item x="1083"/>
        <item x="98"/>
        <item x="793"/>
        <item x="884"/>
        <item x="390"/>
        <item x="499"/>
        <item x="1243"/>
        <item x="655"/>
        <item x="1420"/>
        <item x="522"/>
        <item x="863"/>
        <item x="173"/>
        <item x="1249"/>
        <item x="806"/>
        <item x="1173"/>
        <item x="804"/>
        <item x="908"/>
        <item x="1281"/>
        <item x="1385"/>
        <item x="131"/>
        <item x="90"/>
        <item x="329"/>
        <item x="948"/>
        <item x="595"/>
        <item x="605"/>
        <item x="1166"/>
        <item x="640"/>
        <item x="648"/>
        <item x="1296"/>
        <item x="65"/>
        <item x="516"/>
        <item x="1113"/>
        <item x="801"/>
        <item x="378"/>
        <item x="1268"/>
        <item x="108"/>
        <item x="355"/>
        <item x="1038"/>
        <item x="727"/>
        <item x="368"/>
        <item x="1196"/>
        <item x="164"/>
        <item x="1165"/>
        <item x="666"/>
        <item x="877"/>
        <item x="182"/>
        <item x="183"/>
        <item x="1163"/>
        <item x="77"/>
        <item x="138"/>
        <item x="443"/>
        <item x="901"/>
        <item x="795"/>
        <item x="328"/>
        <item x="647"/>
        <item x="1205"/>
        <item x="523"/>
        <item x="656"/>
        <item x="346"/>
        <item x="219"/>
        <item x="1357"/>
        <item x="1023"/>
        <item x="195"/>
        <item x="971"/>
        <item x="832"/>
        <item x="827"/>
        <item x="309"/>
        <item x="953"/>
        <item x="327"/>
        <item x="796"/>
        <item x="50"/>
        <item x="35"/>
        <item x="326"/>
        <item x="903"/>
        <item x="250"/>
        <item x="1336"/>
        <item x="269"/>
        <item x="28"/>
        <item x="1299"/>
        <item x="207"/>
        <item x="316"/>
        <item x="99"/>
        <item x="53"/>
        <item x="29"/>
        <item x="483"/>
        <item x="1461"/>
        <item x="1096"/>
        <item x="665"/>
        <item x="567"/>
        <item x="245"/>
        <item x="1479"/>
        <item x="94"/>
        <item x="40"/>
        <item x="1156"/>
        <item x="24"/>
        <item x="883"/>
        <item x="472"/>
        <item x="1454"/>
        <item x="403"/>
        <item x="683"/>
        <item x="1026"/>
        <item x="1030"/>
        <item x="869"/>
        <item x="230"/>
        <item x="336"/>
        <item x="437"/>
        <item x="910"/>
        <item x="292"/>
        <item x="333"/>
        <item x="57"/>
        <item x="777"/>
        <item x="354"/>
        <item x="423"/>
        <item x="773"/>
        <item x="1352"/>
        <item x="1282"/>
        <item x="1323"/>
        <item x="529"/>
        <item x="1186"/>
        <item x="1335"/>
        <item x="1297"/>
        <item x="1269"/>
        <item x="1208"/>
        <item x="1059"/>
        <item x="1322"/>
        <item x="1100"/>
        <item x="1381"/>
        <item x="719"/>
        <item x="135"/>
        <item x="528"/>
        <item x="1068"/>
        <item x="967"/>
        <item x="1433"/>
        <item x="1462"/>
        <item x="1330"/>
        <item x="1484"/>
        <item x="711"/>
        <item x="1378"/>
        <item x="1434"/>
        <item x="1351"/>
        <item x="1343"/>
        <item x="1349"/>
        <item x="531"/>
        <item x="464"/>
        <item x="51"/>
        <item x="556"/>
        <item x="1111"/>
        <item x="254"/>
        <item x="991"/>
        <item x="1054"/>
        <item x="73"/>
        <item x="86"/>
        <item x="894"/>
        <item x="798"/>
        <item x="591"/>
        <item x="631"/>
        <item x="1212"/>
        <item x="1294"/>
        <item x="906"/>
        <item x="1375"/>
        <item x="1194"/>
        <item x="1017"/>
        <item x="44"/>
        <item x="8"/>
        <item x="235"/>
        <item x="505"/>
        <item x="74"/>
        <item x="1001"/>
        <item x="1465"/>
        <item x="1283"/>
        <item x="1406"/>
        <item x="1007"/>
        <item x="1464"/>
        <item x="1262"/>
        <item x="442"/>
        <item x="755"/>
        <item x="1137"/>
        <item x="1011"/>
        <item x="745"/>
        <item x="757"/>
        <item x="822"/>
        <item x="78"/>
        <item x="1389"/>
        <item t="default"/>
      </items>
    </pivotField>
    <pivotField showAll="0">
      <items count="8">
        <item x="6"/>
        <item x="2"/>
        <item x="1"/>
        <item x="3"/>
        <item x="0"/>
        <item x="4"/>
        <item x="5"/>
        <item t="default"/>
      </items>
    </pivotField>
    <pivotField showAll="0">
      <items count="7">
        <item x="2"/>
        <item x="0"/>
        <item x="3"/>
        <item x="1"/>
        <item x="4"/>
        <item x="5"/>
        <item t="default"/>
      </items>
    </pivotField>
    <pivotField numFmtId="1" showAll="0"/>
    <pivotField showAll="0"/>
    <pivotField showAll="0"/>
    <pivotField showAll="0"/>
    <pivotField showAll="0"/>
    <pivotField numFmtId="164" showAll="0"/>
    <pivotField dataField="1" showAll="0"/>
    <pivotField showAll="0">
      <items count="5">
        <item x="3"/>
        <item x="1"/>
        <item x="0"/>
        <item x="2"/>
        <item t="default"/>
      </items>
    </pivotField>
  </pivotFields>
  <rowFields count="1">
    <field x="1"/>
  </rowFields>
  <rowItems count="11">
    <i>
      <x v="103"/>
    </i>
    <i>
      <x v="550"/>
    </i>
    <i>
      <x v="753"/>
    </i>
    <i>
      <x v="833"/>
    </i>
    <i>
      <x v="922"/>
    </i>
    <i>
      <x v="1004"/>
    </i>
    <i>
      <x v="1085"/>
    </i>
    <i>
      <x v="1318"/>
    </i>
    <i>
      <x v="1371"/>
    </i>
    <i>
      <x v="1438"/>
    </i>
    <i t="grand">
      <x/>
    </i>
  </rowItems>
  <colItems count="1">
    <i/>
  </colItems>
  <dataFields count="1">
    <dataField name="Average of enagement_score" fld="10" subtotal="average" baseField="1" baseItem="0"/>
  </dataFields>
  <chartFormats count="2">
    <chartFormat chart="44"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C447A0-007D-4089-BE8E-47A9F758A38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20:N28" firstHeaderRow="1" firstDataRow="1" firstDataCol="1"/>
  <pivotFields count="12">
    <pivotField showAll="0"/>
    <pivotField showAll="0"/>
    <pivotField axis="axisRow" showAll="0" sortType="descending">
      <items count="8">
        <item x="5"/>
        <item x="4"/>
        <item x="0"/>
        <item x="3"/>
        <item x="1"/>
        <item x="2"/>
        <item x="6"/>
        <item t="default"/>
      </items>
      <autoSortScope>
        <pivotArea dataOnly="0" outline="0" fieldPosition="0">
          <references count="1">
            <reference field="4294967294" count="1" selected="0">
              <x v="0"/>
            </reference>
          </references>
        </pivotArea>
      </autoSortScope>
    </pivotField>
    <pivotField showAll="0">
      <items count="7">
        <item x="2"/>
        <item x="0"/>
        <item x="3"/>
        <item x="1"/>
        <item x="4"/>
        <item x="5"/>
        <item t="default"/>
      </items>
    </pivotField>
    <pivotField numFmtId="1" showAll="0"/>
    <pivotField showAll="0"/>
    <pivotField dataField="1" showAll="0"/>
    <pivotField showAll="0"/>
    <pivotField showAll="0"/>
    <pivotField numFmtId="164" showAll="0"/>
    <pivotField showAll="0"/>
    <pivotField showAll="0">
      <items count="5">
        <item x="3"/>
        <item x="1"/>
        <item x="0"/>
        <item x="2"/>
        <item t="default"/>
      </items>
    </pivotField>
  </pivotFields>
  <rowFields count="1">
    <field x="2"/>
  </rowFields>
  <rowItems count="8">
    <i>
      <x v="1"/>
    </i>
    <i>
      <x/>
    </i>
    <i>
      <x v="5"/>
    </i>
    <i>
      <x v="6"/>
    </i>
    <i>
      <x v="4"/>
    </i>
    <i>
      <x v="2"/>
    </i>
    <i>
      <x v="3"/>
    </i>
    <i t="grand">
      <x/>
    </i>
  </rowItems>
  <colItems count="1">
    <i/>
  </colItems>
  <dataFields count="1">
    <dataField name="Average of avg_session_duration_min" fld="6" subtotal="average" baseField="2"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E25306-B4CA-4458-A5D4-865AB52027F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2:N10" firstHeaderRow="1" firstDataRow="1" firstDataCol="1"/>
  <pivotFields count="12">
    <pivotField showAll="0"/>
    <pivotField showAll="0"/>
    <pivotField axis="axisRow" showAll="0" sortType="descending">
      <items count="8">
        <item x="5"/>
        <item x="4"/>
        <item x="0"/>
        <item x="3"/>
        <item x="1"/>
        <item x="2"/>
        <item x="6"/>
        <item t="default"/>
      </items>
      <autoSortScope>
        <pivotArea dataOnly="0" outline="0" fieldPosition="0">
          <references count="1">
            <reference field="4294967294" count="1" selected="0">
              <x v="0"/>
            </reference>
          </references>
        </pivotArea>
      </autoSortScope>
    </pivotField>
    <pivotField showAll="0">
      <items count="7">
        <item x="2"/>
        <item x="0"/>
        <item x="3"/>
        <item x="1"/>
        <item x="4"/>
        <item x="5"/>
        <item t="default"/>
      </items>
    </pivotField>
    <pivotField numFmtId="1" showAll="0"/>
    <pivotField dataField="1" showAll="0"/>
    <pivotField showAll="0"/>
    <pivotField showAll="0"/>
    <pivotField showAll="0"/>
    <pivotField numFmtId="164" showAll="0"/>
    <pivotField showAll="0"/>
    <pivotField showAll="0">
      <items count="5">
        <item x="3"/>
        <item x="1"/>
        <item x="0"/>
        <item x="2"/>
        <item t="default"/>
      </items>
    </pivotField>
  </pivotFields>
  <rowFields count="1">
    <field x="2"/>
  </rowFields>
  <rowItems count="8">
    <i>
      <x v="6"/>
    </i>
    <i>
      <x v="5"/>
    </i>
    <i>
      <x/>
    </i>
    <i>
      <x v="2"/>
    </i>
    <i>
      <x v="4"/>
    </i>
    <i>
      <x v="3"/>
    </i>
    <i>
      <x v="1"/>
    </i>
    <i t="grand">
      <x/>
    </i>
  </rowItems>
  <colItems count="1">
    <i/>
  </colItems>
  <dataFields count="1">
    <dataField name="Average of bounce_rate_pct" fld="5" subtotal="average" baseField="2"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F07693-15FC-4429-9208-828912139DC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B27" firstHeaderRow="1" firstDataRow="1" firstDataCol="1"/>
  <pivotFields count="12">
    <pivotField showAll="0"/>
    <pivotField showAll="0"/>
    <pivotField axis="axisRow" showAll="0" sortType="descending">
      <items count="8">
        <item x="5"/>
        <item x="4"/>
        <item x="0"/>
        <item x="3"/>
        <item x="1"/>
        <item x="2"/>
        <item x="6"/>
        <item t="default"/>
      </items>
      <autoSortScope>
        <pivotArea dataOnly="0" outline="0" fieldPosition="0">
          <references count="1">
            <reference field="4294967294" count="1" selected="0">
              <x v="0"/>
            </reference>
          </references>
        </pivotArea>
      </autoSortScope>
    </pivotField>
    <pivotField showAll="0">
      <items count="7">
        <item x="2"/>
        <item x="0"/>
        <item x="3"/>
        <item x="1"/>
        <item x="4"/>
        <item x="5"/>
        <item t="default"/>
      </items>
    </pivotField>
    <pivotField dataField="1" numFmtId="1" showAll="0"/>
    <pivotField showAll="0"/>
    <pivotField showAll="0"/>
    <pivotField showAll="0"/>
    <pivotField showAll="0"/>
    <pivotField numFmtId="164" showAll="0"/>
    <pivotField showAll="0"/>
    <pivotField showAll="0">
      <items count="5">
        <item x="3"/>
        <item x="1"/>
        <item x="0"/>
        <item x="2"/>
        <item t="default"/>
      </items>
    </pivotField>
  </pivotFields>
  <rowFields count="1">
    <field x="2"/>
  </rowFields>
  <rowItems count="8">
    <i>
      <x v="3"/>
    </i>
    <i>
      <x v="2"/>
    </i>
    <i>
      <x v="5"/>
    </i>
    <i>
      <x v="4"/>
    </i>
    <i>
      <x v="1"/>
    </i>
    <i>
      <x v="6"/>
    </i>
    <i>
      <x/>
    </i>
    <i t="grand">
      <x/>
    </i>
  </rowItems>
  <colItems count="1">
    <i/>
  </colItems>
  <dataFields count="1">
    <dataField name="Sum of monthly_visits" fld="4" baseField="0" baseItem="0" numFmtId="1"/>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582264-C411-44F0-8EEC-79E0C6FEF74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1" firstHeaderRow="1" firstDataRow="1" firstDataCol="1" rowPageCount="1" colPageCount="1"/>
  <pivotFields count="12">
    <pivotField axis="axisPage"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axis="axisRow" showAll="0" sortType="ascending">
      <items count="8">
        <item x="6"/>
        <item x="2"/>
        <item x="1"/>
        <item x="3"/>
        <item x="0"/>
        <item x="4"/>
        <item x="5"/>
        <item t="default"/>
      </items>
      <autoSortScope>
        <pivotArea dataOnly="0" outline="0" fieldPosition="0">
          <references count="1">
            <reference field="4294967294" count="1" selected="0">
              <x v="0"/>
            </reference>
          </references>
        </pivotArea>
      </autoSortScope>
    </pivotField>
    <pivotField showAll="0">
      <items count="7">
        <item x="2"/>
        <item x="0"/>
        <item x="3"/>
        <item x="1"/>
        <item x="4"/>
        <item x="5"/>
        <item t="default"/>
      </items>
    </pivotField>
    <pivotField numFmtId="1" showAll="0"/>
    <pivotField showAll="0"/>
    <pivotField showAll="0"/>
    <pivotField showAll="0"/>
    <pivotField showAll="0"/>
    <pivotField numFmtId="164" showAll="0"/>
    <pivotField showAll="0"/>
    <pivotField showAll="0">
      <items count="5">
        <item x="3"/>
        <item x="1"/>
        <item x="0"/>
        <item x="2"/>
        <item t="default"/>
      </items>
    </pivotField>
  </pivotFields>
  <rowFields count="1">
    <field x="2"/>
  </rowFields>
  <rowItems count="8">
    <i>
      <x v="5"/>
    </i>
    <i>
      <x v="1"/>
    </i>
    <i>
      <x/>
    </i>
    <i>
      <x v="6"/>
    </i>
    <i>
      <x v="3"/>
    </i>
    <i>
      <x v="2"/>
    </i>
    <i>
      <x v="4"/>
    </i>
    <i t="grand">
      <x/>
    </i>
  </rowItems>
  <colItems count="1">
    <i/>
  </colItems>
  <pageFields count="1">
    <pageField fld="0" hier="-1"/>
  </pageFields>
  <dataFields count="1">
    <dataField name="Average of global_rank" fld="0" subtotal="average" baseField="2"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7B6964A-BEC2-48F7-8FF2-4212B591545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M37:N45" firstHeaderRow="1" firstDataRow="1" firstDataCol="1"/>
  <pivotFields count="12">
    <pivotField showAll="0"/>
    <pivotField showAll="0"/>
    <pivotField axis="axisRow" showAll="0" sortType="descending">
      <items count="8">
        <item x="5"/>
        <item x="4"/>
        <item x="0"/>
        <item x="3"/>
        <item x="1"/>
        <item x="2"/>
        <item x="6"/>
        <item t="default"/>
      </items>
      <autoSortScope>
        <pivotArea dataOnly="0" outline="0" fieldPosition="0">
          <references count="1">
            <reference field="4294967294" count="1" selected="0">
              <x v="0"/>
            </reference>
          </references>
        </pivotArea>
      </autoSortScope>
    </pivotField>
    <pivotField showAll="0">
      <items count="7">
        <item x="2"/>
        <item x="0"/>
        <item x="3"/>
        <item x="1"/>
        <item x="4"/>
        <item x="5"/>
        <item t="default"/>
      </items>
    </pivotField>
    <pivotField numFmtId="1" showAll="0"/>
    <pivotField showAll="0"/>
    <pivotField showAll="0"/>
    <pivotField showAll="0"/>
    <pivotField showAll="0"/>
    <pivotField numFmtId="164" showAll="0"/>
    <pivotField dataField="1" showAll="0"/>
    <pivotField showAll="0">
      <items count="5">
        <item x="3"/>
        <item x="1"/>
        <item x="0"/>
        <item x="2"/>
        <item t="default"/>
      </items>
    </pivotField>
  </pivotFields>
  <rowFields count="1">
    <field x="2"/>
  </rowFields>
  <rowItems count="8">
    <i>
      <x v="1"/>
    </i>
    <i>
      <x v="4"/>
    </i>
    <i>
      <x/>
    </i>
    <i>
      <x v="2"/>
    </i>
    <i>
      <x v="5"/>
    </i>
    <i>
      <x v="6"/>
    </i>
    <i>
      <x v="3"/>
    </i>
    <i t="grand">
      <x/>
    </i>
  </rowItems>
  <colItems count="1">
    <i/>
  </colItems>
  <dataFields count="1">
    <dataField name="Average of enagement_score" fld="10" subtotal="average" baseField="2" baseItem="0" numFmtId="2"/>
  </dataFields>
  <formats count="1">
    <format dxfId="7">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64C84DF-B361-4B4D-816B-F43A1F5FFD0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5:B43" firstHeaderRow="1" firstDataRow="1" firstDataCol="1"/>
  <pivotFields count="12">
    <pivotField showAll="0"/>
    <pivotField showAll="0"/>
    <pivotField axis="axisRow" showAll="0" sortType="descending">
      <items count="8">
        <item x="5"/>
        <item x="4"/>
        <item x="0"/>
        <item x="3"/>
        <item x="1"/>
        <item x="2"/>
        <item x="6"/>
        <item t="default"/>
      </items>
      <autoSortScope>
        <pivotArea dataOnly="0" outline="0" fieldPosition="0">
          <references count="1">
            <reference field="4294967294" count="1" selected="0">
              <x v="0"/>
            </reference>
          </references>
        </pivotArea>
      </autoSortScope>
    </pivotField>
    <pivotField showAll="0">
      <items count="7">
        <item x="2"/>
        <item x="0"/>
        <item x="3"/>
        <item x="1"/>
        <item x="4"/>
        <item x="5"/>
        <item t="default"/>
      </items>
    </pivotField>
    <pivotField numFmtId="1" showAll="0"/>
    <pivotField showAll="0"/>
    <pivotField showAll="0"/>
    <pivotField showAll="0"/>
    <pivotField dataField="1" showAll="0"/>
    <pivotField numFmtId="164" showAll="0"/>
    <pivotField showAll="0"/>
    <pivotField showAll="0">
      <items count="5">
        <item x="3"/>
        <item x="1"/>
        <item x="0"/>
        <item x="2"/>
        <item t="default"/>
      </items>
    </pivotField>
  </pivotFields>
  <rowFields count="1">
    <field x="2"/>
  </rowFields>
  <rowItems count="8">
    <i>
      <x v="1"/>
    </i>
    <i>
      <x/>
    </i>
    <i>
      <x v="4"/>
    </i>
    <i>
      <x v="2"/>
    </i>
    <i>
      <x v="6"/>
    </i>
    <i>
      <x v="5"/>
    </i>
    <i>
      <x v="3"/>
    </i>
    <i t="grand">
      <x/>
    </i>
  </rowItems>
  <colItems count="1">
    <i/>
  </colItems>
  <dataFields count="1">
    <dataField name="Average of stickiness_index" fld="8" subtotal="average" baseField="2" baseItem="0" numFmtId="2"/>
  </dataFields>
  <formats count="1">
    <format dxfId="8">
      <pivotArea outline="0" collapsedLevelsAreSubtotals="1" fieldPosition="0"/>
    </format>
  </format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22DDED0-8F42-4EBB-AB58-ECFCF8019FE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2:N9" firstHeaderRow="1" firstDataRow="1" firstDataCol="1"/>
  <pivotFields count="12">
    <pivotField showAll="0"/>
    <pivotField showAll="0"/>
    <pivotField showAll="0">
      <items count="8">
        <item x="6"/>
        <item x="2"/>
        <item x="1"/>
        <item x="3"/>
        <item x="0"/>
        <item x="4"/>
        <item x="5"/>
        <item t="default"/>
      </items>
    </pivotField>
    <pivotField axis="axisRow" showAll="0">
      <items count="7">
        <item x="2"/>
        <item x="0"/>
        <item x="3"/>
        <item x="1"/>
        <item x="4"/>
        <item x="5"/>
        <item t="default"/>
      </items>
    </pivotField>
    <pivotField numFmtId="1" showAll="0"/>
    <pivotField dataField="1" showAll="0"/>
    <pivotField showAll="0"/>
    <pivotField showAll="0"/>
    <pivotField showAll="0"/>
    <pivotField numFmtId="164" showAll="0"/>
    <pivotField showAll="0"/>
    <pivotField showAll="0">
      <items count="5">
        <item x="3"/>
        <item x="1"/>
        <item x="0"/>
        <item x="2"/>
        <item t="default"/>
      </items>
    </pivotField>
  </pivotFields>
  <rowFields count="1">
    <field x="3"/>
  </rowFields>
  <rowItems count="7">
    <i>
      <x/>
    </i>
    <i>
      <x v="1"/>
    </i>
    <i>
      <x v="2"/>
    </i>
    <i>
      <x v="3"/>
    </i>
    <i>
      <x v="4"/>
    </i>
    <i>
      <x v="5"/>
    </i>
    <i t="grand">
      <x/>
    </i>
  </rowItems>
  <colItems count="1">
    <i/>
  </colItems>
  <dataFields count="1">
    <dataField name="Average of bounce_rate_pct" fld="5" subtotal="average" baseField="3" baseItem="2" numFmtId="167"/>
  </dataFields>
  <formats count="1">
    <format dxfId="4">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EB2BD16-AF11-4FAC-86C0-F12DCCA2FB9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B27" firstHeaderRow="1" firstDataRow="1" firstDataCol="1"/>
  <pivotFields count="12">
    <pivotField showAll="0"/>
    <pivotField showAll="0"/>
    <pivotField showAll="0">
      <items count="8">
        <item x="6"/>
        <item x="2"/>
        <item x="1"/>
        <item x="3"/>
        <item x="0"/>
        <item x="4"/>
        <item x="5"/>
        <item t="default"/>
      </items>
    </pivotField>
    <pivotField axis="axisRow" showAll="0">
      <items count="7">
        <item x="2"/>
        <item x="0"/>
        <item x="3"/>
        <item x="1"/>
        <item x="4"/>
        <item x="5"/>
        <item t="default"/>
      </items>
    </pivotField>
    <pivotField dataField="1" numFmtId="1" showAll="0"/>
    <pivotField showAll="0"/>
    <pivotField showAll="0"/>
    <pivotField showAll="0"/>
    <pivotField showAll="0"/>
    <pivotField numFmtId="164" showAll="0"/>
    <pivotField showAll="0"/>
    <pivotField showAll="0">
      <items count="5">
        <item x="3"/>
        <item x="1"/>
        <item x="0"/>
        <item x="2"/>
        <item t="default"/>
      </items>
    </pivotField>
  </pivotFields>
  <rowFields count="1">
    <field x="3"/>
  </rowFields>
  <rowItems count="7">
    <i>
      <x/>
    </i>
    <i>
      <x v="1"/>
    </i>
    <i>
      <x v="2"/>
    </i>
    <i>
      <x v="3"/>
    </i>
    <i>
      <x v="4"/>
    </i>
    <i>
      <x v="5"/>
    </i>
    <i t="grand">
      <x/>
    </i>
  </rowItems>
  <colItems count="1">
    <i/>
  </colItems>
  <dataFields count="1">
    <dataField name="Average of monthly_visits" fld="4" subtotal="average" baseField="3" baseItem="0" numFmtId="1"/>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2E6E629-95C4-4475-ABCB-83C0C664AA5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12">
    <pivotField dataField="1" showAll="0"/>
    <pivotField showAll="0"/>
    <pivotField showAll="0">
      <items count="8">
        <item x="6"/>
        <item x="2"/>
        <item x="1"/>
        <item x="3"/>
        <item x="0"/>
        <item x="4"/>
        <item x="5"/>
        <item t="default"/>
      </items>
    </pivotField>
    <pivotField axis="axisRow" showAll="0">
      <items count="7">
        <item x="2"/>
        <item x="0"/>
        <item x="3"/>
        <item x="1"/>
        <item x="4"/>
        <item x="5"/>
        <item t="default"/>
      </items>
    </pivotField>
    <pivotField numFmtId="1" showAll="0"/>
    <pivotField showAll="0"/>
    <pivotField showAll="0"/>
    <pivotField showAll="0"/>
    <pivotField showAll="0"/>
    <pivotField numFmtId="164" showAll="0"/>
    <pivotField showAll="0"/>
    <pivotField showAll="0">
      <items count="5">
        <item x="3"/>
        <item x="1"/>
        <item x="0"/>
        <item x="2"/>
        <item t="default"/>
      </items>
    </pivotField>
  </pivotFields>
  <rowFields count="1">
    <field x="3"/>
  </rowFields>
  <rowItems count="7">
    <i>
      <x/>
    </i>
    <i>
      <x v="1"/>
    </i>
    <i>
      <x v="2"/>
    </i>
    <i>
      <x v="3"/>
    </i>
    <i>
      <x v="4"/>
    </i>
    <i>
      <x v="5"/>
    </i>
    <i t="grand">
      <x/>
    </i>
  </rowItems>
  <colItems count="1">
    <i/>
  </colItems>
  <dataFields count="1">
    <dataField name="Average of global_rank" fld="0" subtotal="average" baseField="3"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66160A5-BA09-4D66-9CB0-94082899585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37:N44" firstHeaderRow="1" firstDataRow="1" firstDataCol="1"/>
  <pivotFields count="12">
    <pivotField showAll="0"/>
    <pivotField showAll="0"/>
    <pivotField showAll="0">
      <items count="8">
        <item x="6"/>
        <item x="2"/>
        <item x="1"/>
        <item x="3"/>
        <item x="0"/>
        <item x="4"/>
        <item x="5"/>
        <item t="default"/>
      </items>
    </pivotField>
    <pivotField axis="axisRow" showAll="0">
      <items count="7">
        <item x="2"/>
        <item x="0"/>
        <item x="3"/>
        <item x="1"/>
        <item x="4"/>
        <item x="5"/>
        <item t="default"/>
      </items>
    </pivotField>
    <pivotField numFmtId="1" showAll="0"/>
    <pivotField showAll="0"/>
    <pivotField showAll="0"/>
    <pivotField showAll="0"/>
    <pivotField showAll="0"/>
    <pivotField numFmtId="164" showAll="0"/>
    <pivotField dataField="1" showAll="0"/>
    <pivotField showAll="0">
      <items count="5">
        <item x="3"/>
        <item x="1"/>
        <item x="0"/>
        <item x="2"/>
        <item t="default"/>
      </items>
    </pivotField>
  </pivotFields>
  <rowFields count="1">
    <field x="3"/>
  </rowFields>
  <rowItems count="7">
    <i>
      <x/>
    </i>
    <i>
      <x v="1"/>
    </i>
    <i>
      <x v="2"/>
    </i>
    <i>
      <x v="3"/>
    </i>
    <i>
      <x v="4"/>
    </i>
    <i>
      <x v="5"/>
    </i>
    <i t="grand">
      <x/>
    </i>
  </rowItems>
  <colItems count="1">
    <i/>
  </colItems>
  <dataFields count="1">
    <dataField name="Average of enagement_score" fld="10" subtotal="average" baseField="3"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EFB280C-3ADA-4B21-90C2-461BF4B89B6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7:B44" firstHeaderRow="1" firstDataRow="1" firstDataCol="1"/>
  <pivotFields count="12">
    <pivotField showAll="0"/>
    <pivotField showAll="0"/>
    <pivotField showAll="0">
      <items count="8">
        <item x="6"/>
        <item x="2"/>
        <item x="1"/>
        <item x="3"/>
        <item x="0"/>
        <item x="4"/>
        <item x="5"/>
        <item t="default"/>
      </items>
    </pivotField>
    <pivotField axis="axisRow" showAll="0">
      <items count="7">
        <item x="2"/>
        <item x="0"/>
        <item x="3"/>
        <item x="1"/>
        <item x="4"/>
        <item x="5"/>
        <item t="default"/>
      </items>
    </pivotField>
    <pivotField numFmtId="1" showAll="0"/>
    <pivotField showAll="0"/>
    <pivotField showAll="0"/>
    <pivotField showAll="0"/>
    <pivotField dataField="1" showAll="0"/>
    <pivotField numFmtId="164" showAll="0"/>
    <pivotField showAll="0"/>
    <pivotField showAll="0">
      <items count="5">
        <item x="3"/>
        <item x="1"/>
        <item x="0"/>
        <item x="2"/>
        <item t="default"/>
      </items>
    </pivotField>
  </pivotFields>
  <rowFields count="1">
    <field x="3"/>
  </rowFields>
  <rowItems count="7">
    <i>
      <x/>
    </i>
    <i>
      <x v="1"/>
    </i>
    <i>
      <x v="2"/>
    </i>
    <i>
      <x v="3"/>
    </i>
    <i>
      <x v="4"/>
    </i>
    <i>
      <x v="5"/>
    </i>
    <i t="grand">
      <x/>
    </i>
  </rowItems>
  <colItems count="1">
    <i/>
  </colItems>
  <dataFields count="1">
    <dataField name="Average of stickiness_index" fld="8" subtotal="average" baseField="3"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2E81A00-3415-4F6E-A604-4CAF42B5E7A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22:N29" firstHeaderRow="1" firstDataRow="1" firstDataCol="1"/>
  <pivotFields count="12">
    <pivotField showAll="0"/>
    <pivotField showAll="0"/>
    <pivotField showAll="0">
      <items count="8">
        <item x="6"/>
        <item x="2"/>
        <item x="1"/>
        <item x="3"/>
        <item x="0"/>
        <item x="4"/>
        <item x="5"/>
        <item t="default"/>
      </items>
    </pivotField>
    <pivotField axis="axisRow" showAll="0">
      <items count="7">
        <item x="2"/>
        <item x="0"/>
        <item x="3"/>
        <item x="1"/>
        <item x="4"/>
        <item x="5"/>
        <item t="default"/>
      </items>
    </pivotField>
    <pivotField numFmtId="1" showAll="0"/>
    <pivotField showAll="0"/>
    <pivotField dataField="1" showAll="0"/>
    <pivotField showAll="0"/>
    <pivotField showAll="0"/>
    <pivotField numFmtId="164" showAll="0"/>
    <pivotField showAll="0"/>
    <pivotField showAll="0">
      <items count="5">
        <item x="3"/>
        <item x="1"/>
        <item x="0"/>
        <item x="2"/>
        <item t="default"/>
      </items>
    </pivotField>
  </pivotFields>
  <rowFields count="1">
    <field x="3"/>
  </rowFields>
  <rowItems count="7">
    <i>
      <x/>
    </i>
    <i>
      <x v="1"/>
    </i>
    <i>
      <x v="2"/>
    </i>
    <i>
      <x v="3"/>
    </i>
    <i>
      <x v="4"/>
    </i>
    <i>
      <x v="5"/>
    </i>
    <i t="grand">
      <x/>
    </i>
  </rowItems>
  <colItems count="1">
    <i/>
  </colItems>
  <dataFields count="1">
    <dataField name="Average of avg_session_duration_min" fld="6" subtotal="average" baseField="3" baseItem="0" numFmtId="2"/>
  </dataFields>
  <formats count="2">
    <format dxfId="6">
      <pivotArea collapsedLevelsAreSubtotals="1" fieldPosition="0">
        <references count="1">
          <reference field="3" count="1">
            <x v="1"/>
          </reference>
        </references>
      </pivotArea>
    </format>
    <format dxfId="5">
      <pivotArea outline="0" collapsedLevelsAreSubtotals="1" fieldPosition="0"/>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5F18C17-CA80-4EEB-9EC0-DF1E6F93314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22:N27" firstHeaderRow="1" firstDataRow="1" firstDataCol="1"/>
  <pivotFields count="12">
    <pivotField showAll="0"/>
    <pivotField showAll="0"/>
    <pivotField showAll="0">
      <items count="8">
        <item x="6"/>
        <item x="2"/>
        <item x="1"/>
        <item x="3"/>
        <item x="0"/>
        <item x="4"/>
        <item x="5"/>
        <item t="default"/>
      </items>
    </pivotField>
    <pivotField showAll="0">
      <items count="7">
        <item x="2"/>
        <item x="0"/>
        <item x="3"/>
        <item x="1"/>
        <item x="4"/>
        <item x="5"/>
        <item t="default"/>
      </items>
    </pivotField>
    <pivotField numFmtId="1" showAll="0"/>
    <pivotField showAll="0"/>
    <pivotField dataField="1" showAll="0"/>
    <pivotField showAll="0"/>
    <pivotField showAll="0"/>
    <pivotField numFmtId="164" showAll="0"/>
    <pivotField showAll="0"/>
    <pivotField axis="axisRow" showAll="0">
      <items count="5">
        <item x="3"/>
        <item x="1"/>
        <item x="0"/>
        <item x="2"/>
        <item t="default"/>
      </items>
    </pivotField>
  </pivotFields>
  <rowFields count="1">
    <field x="11"/>
  </rowFields>
  <rowItems count="5">
    <i>
      <x/>
    </i>
    <i>
      <x v="1"/>
    </i>
    <i>
      <x v="2"/>
    </i>
    <i>
      <x v="3"/>
    </i>
    <i t="grand">
      <x/>
    </i>
  </rowItems>
  <colItems count="1">
    <i/>
  </colItems>
  <dataFields count="1">
    <dataField name="Average of avg_session_duration_min" fld="6" subtotal="average" baseField="11" baseItem="0"/>
  </dataField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B55D8C7-668E-4062-8280-726D2C42738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8" firstHeaderRow="1" firstDataRow="1" firstDataCol="1"/>
  <pivotFields count="12">
    <pivotField showAll="0"/>
    <pivotField showAll="0"/>
    <pivotField showAll="0">
      <items count="8">
        <item x="6"/>
        <item x="2"/>
        <item x="1"/>
        <item x="3"/>
        <item x="0"/>
        <item x="4"/>
        <item x="5"/>
        <item t="default"/>
      </items>
    </pivotField>
    <pivotField showAll="0">
      <items count="7">
        <item x="2"/>
        <item x="0"/>
        <item x="3"/>
        <item x="1"/>
        <item x="4"/>
        <item x="5"/>
        <item t="default"/>
      </items>
    </pivotField>
    <pivotField numFmtId="1" showAll="0"/>
    <pivotField dataField="1" showAll="0"/>
    <pivotField showAll="0"/>
    <pivotField showAll="0"/>
    <pivotField showAll="0"/>
    <pivotField numFmtId="164" showAll="0"/>
    <pivotField showAll="0"/>
    <pivotField axis="axisRow" showAll="0">
      <items count="5">
        <item x="3"/>
        <item x="1"/>
        <item x="0"/>
        <item x="2"/>
        <item t="default"/>
      </items>
    </pivotField>
  </pivotFields>
  <rowFields count="1">
    <field x="11"/>
  </rowFields>
  <rowItems count="5">
    <i>
      <x/>
    </i>
    <i>
      <x v="1"/>
    </i>
    <i>
      <x v="2"/>
    </i>
    <i>
      <x v="3"/>
    </i>
    <i t="grand">
      <x/>
    </i>
  </rowItems>
  <colItems count="1">
    <i/>
  </colItems>
  <dataFields count="1">
    <dataField name="Average of bounce_rate_pct" fld="5" subtotal="average" baseField="11"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AEC1F3F-57C9-44E7-974B-3CFD86D9BF6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0:B25" firstHeaderRow="1" firstDataRow="1" firstDataCol="1"/>
  <pivotFields count="12">
    <pivotField showAll="0"/>
    <pivotField showAll="0"/>
    <pivotField showAll="0">
      <items count="8">
        <item x="6"/>
        <item x="2"/>
        <item x="1"/>
        <item x="3"/>
        <item x="0"/>
        <item x="4"/>
        <item x="5"/>
        <item t="default"/>
      </items>
    </pivotField>
    <pivotField showAll="0">
      <items count="7">
        <item x="2"/>
        <item x="0"/>
        <item x="3"/>
        <item x="1"/>
        <item x="4"/>
        <item x="5"/>
        <item t="default"/>
      </items>
    </pivotField>
    <pivotField dataField="1" numFmtId="1" showAll="0"/>
    <pivotField showAll="0"/>
    <pivotField showAll="0"/>
    <pivotField showAll="0"/>
    <pivotField showAll="0"/>
    <pivotField numFmtId="164" showAll="0"/>
    <pivotField showAll="0"/>
    <pivotField axis="axisRow" showAll="0">
      <items count="5">
        <item x="3"/>
        <item x="1"/>
        <item x="0"/>
        <item x="2"/>
        <item t="default"/>
      </items>
    </pivotField>
  </pivotFields>
  <rowFields count="1">
    <field x="11"/>
  </rowFields>
  <rowItems count="5">
    <i>
      <x/>
    </i>
    <i>
      <x v="1"/>
    </i>
    <i>
      <x v="2"/>
    </i>
    <i>
      <x v="3"/>
    </i>
    <i t="grand">
      <x/>
    </i>
  </rowItems>
  <colItems count="1">
    <i/>
  </colItems>
  <dataFields count="1">
    <dataField name="Sum of monthly_visits" fld="4" baseField="0" baseItem="0" numFmtId="167"/>
  </dataFields>
  <formats count="1">
    <format dxfId="3">
      <pivotArea outline="0" collapsedLevelsAreSubtotals="1" fieldPosition="0"/>
    </format>
  </formats>
  <chartFormats count="10">
    <chartFormat chart="10"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1" count="1" selected="0">
            <x v="0"/>
          </reference>
        </references>
      </pivotArea>
    </chartFormat>
    <chartFormat chart="12" format="8">
      <pivotArea type="data" outline="0" fieldPosition="0">
        <references count="2">
          <reference field="4294967294" count="1" selected="0">
            <x v="0"/>
          </reference>
          <reference field="11" count="1" selected="0">
            <x v="1"/>
          </reference>
        </references>
      </pivotArea>
    </chartFormat>
    <chartFormat chart="12" format="9">
      <pivotArea type="data" outline="0" fieldPosition="0">
        <references count="2">
          <reference field="4294967294" count="1" selected="0">
            <x v="0"/>
          </reference>
          <reference field="11" count="1" selected="0">
            <x v="2"/>
          </reference>
        </references>
      </pivotArea>
    </chartFormat>
    <chartFormat chart="12" format="10">
      <pivotArea type="data" outline="0" fieldPosition="0">
        <references count="2">
          <reference field="4294967294" count="1" selected="0">
            <x v="0"/>
          </reference>
          <reference field="11" count="1" selected="0">
            <x v="3"/>
          </reference>
        </references>
      </pivotArea>
    </chartFormat>
    <chartFormat chart="10" format="1">
      <pivotArea type="data" outline="0" fieldPosition="0">
        <references count="2">
          <reference field="4294967294" count="1" selected="0">
            <x v="0"/>
          </reference>
          <reference field="11" count="1" selected="0">
            <x v="0"/>
          </reference>
        </references>
      </pivotArea>
    </chartFormat>
    <chartFormat chart="10" format="2">
      <pivotArea type="data" outline="0" fieldPosition="0">
        <references count="2">
          <reference field="4294967294" count="1" selected="0">
            <x v="0"/>
          </reference>
          <reference field="11" count="1" selected="0">
            <x v="1"/>
          </reference>
        </references>
      </pivotArea>
    </chartFormat>
    <chartFormat chart="10" format="3">
      <pivotArea type="data" outline="0" fieldPosition="0">
        <references count="2">
          <reference field="4294967294" count="1" selected="0">
            <x v="0"/>
          </reference>
          <reference field="11" count="1" selected="0">
            <x v="2"/>
          </reference>
        </references>
      </pivotArea>
    </chartFormat>
    <chartFormat chart="10"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6989115-F7D8-4899-96DA-F1D377AE831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2">
    <pivotField dataField="1" showAll="0"/>
    <pivotField showAll="0"/>
    <pivotField showAll="0">
      <items count="8">
        <item x="6"/>
        <item x="2"/>
        <item x="1"/>
        <item x="3"/>
        <item x="0"/>
        <item x="4"/>
        <item x="5"/>
        <item t="default"/>
      </items>
    </pivotField>
    <pivotField showAll="0">
      <items count="7">
        <item x="2"/>
        <item x="0"/>
        <item x="3"/>
        <item x="1"/>
        <item x="4"/>
        <item x="5"/>
        <item t="default"/>
      </items>
    </pivotField>
    <pivotField numFmtId="1" showAll="0"/>
    <pivotField showAll="0"/>
    <pivotField showAll="0"/>
    <pivotField showAll="0"/>
    <pivotField showAll="0"/>
    <pivotField numFmtId="164" showAll="0"/>
    <pivotField showAll="0"/>
    <pivotField axis="axisRow" showAll="0">
      <items count="5">
        <item x="3"/>
        <item x="1"/>
        <item x="0"/>
        <item x="2"/>
        <item t="default"/>
      </items>
    </pivotField>
  </pivotFields>
  <rowFields count="1">
    <field x="11"/>
  </rowFields>
  <rowItems count="5">
    <i>
      <x/>
    </i>
    <i>
      <x v="1"/>
    </i>
    <i>
      <x v="2"/>
    </i>
    <i>
      <x v="3"/>
    </i>
    <i t="grand">
      <x/>
    </i>
  </rowItems>
  <colItems count="1">
    <i/>
  </colItems>
  <dataFields count="1">
    <dataField name="Average of global_rank" fld="0" subtotal="average" baseField="11"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FA659DC-28E6-4E75-B5DD-AB41D3A40080}"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35:N40" firstHeaderRow="1" firstDataRow="1" firstDataCol="1"/>
  <pivotFields count="12">
    <pivotField showAll="0"/>
    <pivotField showAll="0"/>
    <pivotField showAll="0">
      <items count="8">
        <item x="6"/>
        <item x="2"/>
        <item x="1"/>
        <item x="3"/>
        <item x="0"/>
        <item x="4"/>
        <item x="5"/>
        <item t="default"/>
      </items>
    </pivotField>
    <pivotField showAll="0">
      <items count="7">
        <item x="2"/>
        <item x="0"/>
        <item x="3"/>
        <item x="1"/>
        <item x="4"/>
        <item x="5"/>
        <item t="default"/>
      </items>
    </pivotField>
    <pivotField numFmtId="1" showAll="0"/>
    <pivotField showAll="0"/>
    <pivotField showAll="0"/>
    <pivotField showAll="0"/>
    <pivotField showAll="0"/>
    <pivotField numFmtId="164" showAll="0"/>
    <pivotField dataField="1" showAll="0"/>
    <pivotField axis="axisRow" showAll="0">
      <items count="5">
        <item x="3"/>
        <item x="1"/>
        <item x="0"/>
        <item x="2"/>
        <item t="default"/>
      </items>
    </pivotField>
  </pivotFields>
  <rowFields count="1">
    <field x="11"/>
  </rowFields>
  <rowItems count="5">
    <i>
      <x/>
    </i>
    <i>
      <x v="1"/>
    </i>
    <i>
      <x v="2"/>
    </i>
    <i>
      <x v="3"/>
    </i>
    <i t="grand">
      <x/>
    </i>
  </rowItems>
  <colItems count="1">
    <i/>
  </colItems>
  <dataFields count="1">
    <dataField name="Average of enagement_score" fld="10" subtotal="average" baseField="11" baseItem="0"/>
  </dataFields>
  <chartFormats count="1">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4C45EC4-6559-4E3A-920D-B634B4B0C30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6:B41" firstHeaderRow="1" firstDataRow="1" firstDataCol="1"/>
  <pivotFields count="12">
    <pivotField showAll="0"/>
    <pivotField showAll="0"/>
    <pivotField showAll="0">
      <items count="8">
        <item x="6"/>
        <item x="2"/>
        <item x="1"/>
        <item x="3"/>
        <item x="0"/>
        <item x="4"/>
        <item x="5"/>
        <item t="default"/>
      </items>
    </pivotField>
    <pivotField showAll="0">
      <items count="7">
        <item x="2"/>
        <item x="0"/>
        <item x="3"/>
        <item x="1"/>
        <item x="4"/>
        <item x="5"/>
        <item t="default"/>
      </items>
    </pivotField>
    <pivotField numFmtId="1" showAll="0"/>
    <pivotField showAll="0"/>
    <pivotField showAll="0"/>
    <pivotField showAll="0"/>
    <pivotField dataField="1" showAll="0"/>
    <pivotField numFmtId="164" showAll="0"/>
    <pivotField showAll="0"/>
    <pivotField axis="axisRow" showAll="0">
      <items count="5">
        <item x="3"/>
        <item x="1"/>
        <item x="0"/>
        <item x="2"/>
        <item t="default"/>
      </items>
    </pivotField>
  </pivotFields>
  <rowFields count="1">
    <field x="11"/>
  </rowFields>
  <rowItems count="5">
    <i>
      <x/>
    </i>
    <i>
      <x v="1"/>
    </i>
    <i>
      <x v="2"/>
    </i>
    <i>
      <x v="3"/>
    </i>
    <i t="grand">
      <x/>
    </i>
  </rowItems>
  <colItems count="1">
    <i/>
  </colItems>
  <dataFields count="1">
    <dataField name="Average of stickiness_index" fld="8" subtotal="average" baseField="11" baseItem="0"/>
  </dataField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FAE623F-1152-4732-A16B-B6F57F42796F}"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F10" firstHeaderRow="1" firstDataRow="1" firstDataCol="0"/>
  <pivotFields count="12">
    <pivotField showAll="0"/>
    <pivotField showAll="0">
      <items count="1501">
        <item x="144"/>
        <item x="420"/>
        <item x="1356"/>
        <item x="1014"/>
        <item x="986"/>
        <item x="1408"/>
        <item x="659"/>
        <item x="1387"/>
        <item x="547"/>
        <item x="492"/>
        <item x="738"/>
        <item x="707"/>
        <item x="582"/>
        <item x="500"/>
        <item x="1412"/>
        <item x="157"/>
        <item x="297"/>
        <item x="989"/>
        <item x="1481"/>
        <item x="104"/>
        <item x="41"/>
        <item x="1035"/>
        <item x="1181"/>
        <item x="584"/>
        <item x="1095"/>
        <item x="813"/>
        <item x="599"/>
        <item x="1207"/>
        <item x="1367"/>
        <item x="1250"/>
        <item x="1146"/>
        <item x="1206"/>
        <item x="833"/>
        <item x="963"/>
        <item x="446"/>
        <item x="729"/>
        <item x="905"/>
        <item x="807"/>
        <item x="1260"/>
        <item x="1451"/>
        <item x="178"/>
        <item x="67"/>
        <item x="171"/>
        <item x="417"/>
        <item x="718"/>
        <item x="566"/>
        <item x="324"/>
        <item x="372"/>
        <item x="226"/>
        <item x="201"/>
        <item x="1076"/>
        <item x="722"/>
        <item x="809"/>
        <item x="380"/>
        <item x="1136"/>
        <item x="643"/>
        <item x="835"/>
        <item x="973"/>
        <item x="945"/>
        <item x="431"/>
        <item x="377"/>
        <item x="21"/>
        <item x="52"/>
        <item x="13"/>
        <item x="22"/>
        <item x="334"/>
        <item x="501"/>
        <item x="233"/>
        <item x="1241"/>
        <item x="291"/>
        <item x="234"/>
        <item x="486"/>
        <item x="321"/>
        <item x="387"/>
        <item x="1230"/>
        <item x="898"/>
        <item x="357"/>
        <item x="159"/>
        <item x="409"/>
        <item x="733"/>
        <item x="344"/>
        <item x="815"/>
        <item x="1240"/>
        <item x="1056"/>
        <item x="1087"/>
        <item x="661"/>
        <item x="520"/>
        <item x="287"/>
        <item x="23"/>
        <item x="957"/>
        <item x="866"/>
        <item x="1025"/>
        <item x="1151"/>
        <item x="411"/>
        <item x="124"/>
        <item x="734"/>
        <item x="642"/>
        <item x="724"/>
        <item x="750"/>
        <item x="120"/>
        <item x="397"/>
        <item x="9"/>
        <item x="644"/>
        <item x="129"/>
        <item x="1052"/>
        <item x="786"/>
        <item x="749"/>
        <item x="477"/>
        <item x="296"/>
        <item x="476"/>
        <item x="484"/>
        <item x="1005"/>
        <item x="232"/>
        <item x="694"/>
        <item x="1431"/>
        <item x="691"/>
        <item x="428"/>
        <item x="1288"/>
        <item x="1130"/>
        <item x="122"/>
        <item x="1145"/>
        <item x="1496"/>
        <item x="805"/>
        <item x="134"/>
        <item x="1032"/>
        <item x="684"/>
        <item x="7"/>
        <item x="1473"/>
        <item x="1440"/>
        <item x="38"/>
        <item x="142"/>
        <item x="119"/>
        <item x="274"/>
        <item x="42"/>
        <item x="743"/>
        <item x="1486"/>
        <item x="909"/>
        <item x="140"/>
        <item x="1138"/>
        <item x="1218"/>
        <item x="633"/>
        <item x="585"/>
        <item x="1049"/>
        <item x="1316"/>
        <item x="702"/>
        <item x="1300"/>
        <item x="573"/>
        <item x="620"/>
        <item x="879"/>
        <item x="1159"/>
        <item x="1019"/>
        <item x="302"/>
        <item x="185"/>
        <item x="412"/>
        <item x="625"/>
        <item x="364"/>
        <item x="162"/>
        <item x="553"/>
        <item x="552"/>
        <item x="117"/>
        <item x="1317"/>
        <item x="26"/>
        <item x="824"/>
        <item x="536"/>
        <item x="205"/>
        <item x="174"/>
        <item x="187"/>
        <item x="91"/>
        <item x="342"/>
        <item x="766"/>
        <item x="867"/>
        <item x="1490"/>
        <item x="1482"/>
        <item x="210"/>
        <item x="208"/>
        <item x="143"/>
        <item x="680"/>
        <item x="498"/>
        <item x="450"/>
        <item x="563"/>
        <item x="799"/>
        <item x="1149"/>
        <item x="1405"/>
        <item x="1053"/>
        <item x="892"/>
        <item x="984"/>
        <item x="685"/>
        <item x="558"/>
        <item x="851"/>
        <item x="304"/>
        <item x="1265"/>
        <item x="975"/>
        <item x="33"/>
        <item x="1407"/>
        <item x="1117"/>
        <item x="89"/>
        <item x="1050"/>
        <item x="731"/>
        <item x="1393"/>
        <item x="525"/>
        <item x="109"/>
        <item x="1203"/>
        <item x="353"/>
        <item x="657"/>
        <item x="1438"/>
        <item x="1275"/>
        <item x="634"/>
        <item x="1360"/>
        <item x="995"/>
        <item x="253"/>
        <item x="1447"/>
        <item x="1355"/>
        <item x="748"/>
        <item x="1272"/>
        <item x="449"/>
        <item x="614"/>
        <item x="557"/>
        <item x="576"/>
        <item x="696"/>
        <item x="513"/>
        <item x="1435"/>
        <item x="902"/>
        <item x="716"/>
        <item x="780"/>
        <item x="399"/>
        <item x="1078"/>
        <item x="1221"/>
        <item x="930"/>
        <item x="630"/>
        <item x="1452"/>
        <item x="730"/>
        <item x="923"/>
        <item x="114"/>
        <item x="758"/>
        <item x="720"/>
        <item x="463"/>
        <item x="1126"/>
        <item x="293"/>
        <item x="575"/>
        <item x="952"/>
        <item x="965"/>
        <item x="1258"/>
        <item x="424"/>
        <item x="1444"/>
        <item x="1495"/>
        <item x="1285"/>
        <item x="674"/>
        <item x="222"/>
        <item x="539"/>
        <item x="307"/>
        <item x="1415"/>
        <item x="1309"/>
        <item x="1437"/>
        <item x="1396"/>
        <item x="1483"/>
        <item x="241"/>
        <item x="1020"/>
        <item x="628"/>
        <item x="332"/>
        <item x="1071"/>
        <item x="1216"/>
        <item x="471"/>
        <item x="154"/>
        <item x="169"/>
        <item x="347"/>
        <item x="255"/>
        <item x="933"/>
        <item x="1033"/>
        <item x="107"/>
        <item x="454"/>
        <item x="753"/>
        <item x="1256"/>
        <item x="918"/>
        <item x="914"/>
        <item x="160"/>
        <item x="897"/>
        <item x="330"/>
        <item x="868"/>
        <item x="728"/>
        <item x="224"/>
        <item x="841"/>
        <item x="852"/>
        <item x="1392"/>
        <item x="331"/>
        <item x="838"/>
        <item x="769"/>
        <item x="1432"/>
        <item x="123"/>
        <item x="5"/>
        <item x="68"/>
        <item x="82"/>
        <item x="320"/>
        <item x="62"/>
        <item x="788"/>
        <item x="360"/>
        <item x="899"/>
        <item x="1422"/>
        <item x="435"/>
        <item x="161"/>
        <item x="603"/>
        <item x="181"/>
        <item x="1192"/>
        <item x="996"/>
        <item x="1391"/>
        <item x="590"/>
        <item x="228"/>
        <item x="1229"/>
        <item x="519"/>
        <item x="1185"/>
        <item x="1251"/>
        <item x="627"/>
        <item x="415"/>
        <item x="375"/>
        <item x="1127"/>
        <item x="1278"/>
        <item x="1410"/>
        <item x="405"/>
        <item x="951"/>
        <item x="969"/>
        <item x="958"/>
        <item x="1105"/>
        <item x="223"/>
        <item x="1380"/>
        <item x="319"/>
        <item x="937"/>
        <item x="723"/>
        <item x="198"/>
        <item x="1266"/>
        <item x="137"/>
        <item x="759"/>
        <item x="1314"/>
        <item x="441"/>
        <item x="670"/>
        <item x="1067"/>
        <item x="1104"/>
        <item x="739"/>
        <item x="1128"/>
        <item x="1348"/>
        <item x="345"/>
        <item x="363"/>
        <item x="1320"/>
        <item x="787"/>
        <item x="935"/>
        <item x="959"/>
        <item x="747"/>
        <item x="717"/>
        <item x="1264"/>
        <item x="1119"/>
        <item x="317"/>
        <item x="636"/>
        <item x="1157"/>
        <item x="371"/>
        <item x="896"/>
        <item x="229"/>
        <item x="1489"/>
        <item x="527"/>
        <item x="961"/>
        <item x="1202"/>
        <item x="34"/>
        <item x="1315"/>
        <item x="578"/>
        <item x="1176"/>
        <item x="870"/>
        <item x="165"/>
        <item x="110"/>
        <item x="392"/>
        <item x="771"/>
        <item x="803"/>
        <item x="775"/>
        <item x="1247"/>
        <item x="1470"/>
        <item x="1280"/>
        <item x="1172"/>
        <item x="713"/>
        <item x="115"/>
        <item x="1072"/>
        <item x="286"/>
        <item x="118"/>
        <item x="264"/>
        <item x="537"/>
        <item x="679"/>
        <item x="526"/>
        <item x="862"/>
        <item x="1108"/>
        <item x="225"/>
        <item x="32"/>
        <item x="1287"/>
        <item x="660"/>
        <item x="31"/>
        <item x="260"/>
        <item x="323"/>
        <item x="600"/>
        <item x="1041"/>
        <item x="268"/>
        <item x="127"/>
        <item x="290"/>
        <item x="240"/>
        <item x="572"/>
        <item x="398"/>
        <item x="433"/>
        <item x="1289"/>
        <item x="546"/>
        <item x="1121"/>
        <item x="11"/>
        <item x="43"/>
        <item x="1257"/>
        <item x="278"/>
        <item x="379"/>
        <item x="1010"/>
        <item x="871"/>
        <item x="227"/>
        <item x="934"/>
        <item x="1236"/>
        <item x="1455"/>
        <item x="1103"/>
        <item x="1021"/>
        <item x="638"/>
        <item x="242"/>
        <item x="83"/>
        <item x="92"/>
        <item x="1037"/>
        <item x="1353"/>
        <item x="1331"/>
        <item x="1398"/>
        <item x="475"/>
        <item x="1167"/>
        <item x="1177"/>
        <item x="1102"/>
        <item x="646"/>
        <item x="1429"/>
        <item x="1254"/>
        <item x="754"/>
        <item x="931"/>
        <item x="116"/>
        <item x="940"/>
        <item x="1118"/>
        <item x="736"/>
        <item x="541"/>
        <item x="381"/>
        <item x="1142"/>
        <item x="294"/>
        <item x="1175"/>
        <item x="874"/>
        <item x="112"/>
        <item x="473"/>
        <item x="818"/>
        <item x="1318"/>
        <item x="184"/>
        <item x="1448"/>
        <item x="402"/>
        <item x="794"/>
        <item x="1310"/>
        <item x="583"/>
        <item x="311"/>
        <item x="148"/>
        <item x="3"/>
        <item x="376"/>
        <item x="609"/>
        <item x="1226"/>
        <item x="1325"/>
        <item x="1008"/>
        <item x="1439"/>
        <item x="544"/>
        <item x="1492"/>
        <item x="37"/>
        <item x="276"/>
        <item x="1498"/>
        <item x="693"/>
        <item x="1209"/>
        <item x="19"/>
        <item x="1031"/>
        <item x="941"/>
        <item x="784"/>
        <item x="1302"/>
        <item x="1386"/>
        <item x="1228"/>
        <item x="1401"/>
        <item x="983"/>
        <item x="846"/>
        <item x="1366"/>
        <item x="1193"/>
        <item x="1106"/>
        <item x="506"/>
        <item x="427"/>
        <item x="752"/>
        <item x="1147"/>
        <item x="830"/>
        <item x="168"/>
        <item x="1015"/>
        <item x="1305"/>
        <item x="980"/>
        <item x="615"/>
        <item x="199"/>
        <item x="618"/>
        <item x="145"/>
        <item x="305"/>
        <item x="1097"/>
        <item x="451"/>
        <item x="1426"/>
        <item x="1110"/>
        <item x="593"/>
        <item x="706"/>
        <item x="911"/>
        <item x="524"/>
        <item x="1276"/>
        <item x="1427"/>
        <item x="1169"/>
        <item x="1274"/>
        <item x="828"/>
        <item x="635"/>
        <item x="467"/>
        <item x="1372"/>
        <item x="436"/>
        <item x="1419"/>
        <item x="59"/>
        <item x="515"/>
        <item x="994"/>
        <item x="1211"/>
        <item x="1292"/>
        <item x="532"/>
        <item x="924"/>
        <item x="1468"/>
        <item x="1400"/>
        <item x="876"/>
        <item x="671"/>
        <item x="152"/>
        <item x="457"/>
        <item x="1116"/>
        <item x="30"/>
        <item x="121"/>
        <item x="650"/>
        <item x="460"/>
        <item x="926"/>
        <item x="858"/>
        <item x="395"/>
        <item x="220"/>
        <item x="341"/>
        <item x="351"/>
        <item x="170"/>
        <item x="1135"/>
        <item x="839"/>
        <item x="55"/>
        <item x="444"/>
        <item x="1478"/>
        <item x="1099"/>
        <item x="737"/>
        <item x="990"/>
        <item x="663"/>
        <item x="0"/>
        <item x="400"/>
        <item x="549"/>
        <item x="479"/>
        <item x="1115"/>
        <item x="1024"/>
        <item x="1239"/>
        <item x="1474"/>
        <item x="105"/>
        <item x="79"/>
        <item x="6"/>
        <item x="284"/>
        <item x="72"/>
        <item x="54"/>
        <item x="20"/>
        <item x="602"/>
        <item x="27"/>
        <item x="16"/>
        <item x="571"/>
        <item x="912"/>
        <item x="456"/>
        <item x="283"/>
        <item x="610"/>
        <item x="125"/>
        <item x="1079"/>
        <item x="1307"/>
        <item x="12"/>
        <item x="810"/>
        <item x="1"/>
        <item x="1213"/>
        <item x="710"/>
        <item x="71"/>
        <item x="70"/>
        <item x="1319"/>
        <item x="1425"/>
        <item x="262"/>
        <item x="608"/>
        <item x="779"/>
        <item x="482"/>
        <item x="1397"/>
        <item x="1460"/>
        <item x="651"/>
        <item x="850"/>
        <item x="1036"/>
        <item x="936"/>
        <item x="1134"/>
        <item x="369"/>
        <item x="988"/>
        <item x="285"/>
        <item x="1327"/>
        <item x="270"/>
        <item x="624"/>
        <item x="676"/>
        <item x="1120"/>
        <item x="1055"/>
        <item x="861"/>
        <item x="1326"/>
        <item x="1237"/>
        <item x="1141"/>
        <item x="895"/>
        <item x="1337"/>
        <item x="725"/>
        <item x="430"/>
        <item x="721"/>
        <item x="550"/>
        <item x="1233"/>
        <item x="258"/>
        <item x="1445"/>
        <item x="408"/>
        <item x="249"/>
        <item x="1047"/>
        <item x="913"/>
        <item x="1369"/>
        <item x="1140"/>
        <item x="1044"/>
        <item x="295"/>
        <item x="367"/>
        <item x="1200"/>
        <item x="45"/>
        <item x="491"/>
        <item x="588"/>
        <item x="1227"/>
        <item x="1377"/>
        <item x="1101"/>
        <item x="601"/>
        <item x="440"/>
        <item x="1261"/>
        <item x="981"/>
        <item x="1480"/>
        <item x="597"/>
        <item x="1370"/>
        <item x="1063"/>
        <item x="1374"/>
        <item x="1321"/>
        <item x="425"/>
        <item x="236"/>
        <item x="461"/>
        <item x="622"/>
        <item x="1338"/>
        <item x="925"/>
        <item x="669"/>
        <item x="761"/>
        <item x="1051"/>
        <item x="396"/>
        <item x="404"/>
        <item x="1388"/>
        <item x="1409"/>
        <item x="1223"/>
        <item x="496"/>
        <item x="1144"/>
        <item x="1022"/>
        <item x="1082"/>
        <item x="261"/>
        <item x="338"/>
        <item x="10"/>
        <item x="1153"/>
        <item x="533"/>
        <item x="581"/>
        <item x="102"/>
        <item x="1363"/>
        <item x="781"/>
        <item x="607"/>
        <item x="434"/>
        <item x="637"/>
        <item x="1488"/>
        <item x="406"/>
        <item x="1311"/>
        <item x="854"/>
        <item x="318"/>
        <item x="1039"/>
        <item x="1182"/>
        <item x="306"/>
        <item x="1197"/>
        <item x="1340"/>
        <item x="1354"/>
        <item x="1362"/>
        <item x="1333"/>
        <item x="1183"/>
        <item x="1198"/>
        <item x="943"/>
        <item x="891"/>
        <item x="1084"/>
        <item x="239"/>
        <item x="613"/>
        <item x="534"/>
        <item x="301"/>
        <item x="1123"/>
        <item x="1271"/>
        <item x="1284"/>
        <item x="1162"/>
        <item x="1339"/>
        <item x="1359"/>
        <item x="150"/>
        <item x="310"/>
        <item x="1070"/>
        <item x="1345"/>
        <item x="878"/>
        <item x="976"/>
        <item x="673"/>
        <item x="920"/>
        <item x="1062"/>
        <item x="1453"/>
        <item x="704"/>
        <item x="1416"/>
        <item x="776"/>
        <item x="929"/>
        <item x="247"/>
        <item x="939"/>
        <item x="864"/>
        <item x="966"/>
        <item x="470"/>
        <item x="312"/>
        <item x="386"/>
        <item x="985"/>
        <item x="1124"/>
        <item x="774"/>
        <item x="299"/>
        <item x="263"/>
        <item x="1252"/>
        <item x="1098"/>
        <item x="816"/>
        <item x="928"/>
        <item x="690"/>
        <item x="177"/>
        <item x="741"/>
        <item x="1004"/>
        <item x="1164"/>
        <item x="1224"/>
        <item x="1350"/>
        <item x="1018"/>
        <item x="979"/>
        <item x="742"/>
        <item x="1091"/>
        <item x="698"/>
        <item x="586"/>
        <item x="1188"/>
        <item x="770"/>
        <item x="699"/>
        <item x="1006"/>
        <item x="619"/>
        <item x="455"/>
        <item x="18"/>
        <item x="244"/>
        <item x="857"/>
        <item x="1497"/>
        <item x="439"/>
        <item x="1418"/>
        <item x="1246"/>
        <item x="17"/>
        <item x="616"/>
        <item x="825"/>
        <item x="1242"/>
        <item x="350"/>
        <item x="808"/>
        <item x="349"/>
        <item x="577"/>
        <item x="873"/>
        <item x="1417"/>
        <item x="1195"/>
        <item x="163"/>
        <item x="1002"/>
        <item x="974"/>
        <item x="4"/>
        <item x="887"/>
        <item x="697"/>
        <item x="176"/>
        <item x="1222"/>
        <item x="1291"/>
        <item x="1414"/>
        <item x="1210"/>
        <item x="215"/>
        <item x="1042"/>
        <item x="790"/>
        <item x="542"/>
        <item x="1187"/>
        <item x="1245"/>
        <item x="649"/>
        <item x="1430"/>
        <item x="800"/>
        <item x="1313"/>
        <item x="478"/>
        <item x="834"/>
        <item x="672"/>
        <item x="756"/>
        <item x="1263"/>
        <item x="300"/>
        <item x="275"/>
        <item x="1390"/>
        <item x="708"/>
        <item x="462"/>
        <item x="180"/>
        <item x="1064"/>
        <item x="606"/>
        <item x="885"/>
        <item x="1154"/>
        <item x="243"/>
        <item x="956"/>
        <item x="1092"/>
        <item x="932"/>
        <item x="1364"/>
        <item x="384"/>
        <item x="1234"/>
        <item x="1016"/>
        <item x="1290"/>
        <item x="1171"/>
        <item x="339"/>
        <item x="2"/>
        <item x="25"/>
        <item x="962"/>
        <item x="999"/>
        <item x="147"/>
        <item x="281"/>
        <item x="1477"/>
        <item x="1402"/>
        <item x="1328"/>
        <item x="1472"/>
        <item x="217"/>
        <item x="194"/>
        <item x="768"/>
        <item x="735"/>
        <item x="1161"/>
        <item x="265"/>
        <item x="1341"/>
        <item x="831"/>
        <item x="1080"/>
        <item x="1428"/>
        <item x="1485"/>
        <item x="1112"/>
        <item x="266"/>
        <item x="101"/>
        <item x="186"/>
        <item x="1029"/>
        <item x="151"/>
        <item x="130"/>
        <item x="416"/>
        <item x="58"/>
        <item x="277"/>
        <item x="192"/>
        <item x="136"/>
        <item x="497"/>
        <item x="1267"/>
        <item x="209"/>
        <item x="356"/>
        <item x="370"/>
        <item x="1248"/>
        <item x="490"/>
        <item x="1436"/>
        <item x="337"/>
        <item x="762"/>
        <item x="485"/>
        <item x="1085"/>
        <item x="282"/>
        <item x="1487"/>
        <item x="487"/>
        <item x="480"/>
        <item x="315"/>
        <item x="1220"/>
        <item x="393"/>
        <item x="875"/>
        <item x="314"/>
        <item x="1277"/>
        <item x="340"/>
        <item x="1382"/>
        <item x="823"/>
        <item x="488"/>
        <item x="695"/>
        <item x="1304"/>
        <item x="388"/>
        <item x="507"/>
        <item x="36"/>
        <item x="373"/>
        <item x="917"/>
        <item x="1344"/>
        <item x="746"/>
        <item x="629"/>
        <item x="949"/>
        <item x="970"/>
        <item x="1371"/>
        <item x="1088"/>
        <item x="900"/>
        <item x="954"/>
        <item x="466"/>
        <item x="197"/>
        <item x="445"/>
        <item x="389"/>
        <item x="93"/>
        <item x="84"/>
        <item x="1152"/>
        <item x="840"/>
        <item x="598"/>
        <item x="76"/>
        <item x="141"/>
        <item x="626"/>
        <item x="772"/>
        <item x="653"/>
        <item x="855"/>
        <item x="189"/>
        <item x="1476"/>
        <item x="565"/>
        <item x="740"/>
        <item x="200"/>
        <item x="1259"/>
        <item x="1253"/>
        <item x="1491"/>
        <item x="469"/>
        <item x="1013"/>
        <item x="1089"/>
        <item x="1301"/>
        <item x="465"/>
        <item x="252"/>
        <item x="1133"/>
        <item x="401"/>
        <item x="1457"/>
        <item x="63"/>
        <item x="1329"/>
        <item x="1094"/>
        <item x="1160"/>
        <item x="362"/>
        <item x="872"/>
        <item x="153"/>
        <item x="1441"/>
        <item x="1075"/>
        <item x="1191"/>
        <item x="14"/>
        <item x="39"/>
        <item x="80"/>
        <item x="280"/>
        <item x="95"/>
        <item x="489"/>
        <item x="1028"/>
        <item x="1150"/>
        <item x="675"/>
        <item x="256"/>
        <item x="139"/>
        <item x="1043"/>
        <item x="703"/>
        <item x="960"/>
        <item x="882"/>
        <item x="812"/>
        <item x="560"/>
        <item x="447"/>
        <item x="792"/>
        <item x="837"/>
        <item x="267"/>
        <item x="322"/>
        <item x="865"/>
        <item x="279"/>
        <item x="85"/>
        <item x="881"/>
        <item x="587"/>
        <item x="214"/>
        <item x="715"/>
        <item x="1009"/>
        <item x="1394"/>
        <item x="890"/>
        <item x="1046"/>
        <item x="554"/>
        <item x="658"/>
        <item x="126"/>
        <item x="1244"/>
        <item x="568"/>
        <item x="744"/>
        <item x="992"/>
        <item x="1086"/>
        <item x="448"/>
        <item x="206"/>
        <item x="692"/>
        <item x="365"/>
        <item x="1235"/>
        <item x="518"/>
        <item x="1065"/>
        <item x="418"/>
        <item x="1148"/>
        <item x="915"/>
        <item x="106"/>
        <item x="938"/>
        <item x="826"/>
        <item x="652"/>
        <item x="765"/>
        <item x="844"/>
        <item x="1132"/>
        <item x="303"/>
        <item x="955"/>
        <item x="664"/>
        <item x="47"/>
        <item x="429"/>
        <item x="987"/>
        <item x="128"/>
        <item x="849"/>
        <item x="570"/>
        <item x="196"/>
        <item x="385"/>
        <item x="1143"/>
        <item x="1125"/>
        <item x="968"/>
        <item x="1399"/>
        <item x="802"/>
        <item x="1347"/>
        <item x="1450"/>
        <item x="1303"/>
        <item x="1178"/>
        <item x="1442"/>
        <item x="791"/>
        <item x="860"/>
        <item x="760"/>
        <item x="886"/>
        <item x="1449"/>
        <item x="1467"/>
        <item x="1214"/>
        <item x="246"/>
        <item x="1204"/>
        <item x="1129"/>
        <item x="1471"/>
        <item x="681"/>
        <item x="203"/>
        <item x="1158"/>
        <item x="1423"/>
        <item x="61"/>
        <item x="682"/>
        <item x="785"/>
        <item x="502"/>
        <item x="1494"/>
        <item x="81"/>
        <item x="847"/>
        <item x="678"/>
        <item x="579"/>
        <item x="950"/>
        <item x="426"/>
        <item x="689"/>
        <item x="667"/>
        <item x="1346"/>
        <item x="548"/>
        <item x="782"/>
        <item x="904"/>
        <item x="1081"/>
        <item x="1469"/>
        <item x="853"/>
        <item x="811"/>
        <item x="452"/>
        <item x="947"/>
        <item x="789"/>
        <item x="888"/>
        <item x="103"/>
        <item x="645"/>
        <item x="1215"/>
        <item x="1466"/>
        <item x="156"/>
        <item x="146"/>
        <item x="1180"/>
        <item x="927"/>
        <item x="216"/>
        <item x="288"/>
        <item x="1279"/>
        <item x="964"/>
        <item x="1179"/>
        <item x="712"/>
        <item x="1255"/>
        <item x="1225"/>
        <item x="705"/>
        <item x="49"/>
        <item x="535"/>
        <item x="69"/>
        <item x="248"/>
        <item x="231"/>
        <item x="87"/>
        <item x="564"/>
        <item x="1069"/>
        <item x="179"/>
        <item x="1168"/>
        <item x="1342"/>
        <item x="1463"/>
        <item x="511"/>
        <item x="1361"/>
        <item x="621"/>
        <item x="1122"/>
        <item x="530"/>
        <item x="359"/>
        <item x="509"/>
        <item x="714"/>
        <item x="1107"/>
        <item x="221"/>
        <item x="842"/>
        <item x="88"/>
        <item x="709"/>
        <item x="594"/>
        <item x="273"/>
        <item x="1090"/>
        <item x="348"/>
        <item x="916"/>
        <item x="998"/>
        <item x="880"/>
        <item x="257"/>
        <item x="1048"/>
        <item x="1190"/>
        <item x="1073"/>
        <item x="453"/>
        <item x="352"/>
        <item x="374"/>
        <item x="383"/>
        <item x="213"/>
        <item x="237"/>
        <item x="494"/>
        <item x="856"/>
        <item x="922"/>
        <item x="1093"/>
        <item x="843"/>
        <item x="677"/>
        <item x="97"/>
        <item x="668"/>
        <item x="997"/>
        <item x="1189"/>
        <item x="1446"/>
        <item x="1424"/>
        <item x="783"/>
        <item x="407"/>
        <item x="272"/>
        <item x="46"/>
        <item x="543"/>
        <item x="495"/>
        <item x="188"/>
        <item x="732"/>
        <item x="580"/>
        <item x="921"/>
        <item x="166"/>
        <item x="836"/>
        <item x="639"/>
        <item x="1365"/>
        <item x="561"/>
        <item x="751"/>
        <item x="1459"/>
        <item x="1003"/>
        <item x="1045"/>
        <item x="56"/>
        <item x="1376"/>
        <item x="313"/>
        <item x="459"/>
        <item x="632"/>
        <item x="325"/>
        <item x="919"/>
        <item x="907"/>
        <item x="113"/>
        <item x="1499"/>
        <item x="993"/>
        <item x="512"/>
        <item x="503"/>
        <item x="1332"/>
        <item x="172"/>
        <item x="212"/>
        <item x="1383"/>
        <item x="589"/>
        <item x="1201"/>
        <item x="1184"/>
        <item x="468"/>
        <item x="688"/>
        <item x="978"/>
        <item x="155"/>
        <item x="889"/>
        <item x="1219"/>
        <item x="60"/>
        <item x="817"/>
        <item x="175"/>
        <item x="289"/>
        <item x="596"/>
        <item x="942"/>
        <item x="820"/>
        <item x="1404"/>
        <item x="617"/>
        <item x="1238"/>
        <item x="504"/>
        <item x="361"/>
        <item x="458"/>
        <item x="1308"/>
        <item x="1061"/>
        <item x="1012"/>
        <item x="238"/>
        <item x="422"/>
        <item x="1373"/>
        <item x="1334"/>
        <item x="421"/>
        <item x="298"/>
        <item x="133"/>
        <item x="700"/>
        <item x="763"/>
        <item x="259"/>
        <item x="1458"/>
        <item x="1312"/>
        <item x="592"/>
        <item x="1286"/>
        <item x="474"/>
        <item x="1000"/>
        <item x="1403"/>
        <item x="1475"/>
        <item x="604"/>
        <item x="1174"/>
        <item x="1358"/>
        <item x="510"/>
        <item x="1413"/>
        <item x="814"/>
        <item x="1379"/>
        <item x="202"/>
        <item x="111"/>
        <item x="1131"/>
        <item x="190"/>
        <item x="1199"/>
        <item x="569"/>
        <item x="419"/>
        <item x="654"/>
        <item x="559"/>
        <item x="1139"/>
        <item x="481"/>
        <item x="778"/>
        <item x="432"/>
        <item x="662"/>
        <item x="641"/>
        <item x="438"/>
        <item x="413"/>
        <item x="391"/>
        <item x="358"/>
        <item x="167"/>
        <item x="493"/>
        <item x="701"/>
        <item x="382"/>
        <item x="726"/>
        <item x="521"/>
        <item x="1027"/>
        <item x="819"/>
        <item x="1057"/>
        <item x="1384"/>
        <item x="1411"/>
        <item x="1217"/>
        <item x="893"/>
        <item x="1058"/>
        <item x="191"/>
        <item x="829"/>
        <item x="944"/>
        <item x="767"/>
        <item x="1298"/>
        <item x="797"/>
        <item x="64"/>
        <item x="66"/>
        <item x="394"/>
        <item x="158"/>
        <item x="686"/>
        <item x="574"/>
        <item x="75"/>
        <item x="414"/>
        <item x="335"/>
        <item x="946"/>
        <item x="514"/>
        <item x="538"/>
        <item x="1066"/>
        <item x="271"/>
        <item x="508"/>
        <item x="555"/>
        <item x="100"/>
        <item x="1109"/>
        <item x="1443"/>
        <item x="517"/>
        <item x="1421"/>
        <item x="1324"/>
        <item x="366"/>
        <item x="540"/>
        <item x="859"/>
        <item x="308"/>
        <item x="1170"/>
        <item x="48"/>
        <item x="1293"/>
        <item x="132"/>
        <item x="1155"/>
        <item x="551"/>
        <item x="1060"/>
        <item x="545"/>
        <item x="821"/>
        <item x="1493"/>
        <item x="410"/>
        <item x="982"/>
        <item x="193"/>
        <item x="1074"/>
        <item x="251"/>
        <item x="1034"/>
        <item x="149"/>
        <item x="1295"/>
        <item x="764"/>
        <item x="1273"/>
        <item x="612"/>
        <item x="204"/>
        <item x="15"/>
        <item x="1231"/>
        <item x="1456"/>
        <item x="623"/>
        <item x="611"/>
        <item x="211"/>
        <item x="1040"/>
        <item x="845"/>
        <item x="218"/>
        <item x="1077"/>
        <item x="1306"/>
        <item x="1270"/>
        <item x="96"/>
        <item x="1368"/>
        <item x="848"/>
        <item x="562"/>
        <item x="1395"/>
        <item x="1114"/>
        <item x="1232"/>
        <item x="972"/>
        <item x="977"/>
        <item x="343"/>
        <item x="687"/>
        <item x="1083"/>
        <item x="98"/>
        <item x="793"/>
        <item x="884"/>
        <item x="390"/>
        <item x="499"/>
        <item x="1243"/>
        <item x="655"/>
        <item x="1420"/>
        <item x="522"/>
        <item x="863"/>
        <item x="173"/>
        <item x="1249"/>
        <item x="806"/>
        <item x="1173"/>
        <item x="804"/>
        <item x="908"/>
        <item x="1281"/>
        <item x="1385"/>
        <item x="131"/>
        <item x="90"/>
        <item x="329"/>
        <item x="948"/>
        <item x="595"/>
        <item x="605"/>
        <item x="1166"/>
        <item x="640"/>
        <item x="648"/>
        <item x="1296"/>
        <item x="65"/>
        <item x="516"/>
        <item x="1113"/>
        <item x="801"/>
        <item x="378"/>
        <item x="1268"/>
        <item x="108"/>
        <item x="355"/>
        <item x="1038"/>
        <item x="727"/>
        <item x="368"/>
        <item x="1196"/>
        <item x="164"/>
        <item x="1165"/>
        <item x="666"/>
        <item x="877"/>
        <item x="182"/>
        <item x="183"/>
        <item x="1163"/>
        <item x="77"/>
        <item x="138"/>
        <item x="443"/>
        <item x="901"/>
        <item x="795"/>
        <item x="328"/>
        <item x="647"/>
        <item x="1205"/>
        <item x="523"/>
        <item x="656"/>
        <item x="346"/>
        <item x="219"/>
        <item x="1357"/>
        <item x="1023"/>
        <item x="195"/>
        <item x="971"/>
        <item x="832"/>
        <item x="827"/>
        <item x="309"/>
        <item x="953"/>
        <item x="327"/>
        <item x="796"/>
        <item x="50"/>
        <item x="35"/>
        <item x="326"/>
        <item x="903"/>
        <item x="250"/>
        <item x="1336"/>
        <item x="269"/>
        <item x="28"/>
        <item x="1299"/>
        <item x="207"/>
        <item x="316"/>
        <item x="99"/>
        <item x="53"/>
        <item x="29"/>
        <item x="483"/>
        <item x="1461"/>
        <item x="1096"/>
        <item x="665"/>
        <item x="567"/>
        <item x="245"/>
        <item x="1479"/>
        <item x="94"/>
        <item x="40"/>
        <item x="1156"/>
        <item x="24"/>
        <item x="883"/>
        <item x="472"/>
        <item x="1454"/>
        <item x="403"/>
        <item x="683"/>
        <item x="1026"/>
        <item x="1030"/>
        <item x="869"/>
        <item x="230"/>
        <item x="336"/>
        <item x="437"/>
        <item x="910"/>
        <item x="292"/>
        <item x="333"/>
        <item x="57"/>
        <item x="777"/>
        <item x="354"/>
        <item x="423"/>
        <item x="773"/>
        <item x="1352"/>
        <item x="1282"/>
        <item x="1323"/>
        <item x="529"/>
        <item x="1186"/>
        <item x="1335"/>
        <item x="1297"/>
        <item x="1269"/>
        <item x="1208"/>
        <item x="1059"/>
        <item x="1322"/>
        <item x="1100"/>
        <item x="1381"/>
        <item x="719"/>
        <item x="135"/>
        <item x="528"/>
        <item x="1068"/>
        <item x="967"/>
        <item x="1433"/>
        <item x="1462"/>
        <item x="1330"/>
        <item x="1484"/>
        <item x="711"/>
        <item x="1378"/>
        <item x="1434"/>
        <item x="1351"/>
        <item x="1343"/>
        <item x="1349"/>
        <item x="531"/>
        <item x="464"/>
        <item x="51"/>
        <item x="556"/>
        <item x="1111"/>
        <item x="254"/>
        <item x="991"/>
        <item x="1054"/>
        <item x="73"/>
        <item x="86"/>
        <item x="894"/>
        <item x="798"/>
        <item x="591"/>
        <item x="631"/>
        <item x="1212"/>
        <item x="1294"/>
        <item x="906"/>
        <item x="1375"/>
        <item x="1194"/>
        <item x="1017"/>
        <item x="44"/>
        <item x="8"/>
        <item x="235"/>
        <item x="505"/>
        <item x="74"/>
        <item x="1001"/>
        <item x="1465"/>
        <item x="1283"/>
        <item x="1406"/>
        <item x="1007"/>
        <item x="1464"/>
        <item x="1262"/>
        <item x="442"/>
        <item x="755"/>
        <item x="1137"/>
        <item x="1011"/>
        <item x="745"/>
        <item x="757"/>
        <item x="822"/>
        <item x="78"/>
        <item x="1389"/>
        <item t="default"/>
      </items>
    </pivotField>
    <pivotField showAll="0">
      <items count="8">
        <item x="6"/>
        <item x="2"/>
        <item x="1"/>
        <item x="3"/>
        <item x="0"/>
        <item x="4"/>
        <item x="5"/>
        <item t="default"/>
      </items>
    </pivotField>
    <pivotField showAll="0">
      <items count="7">
        <item x="2"/>
        <item x="0"/>
        <item x="3"/>
        <item x="1"/>
        <item x="4"/>
        <item x="5"/>
        <item t="default"/>
      </items>
    </pivotField>
    <pivotField numFmtId="1" showAll="0">
      <items count="1501">
        <item x="1495"/>
        <item x="1447"/>
        <item x="1443"/>
        <item x="1451"/>
        <item x="1448"/>
        <item x="1467"/>
        <item x="1414"/>
        <item x="1480"/>
        <item x="1419"/>
        <item x="1363"/>
        <item x="1399"/>
        <item x="1421"/>
        <item x="1413"/>
        <item x="1497"/>
        <item x="1396"/>
        <item x="1453"/>
        <item x="1330"/>
        <item x="1355"/>
        <item x="1301"/>
        <item x="1305"/>
        <item x="1361"/>
        <item x="1417"/>
        <item x="1479"/>
        <item x="1457"/>
        <item x="1324"/>
        <item x="1464"/>
        <item x="1339"/>
        <item x="1490"/>
        <item x="1459"/>
        <item x="1432"/>
        <item x="1325"/>
        <item x="1478"/>
        <item x="1352"/>
        <item x="1288"/>
        <item x="1442"/>
        <item x="1488"/>
        <item x="1456"/>
        <item x="1412"/>
        <item x="1408"/>
        <item x="1304"/>
        <item x="1476"/>
        <item x="1401"/>
        <item x="1411"/>
        <item x="1416"/>
        <item x="1326"/>
        <item x="1394"/>
        <item x="1460"/>
        <item x="1366"/>
        <item x="1180"/>
        <item x="1342"/>
        <item x="1259"/>
        <item x="1178"/>
        <item x="1213"/>
        <item x="1169"/>
        <item x="1241"/>
        <item x="1217"/>
        <item x="1221"/>
        <item x="1360"/>
        <item x="1349"/>
        <item x="1164"/>
        <item x="1319"/>
        <item x="1368"/>
        <item x="1152"/>
        <item x="1184"/>
        <item x="1332"/>
        <item x="1398"/>
        <item x="1435"/>
        <item x="1367"/>
        <item x="1348"/>
        <item x="1405"/>
        <item x="1356"/>
        <item x="1216"/>
        <item x="1423"/>
        <item x="1391"/>
        <item x="1441"/>
        <item x="1493"/>
        <item x="1202"/>
        <item x="1382"/>
        <item x="1189"/>
        <item x="1369"/>
        <item x="1110"/>
        <item x="1282"/>
        <item x="1196"/>
        <item x="1468"/>
        <item x="1437"/>
        <item x="1199"/>
        <item x="1403"/>
        <item x="1097"/>
        <item x="1498"/>
        <item x="1454"/>
        <item x="1236"/>
        <item x="1375"/>
        <item x="1433"/>
        <item x="1331"/>
        <item x="1186"/>
        <item x="1481"/>
        <item x="1084"/>
        <item x="1318"/>
        <item x="1055"/>
        <item x="1283"/>
        <item x="1122"/>
        <item x="1473"/>
        <item x="1365"/>
        <item x="1371"/>
        <item x="1247"/>
        <item x="1127"/>
        <item x="1176"/>
        <item x="1392"/>
        <item x="1425"/>
        <item x="1311"/>
        <item x="1214"/>
        <item x="1465"/>
        <item x="1022"/>
        <item x="1377"/>
        <item x="1475"/>
        <item x="1160"/>
        <item x="1125"/>
        <item x="1482"/>
        <item x="1341"/>
        <item x="1484"/>
        <item x="1109"/>
        <item x="1461"/>
        <item x="1275"/>
        <item x="1376"/>
        <item x="1111"/>
        <item x="1354"/>
        <item x="1240"/>
        <item x="1006"/>
        <item x="1410"/>
        <item x="1483"/>
        <item x="1285"/>
        <item x="1452"/>
        <item x="1328"/>
        <item x="1415"/>
        <item x="1258"/>
        <item x="1486"/>
        <item x="1359"/>
        <item x="1120"/>
        <item x="1166"/>
        <item x="1345"/>
        <item x="1317"/>
        <item x="1327"/>
        <item x="1374"/>
        <item x="1192"/>
        <item x="1302"/>
        <item x="1390"/>
        <item x="1315"/>
        <item x="1271"/>
        <item x="1466"/>
        <item x="1037"/>
        <item x="1153"/>
        <item x="1144"/>
        <item x="1351"/>
        <item x="1346"/>
        <item x="1230"/>
        <item x="1080"/>
        <item x="1066"/>
        <item x="1107"/>
        <item x="1034"/>
        <item x="1424"/>
        <item x="1445"/>
        <item x="1297"/>
        <item x="1009"/>
        <item x="1428"/>
        <item x="1124"/>
        <item x="1119"/>
        <item x="1067"/>
        <item x="935"/>
        <item x="1378"/>
        <item x="1260"/>
        <item x="1072"/>
        <item x="1099"/>
        <item x="944"/>
        <item x="1270"/>
        <item x="1205"/>
        <item x="1112"/>
        <item x="1347"/>
        <item x="1179"/>
        <item x="1335"/>
        <item x="922"/>
        <item x="1188"/>
        <item x="936"/>
        <item x="1249"/>
        <item x="1073"/>
        <item x="1406"/>
        <item x="1313"/>
        <item x="1407"/>
        <item x="930"/>
        <item x="1310"/>
        <item x="1284"/>
        <item x="1321"/>
        <item x="1353"/>
        <item x="1267"/>
        <item x="1115"/>
        <item x="1358"/>
        <item x="1121"/>
        <item x="1046"/>
        <item x="1096"/>
        <item x="1255"/>
        <item x="1019"/>
        <item x="1130"/>
        <item x="1185"/>
        <item x="1449"/>
        <item x="931"/>
        <item x="1200"/>
        <item x="1491"/>
        <item x="1439"/>
        <item x="1056"/>
        <item x="1210"/>
        <item x="1427"/>
        <item x="1228"/>
        <item x="1343"/>
        <item x="1379"/>
        <item x="1402"/>
        <item x="896"/>
        <item x="1303"/>
        <item x="1150"/>
        <item x="1492"/>
        <item x="1463"/>
        <item x="1388"/>
        <item x="1131"/>
        <item x="1248"/>
        <item x="1429"/>
        <item x="899"/>
        <item x="1496"/>
        <item x="1220"/>
        <item x="1132"/>
        <item x="1077"/>
        <item x="926"/>
        <item x="1434"/>
        <item x="952"/>
        <item x="1272"/>
        <item x="1089"/>
        <item x="1070"/>
        <item x="1209"/>
        <item x="888"/>
        <item x="1290"/>
        <item x="1239"/>
        <item x="1298"/>
        <item x="1133"/>
        <item x="1002"/>
        <item x="1397"/>
        <item x="1286"/>
        <item x="1005"/>
        <item x="1446"/>
        <item x="901"/>
        <item x="1159"/>
        <item x="836"/>
        <item x="1404"/>
        <item x="1450"/>
        <item x="1400"/>
        <item x="1387"/>
        <item x="908"/>
        <item x="1030"/>
        <item x="1436"/>
        <item x="1474"/>
        <item x="1212"/>
        <item x="1279"/>
        <item x="883"/>
        <item x="1253"/>
        <item x="1251"/>
        <item x="1477"/>
        <item x="1012"/>
        <item x="973"/>
        <item x="813"/>
        <item x="893"/>
        <item x="830"/>
        <item x="1079"/>
        <item x="1004"/>
        <item x="993"/>
        <item x="1336"/>
        <item x="890"/>
        <item x="872"/>
        <item x="1088"/>
        <item x="1266"/>
        <item x="1033"/>
        <item x="1499"/>
        <item x="1137"/>
        <item x="1063"/>
        <item x="1052"/>
        <item x="1218"/>
        <item x="1261"/>
        <item x="1462"/>
        <item x="1155"/>
        <item x="1142"/>
        <item x="1045"/>
        <item x="1263"/>
        <item x="1147"/>
        <item x="1426"/>
        <item x="1170"/>
        <item x="1409"/>
        <item x="1104"/>
        <item x="1105"/>
        <item x="1108"/>
        <item x="1256"/>
        <item x="1065"/>
        <item x="1383"/>
        <item x="800"/>
        <item x="775"/>
        <item x="1040"/>
        <item x="976"/>
        <item x="1444"/>
        <item x="910"/>
        <item x="1245"/>
        <item x="1233"/>
        <item x="988"/>
        <item x="1250"/>
        <item x="1237"/>
        <item x="1191"/>
        <item x="1344"/>
        <item x="981"/>
        <item x="1069"/>
        <item x="904"/>
        <item x="1265"/>
        <item x="920"/>
        <item x="1047"/>
        <item x="1222"/>
        <item x="1049"/>
        <item x="1472"/>
        <item x="1074"/>
        <item x="1008"/>
        <item x="1380"/>
        <item x="866"/>
        <item x="783"/>
        <item x="808"/>
        <item x="1372"/>
        <item x="909"/>
        <item x="1322"/>
        <item x="1145"/>
        <item x="1126"/>
        <item x="1016"/>
        <item x="1471"/>
        <item x="907"/>
        <item x="991"/>
        <item x="1287"/>
        <item x="1293"/>
        <item x="1235"/>
        <item x="985"/>
        <item x="1175"/>
        <item x="1151"/>
        <item x="928"/>
        <item x="864"/>
        <item x="874"/>
        <item x="1264"/>
        <item x="968"/>
        <item x="1243"/>
        <item x="1134"/>
        <item x="1018"/>
        <item x="1050"/>
        <item x="1362"/>
        <item x="1201"/>
        <item x="940"/>
        <item x="1470"/>
        <item x="1146"/>
        <item x="1060"/>
        <item x="1291"/>
        <item x="762"/>
        <item x="1393"/>
        <item x="925"/>
        <item x="821"/>
        <item x="824"/>
        <item x="780"/>
        <item x="1430"/>
        <item x="764"/>
        <item x="1226"/>
        <item x="1215"/>
        <item x="971"/>
        <item x="1323"/>
        <item x="1163"/>
        <item x="938"/>
        <item x="1252"/>
        <item x="1274"/>
        <item x="934"/>
        <item x="1487"/>
        <item x="799"/>
        <item x="1068"/>
        <item x="964"/>
        <item x="1051"/>
        <item x="1306"/>
        <item x="957"/>
        <item x="1455"/>
        <item x="962"/>
        <item x="720"/>
        <item x="1101"/>
        <item x="823"/>
        <item x="1087"/>
        <item x="1268"/>
        <item x="1307"/>
        <item x="880"/>
        <item x="1094"/>
        <item x="1157"/>
        <item x="1431"/>
        <item x="1223"/>
        <item x="1422"/>
        <item x="1357"/>
        <item x="875"/>
        <item x="1193"/>
        <item x="1211"/>
        <item x="1035"/>
        <item x="1032"/>
        <item x="1338"/>
        <item x="900"/>
        <item x="1364"/>
        <item x="1242"/>
        <item x="885"/>
        <item x="846"/>
        <item x="756"/>
        <item x="677"/>
        <item x="1418"/>
        <item x="1384"/>
        <item x="1334"/>
        <item x="1219"/>
        <item x="1181"/>
        <item x="905"/>
        <item x="1158"/>
        <item x="1083"/>
        <item x="1075"/>
        <item x="834"/>
        <item x="1309"/>
        <item x="843"/>
        <item x="1277"/>
        <item x="1086"/>
        <item x="1117"/>
        <item x="698"/>
        <item x="811"/>
        <item x="1207"/>
        <item x="1182"/>
        <item x="839"/>
        <item x="1071"/>
        <item x="1485"/>
        <item x="1494"/>
        <item x="768"/>
        <item x="1489"/>
        <item x="705"/>
        <item x="1156"/>
        <item x="1438"/>
        <item x="1395"/>
        <item x="737"/>
        <item x="1458"/>
        <item x="817"/>
        <item x="1161"/>
        <item x="1028"/>
        <item x="820"/>
        <item x="979"/>
        <item x="798"/>
        <item x="903"/>
        <item x="1225"/>
        <item x="1389"/>
        <item x="847"/>
        <item x="1014"/>
        <item x="1232"/>
        <item x="1469"/>
        <item x="1029"/>
        <item x="1116"/>
        <item x="1231"/>
        <item x="804"/>
        <item x="1420"/>
        <item x="1329"/>
        <item x="734"/>
        <item x="1246"/>
        <item x="1090"/>
        <item x="1025"/>
        <item x="918"/>
        <item x="1278"/>
        <item x="1300"/>
        <item x="1314"/>
        <item x="1440"/>
        <item x="731"/>
        <item x="1273"/>
        <item x="1294"/>
        <item x="1172"/>
        <item x="997"/>
        <item x="1254"/>
        <item x="831"/>
        <item x="869"/>
        <item x="1195"/>
        <item x="1316"/>
        <item x="736"/>
        <item x="996"/>
        <item x="1171"/>
        <item x="671"/>
        <item x="746"/>
        <item x="878"/>
        <item x="1292"/>
        <item x="1373"/>
        <item x="815"/>
        <item x="1269"/>
        <item x="1299"/>
        <item x="913"/>
        <item x="1295"/>
        <item x="1007"/>
        <item x="884"/>
        <item x="659"/>
        <item x="887"/>
        <item x="1385"/>
        <item x="1064"/>
        <item x="1140"/>
        <item x="1165"/>
        <item x="1000"/>
        <item x="1386"/>
        <item x="892"/>
        <item x="1039"/>
        <item x="854"/>
        <item x="636"/>
        <item x="722"/>
        <item x="1333"/>
        <item x="1118"/>
        <item x="1296"/>
        <item x="1370"/>
        <item x="1092"/>
        <item x="1312"/>
        <item x="1198"/>
        <item x="859"/>
        <item x="787"/>
        <item x="812"/>
        <item x="845"/>
        <item x="1024"/>
        <item x="791"/>
        <item x="1208"/>
        <item x="1308"/>
        <item x="803"/>
        <item x="669"/>
        <item x="959"/>
        <item x="1174"/>
        <item x="1197"/>
        <item x="1381"/>
        <item x="658"/>
        <item x="1038"/>
        <item x="675"/>
        <item x="1262"/>
        <item x="1320"/>
        <item x="876"/>
        <item x="670"/>
        <item x="1013"/>
        <item x="767"/>
        <item x="687"/>
        <item x="613"/>
        <item x="1103"/>
        <item x="1031"/>
        <item x="729"/>
        <item x="945"/>
        <item x="715"/>
        <item x="1244"/>
        <item x="757"/>
        <item x="982"/>
        <item x="1337"/>
        <item x="1350"/>
        <item x="898"/>
        <item x="1194"/>
        <item x="1154"/>
        <item x="738"/>
        <item x="1340"/>
        <item x="1276"/>
        <item x="1224"/>
        <item x="641"/>
        <item x="1227"/>
        <item x="759"/>
        <item x="915"/>
        <item x="867"/>
        <item x="717"/>
        <item x="1183"/>
        <item x="745"/>
        <item x="784"/>
        <item x="810"/>
        <item x="655"/>
        <item x="929"/>
        <item x="942"/>
        <item x="838"/>
        <item x="873"/>
        <item x="886"/>
        <item x="772"/>
        <item x="1204"/>
        <item x="856"/>
        <item x="1149"/>
        <item x="622"/>
        <item x="592"/>
        <item x="1167"/>
        <item x="1238"/>
        <item x="1136"/>
        <item x="1280"/>
        <item x="1289"/>
        <item x="1095"/>
        <item x="1058"/>
        <item x="1203"/>
        <item x="1229"/>
        <item x="1082"/>
        <item x="992"/>
        <item x="1023"/>
        <item x="660"/>
        <item x="1054"/>
        <item x="1128"/>
        <item x="599"/>
        <item x="1281"/>
        <item x="752"/>
        <item x="855"/>
        <item x="989"/>
        <item x="1257"/>
        <item x="778"/>
        <item x="1076"/>
        <item x="933"/>
        <item x="969"/>
        <item x="1106"/>
        <item x="711"/>
        <item x="850"/>
        <item x="1100"/>
        <item x="1053"/>
        <item x="895"/>
        <item x="1114"/>
        <item x="1081"/>
        <item x="1190"/>
        <item x="761"/>
        <item x="1057"/>
        <item x="1011"/>
        <item x="1020"/>
        <item x="1177"/>
        <item x="1078"/>
        <item x="1206"/>
        <item x="889"/>
        <item x="1173"/>
        <item x="980"/>
        <item x="943"/>
        <item x="650"/>
        <item x="1042"/>
        <item x="961"/>
        <item x="1234"/>
        <item x="857"/>
        <item x="1129"/>
        <item x="937"/>
        <item x="966"/>
        <item x="690"/>
        <item x="1187"/>
        <item x="1001"/>
        <item x="986"/>
        <item x="1139"/>
        <item x="967"/>
        <item x="1135"/>
        <item x="960"/>
        <item x="995"/>
        <item x="1168"/>
        <item x="788"/>
        <item x="547"/>
        <item x="939"/>
        <item x="1091"/>
        <item x="1048"/>
        <item x="975"/>
        <item x="723"/>
        <item x="795"/>
        <item x="593"/>
        <item x="773"/>
        <item x="861"/>
        <item x="998"/>
        <item x="1123"/>
        <item x="1027"/>
        <item x="708"/>
        <item x="605"/>
        <item x="1061"/>
        <item x="1059"/>
        <item x="949"/>
        <item x="611"/>
        <item x="1138"/>
        <item x="947"/>
        <item x="743"/>
        <item x="628"/>
        <item x="906"/>
        <item x="974"/>
        <item x="790"/>
        <item x="806"/>
        <item x="894"/>
        <item x="1141"/>
        <item x="1162"/>
        <item x="1098"/>
        <item x="750"/>
        <item x="1148"/>
        <item x="924"/>
        <item x="999"/>
        <item x="739"/>
        <item x="870"/>
        <item x="1113"/>
        <item x="955"/>
        <item x="862"/>
        <item x="990"/>
        <item x="849"/>
        <item x="796"/>
        <item x="688"/>
        <item x="623"/>
        <item x="700"/>
        <item x="983"/>
        <item x="1143"/>
        <item x="560"/>
        <item x="792"/>
        <item x="911"/>
        <item x="740"/>
        <item x="844"/>
        <item x="689"/>
        <item x="879"/>
        <item x="1041"/>
        <item x="755"/>
        <item x="1015"/>
        <item x="814"/>
        <item x="1043"/>
        <item x="1102"/>
        <item x="696"/>
        <item x="1021"/>
        <item x="848"/>
        <item x="978"/>
        <item x="707"/>
        <item x="977"/>
        <item x="1010"/>
        <item x="1003"/>
        <item x="1036"/>
        <item x="645"/>
        <item x="1062"/>
        <item x="575"/>
        <item x="626"/>
        <item x="1044"/>
        <item x="589"/>
        <item x="741"/>
        <item x="639"/>
        <item x="984"/>
        <item x="555"/>
        <item x="726"/>
        <item x="1026"/>
        <item x="747"/>
        <item x="819"/>
        <item x="921"/>
        <item x="987"/>
        <item x="835"/>
        <item x="608"/>
        <item x="526"/>
        <item x="1093"/>
        <item x="642"/>
        <item x="569"/>
        <item x="1085"/>
        <item x="994"/>
        <item x="789"/>
        <item x="840"/>
        <item x="601"/>
        <item x="1017"/>
        <item x="951"/>
        <item x="963"/>
        <item x="712"/>
        <item x="946"/>
        <item x="510"/>
        <item x="868"/>
        <item x="916"/>
        <item x="545"/>
        <item x="610"/>
        <item x="948"/>
        <item x="678"/>
        <item x="662"/>
        <item x="970"/>
        <item x="760"/>
        <item x="557"/>
        <item x="891"/>
        <item x="627"/>
        <item x="602"/>
        <item x="490"/>
        <item x="826"/>
        <item x="751"/>
        <item x="965"/>
        <item x="672"/>
        <item x="535"/>
        <item x="827"/>
        <item x="832"/>
        <item x="877"/>
        <item x="553"/>
        <item x="902"/>
        <item x="954"/>
        <item x="477"/>
        <item x="718"/>
        <item x="956"/>
        <item x="754"/>
        <item x="513"/>
        <item x="704"/>
        <item x="668"/>
        <item x="732"/>
        <item x="724"/>
        <item x="709"/>
        <item x="617"/>
        <item x="576"/>
        <item x="637"/>
        <item x="776"/>
        <item x="699"/>
        <item x="853"/>
        <item x="697"/>
        <item x="616"/>
        <item x="742"/>
        <item x="953"/>
        <item x="674"/>
        <item x="972"/>
        <item x="852"/>
        <item x="932"/>
        <item x="917"/>
        <item x="585"/>
        <item x="607"/>
        <item x="802"/>
        <item x="749"/>
        <item x="648"/>
        <item x="958"/>
        <item x="733"/>
        <item x="858"/>
        <item x="770"/>
        <item x="521"/>
        <item x="825"/>
        <item x="505"/>
        <item x="781"/>
        <item x="643"/>
        <item x="448"/>
        <item x="719"/>
        <item x="549"/>
        <item x="748"/>
        <item x="612"/>
        <item x="774"/>
        <item x="941"/>
        <item x="777"/>
        <item x="702"/>
        <item x="682"/>
        <item x="950"/>
        <item x="695"/>
        <item x="927"/>
        <item x="498"/>
        <item x="829"/>
        <item x="633"/>
        <item x="801"/>
        <item x="620"/>
        <item x="919"/>
        <item x="479"/>
        <item x="703"/>
        <item x="842"/>
        <item x="618"/>
        <item x="701"/>
        <item x="765"/>
        <item x="794"/>
        <item x="685"/>
        <item x="923"/>
        <item x="914"/>
        <item x="710"/>
        <item x="693"/>
        <item x="771"/>
        <item x="681"/>
        <item x="807"/>
        <item x="663"/>
        <item x="782"/>
        <item x="656"/>
        <item x="538"/>
        <item x="805"/>
        <item x="897"/>
        <item x="758"/>
        <item x="809"/>
        <item x="427"/>
        <item x="851"/>
        <item x="680"/>
        <item x="408"/>
        <item x="580"/>
        <item x="912"/>
        <item x="591"/>
        <item x="882"/>
        <item x="500"/>
        <item x="568"/>
        <item x="871"/>
        <item x="841"/>
        <item x="769"/>
        <item x="863"/>
        <item x="828"/>
        <item x="860"/>
        <item x="615"/>
        <item x="654"/>
        <item x="578"/>
        <item x="532"/>
        <item x="713"/>
        <item x="881"/>
        <item x="727"/>
        <item x="694"/>
        <item x="511"/>
        <item x="763"/>
        <item x="624"/>
        <item x="524"/>
        <item x="517"/>
        <item x="454"/>
        <item x="793"/>
        <item x="530"/>
        <item x="786"/>
        <item x="684"/>
        <item x="818"/>
        <item x="816"/>
        <item x="725"/>
        <item x="467"/>
        <item x="431"/>
        <item x="833"/>
        <item x="483"/>
        <item x="679"/>
        <item x="657"/>
        <item x="865"/>
        <item x="439"/>
        <item x="485"/>
        <item x="606"/>
        <item x="630"/>
        <item x="614"/>
        <item x="621"/>
        <item x="634"/>
        <item x="432"/>
        <item x="766"/>
        <item x="683"/>
        <item x="534"/>
        <item x="436"/>
        <item x="437"/>
        <item x="596"/>
        <item x="716"/>
        <item x="822"/>
        <item x="529"/>
        <item x="797"/>
        <item x="837"/>
        <item x="631"/>
        <item x="619"/>
        <item x="407"/>
        <item x="638"/>
        <item x="574"/>
        <item x="470"/>
        <item x="691"/>
        <item x="753"/>
        <item x="499"/>
        <item x="582"/>
        <item x="514"/>
        <item x="539"/>
        <item x="744"/>
        <item x="665"/>
        <item x="567"/>
        <item x="583"/>
        <item x="548"/>
        <item x="590"/>
        <item x="399"/>
        <item x="486"/>
        <item x="455"/>
        <item x="460"/>
        <item x="388"/>
        <item x="735"/>
        <item x="779"/>
        <item x="480"/>
        <item x="378"/>
        <item x="586"/>
        <item x="785"/>
        <item x="579"/>
        <item x="721"/>
        <item x="392"/>
        <item x="666"/>
        <item x="401"/>
        <item x="464"/>
        <item x="584"/>
        <item x="647"/>
        <item x="415"/>
        <item x="543"/>
        <item x="522"/>
        <item x="482"/>
        <item x="442"/>
        <item x="559"/>
        <item x="561"/>
        <item x="418"/>
        <item x="346"/>
        <item x="646"/>
        <item x="598"/>
        <item x="686"/>
        <item x="625"/>
        <item x="456"/>
        <item x="531"/>
        <item x="566"/>
        <item x="414"/>
        <item x="673"/>
        <item x="405"/>
        <item x="476"/>
        <item x="728"/>
        <item x="730"/>
        <item x="370"/>
        <item x="348"/>
        <item x="536"/>
        <item x="406"/>
        <item x="384"/>
        <item x="714"/>
        <item x="635"/>
        <item x="489"/>
        <item x="652"/>
        <item x="468"/>
        <item x="597"/>
        <item x="649"/>
        <item x="518"/>
        <item x="706"/>
        <item x="594"/>
        <item x="403"/>
        <item x="661"/>
        <item x="570"/>
        <item x="581"/>
        <item x="410"/>
        <item x="382"/>
        <item x="430"/>
        <item x="461"/>
        <item x="421"/>
        <item x="651"/>
        <item x="573"/>
        <item x="417"/>
        <item x="667"/>
        <item x="692"/>
        <item x="571"/>
        <item x="350"/>
        <item x="385"/>
        <item x="540"/>
        <item x="504"/>
        <item x="632"/>
        <item x="528"/>
        <item x="676"/>
        <item x="433"/>
        <item x="491"/>
        <item x="509"/>
        <item x="551"/>
        <item x="664"/>
        <item x="595"/>
        <item x="565"/>
        <item x="541"/>
        <item x="492"/>
        <item x="533"/>
        <item x="629"/>
        <item x="506"/>
        <item x="537"/>
        <item x="459"/>
        <item x="502"/>
        <item x="603"/>
        <item x="653"/>
        <item x="519"/>
        <item x="644"/>
        <item x="474"/>
        <item x="497"/>
        <item x="377"/>
        <item x="640"/>
        <item x="542"/>
        <item x="508"/>
        <item x="383"/>
        <item x="465"/>
        <item x="400"/>
        <item x="556"/>
        <item x="562"/>
        <item x="306"/>
        <item x="345"/>
        <item x="452"/>
        <item x="473"/>
        <item x="546"/>
        <item x="544"/>
        <item x="472"/>
        <item x="552"/>
        <item x="390"/>
        <item x="588"/>
        <item x="577"/>
        <item x="343"/>
        <item x="363"/>
        <item x="369"/>
        <item x="428"/>
        <item x="342"/>
        <item x="554"/>
        <item x="475"/>
        <item x="429"/>
        <item x="463"/>
        <item x="438"/>
        <item x="347"/>
        <item x="379"/>
        <item x="572"/>
        <item x="515"/>
        <item x="295"/>
        <item x="495"/>
        <item x="487"/>
        <item x="527"/>
        <item x="307"/>
        <item x="315"/>
        <item x="330"/>
        <item x="609"/>
        <item x="416"/>
        <item x="413"/>
        <item x="445"/>
        <item x="425"/>
        <item x="516"/>
        <item x="512"/>
        <item x="322"/>
        <item x="284"/>
        <item x="604"/>
        <item x="484"/>
        <item x="600"/>
        <item x="443"/>
        <item x="558"/>
        <item x="564"/>
        <item x="344"/>
        <item x="587"/>
        <item x="563"/>
        <item x="288"/>
        <item x="359"/>
        <item x="327"/>
        <item x="333"/>
        <item x="366"/>
        <item x="354"/>
        <item x="503"/>
        <item x="550"/>
        <item x="440"/>
        <item x="402"/>
        <item x="520"/>
        <item x="349"/>
        <item x="397"/>
        <item x="435"/>
        <item x="280"/>
        <item x="523"/>
        <item x="251"/>
        <item x="444"/>
        <item x="525"/>
        <item x="358"/>
        <item x="373"/>
        <item x="328"/>
        <item x="469"/>
        <item x="362"/>
        <item x="386"/>
        <item x="422"/>
        <item x="457"/>
        <item x="450"/>
        <item x="243"/>
        <item x="281"/>
        <item x="311"/>
        <item x="466"/>
        <item x="481"/>
        <item x="351"/>
        <item x="271"/>
        <item x="471"/>
        <item x="393"/>
        <item x="259"/>
        <item x="300"/>
        <item x="374"/>
        <item x="411"/>
        <item x="365"/>
        <item x="507"/>
        <item x="241"/>
        <item x="404"/>
        <item x="419"/>
        <item x="291"/>
        <item x="424"/>
        <item x="496"/>
        <item x="277"/>
        <item x="420"/>
        <item x="381"/>
        <item x="375"/>
        <item x="290"/>
        <item x="352"/>
        <item x="488"/>
        <item x="449"/>
        <item x="478"/>
        <item x="310"/>
        <item x="493"/>
        <item x="501"/>
        <item x="323"/>
        <item x="316"/>
        <item x="462"/>
        <item x="228"/>
        <item x="494"/>
        <item x="220"/>
        <item x="394"/>
        <item x="334"/>
        <item x="451"/>
        <item x="318"/>
        <item x="458"/>
        <item x="391"/>
        <item x="321"/>
        <item x="389"/>
        <item x="245"/>
        <item x="426"/>
        <item x="367"/>
        <item x="287"/>
        <item x="380"/>
        <item x="252"/>
        <item x="226"/>
        <item x="441"/>
        <item x="270"/>
        <item x="434"/>
        <item x="364"/>
        <item x="398"/>
        <item x="453"/>
        <item x="337"/>
        <item x="357"/>
        <item x="331"/>
        <item x="297"/>
        <item x="446"/>
        <item x="423"/>
        <item x="314"/>
        <item x="203"/>
        <item x="338"/>
        <item x="395"/>
        <item x="371"/>
        <item x="447"/>
        <item x="218"/>
        <item x="353"/>
        <item x="412"/>
        <item x="266"/>
        <item x="247"/>
        <item x="233"/>
        <item x="272"/>
        <item x="332"/>
        <item x="335"/>
        <item x="409"/>
        <item x="276"/>
        <item x="205"/>
        <item x="301"/>
        <item x="217"/>
        <item x="339"/>
        <item x="341"/>
        <item x="376"/>
        <item x="372"/>
        <item x="302"/>
        <item x="285"/>
        <item x="336"/>
        <item x="356"/>
        <item x="232"/>
        <item x="264"/>
        <item x="298"/>
        <item x="192"/>
        <item x="396"/>
        <item x="317"/>
        <item x="274"/>
        <item x="212"/>
        <item x="361"/>
        <item x="387"/>
        <item x="286"/>
        <item x="304"/>
        <item x="368"/>
        <item x="308"/>
        <item x="360"/>
        <item x="329"/>
        <item x="309"/>
        <item x="242"/>
        <item x="319"/>
        <item x="296"/>
        <item x="273"/>
        <item x="225"/>
        <item x="246"/>
        <item x="292"/>
        <item x="194"/>
        <item x="312"/>
        <item x="188"/>
        <item x="253"/>
        <item x="293"/>
        <item x="313"/>
        <item x="229"/>
        <item x="355"/>
        <item x="260"/>
        <item x="195"/>
        <item x="325"/>
        <item x="249"/>
        <item x="183"/>
        <item x="275"/>
        <item x="207"/>
        <item x="187"/>
        <item x="237"/>
        <item x="340"/>
        <item x="324"/>
        <item x="254"/>
        <item x="278"/>
        <item x="185"/>
        <item x="250"/>
        <item x="167"/>
        <item x="279"/>
        <item x="326"/>
        <item x="265"/>
        <item x="294"/>
        <item x="236"/>
        <item x="305"/>
        <item x="171"/>
        <item x="261"/>
        <item x="234"/>
        <item x="289"/>
        <item x="320"/>
        <item x="144"/>
        <item x="299"/>
        <item x="211"/>
        <item x="168"/>
        <item x="191"/>
        <item x="186"/>
        <item x="303"/>
        <item x="244"/>
        <item x="283"/>
        <item x="216"/>
        <item x="263"/>
        <item x="268"/>
        <item x="267"/>
        <item x="193"/>
        <item x="282"/>
        <item x="204"/>
        <item x="199"/>
        <item x="153"/>
        <item x="269"/>
        <item x="240"/>
        <item x="150"/>
        <item x="256"/>
        <item x="223"/>
        <item x="262"/>
        <item x="161"/>
        <item x="257"/>
        <item x="255"/>
        <item x="238"/>
        <item x="177"/>
        <item x="179"/>
        <item x="222"/>
        <item x="248"/>
        <item x="169"/>
        <item x="219"/>
        <item x="182"/>
        <item x="258"/>
        <item x="196"/>
        <item x="141"/>
        <item x="145"/>
        <item x="214"/>
        <item x="130"/>
        <item x="198"/>
        <item x="200"/>
        <item x="121"/>
        <item x="221"/>
        <item x="231"/>
        <item x="170"/>
        <item x="208"/>
        <item x="174"/>
        <item x="224"/>
        <item x="159"/>
        <item x="235"/>
        <item x="128"/>
        <item x="209"/>
        <item x="136"/>
        <item x="189"/>
        <item x="227"/>
        <item x="202"/>
        <item x="239"/>
        <item x="215"/>
        <item x="158"/>
        <item x="176"/>
        <item x="201"/>
        <item x="230"/>
        <item x="213"/>
        <item x="156"/>
        <item x="181"/>
        <item x="178"/>
        <item x="197"/>
        <item x="210"/>
        <item x="147"/>
        <item x="206"/>
        <item x="95"/>
        <item x="101"/>
        <item x="97"/>
        <item x="114"/>
        <item x="142"/>
        <item x="163"/>
        <item x="184"/>
        <item x="115"/>
        <item x="166"/>
        <item x="157"/>
        <item x="190"/>
        <item x="111"/>
        <item x="164"/>
        <item x="160"/>
        <item x="180"/>
        <item x="162"/>
        <item x="110"/>
        <item x="88"/>
        <item x="175"/>
        <item x="116"/>
        <item x="125"/>
        <item x="146"/>
        <item x="165"/>
        <item x="148"/>
        <item x="80"/>
        <item x="173"/>
        <item x="172"/>
        <item x="120"/>
        <item x="104"/>
        <item x="149"/>
        <item x="152"/>
        <item x="77"/>
        <item x="154"/>
        <item x="129"/>
        <item x="85"/>
        <item x="124"/>
        <item x="122"/>
        <item x="155"/>
        <item x="139"/>
        <item x="138"/>
        <item x="79"/>
        <item x="135"/>
        <item x="112"/>
        <item x="143"/>
        <item x="140"/>
        <item x="151"/>
        <item x="82"/>
        <item x="87"/>
        <item x="72"/>
        <item x="127"/>
        <item x="126"/>
        <item x="132"/>
        <item x="102"/>
        <item x="133"/>
        <item x="81"/>
        <item x="123"/>
        <item x="105"/>
        <item x="137"/>
        <item x="119"/>
        <item x="76"/>
        <item x="134"/>
        <item x="118"/>
        <item x="113"/>
        <item x="75"/>
        <item x="103"/>
        <item x="131"/>
        <item x="108"/>
        <item x="92"/>
        <item x="98"/>
        <item x="65"/>
        <item x="109"/>
        <item x="74"/>
        <item x="83"/>
        <item x="117"/>
        <item x="60"/>
        <item x="84"/>
        <item x="107"/>
        <item x="90"/>
        <item x="96"/>
        <item x="100"/>
        <item x="53"/>
        <item x="73"/>
        <item x="94"/>
        <item x="99"/>
        <item x="106"/>
        <item x="68"/>
        <item x="86"/>
        <item x="91"/>
        <item x="67"/>
        <item x="93"/>
        <item x="70"/>
        <item x="50"/>
        <item x="48"/>
        <item x="61"/>
        <item x="57"/>
        <item x="64"/>
        <item x="89"/>
        <item x="71"/>
        <item x="42"/>
        <item x="66"/>
        <item x="51"/>
        <item x="78"/>
        <item x="56"/>
        <item x="62"/>
        <item x="69"/>
        <item x="32"/>
        <item x="49"/>
        <item x="58"/>
        <item x="63"/>
        <item x="30"/>
        <item x="43"/>
        <item x="59"/>
        <item x="36"/>
        <item x="44"/>
        <item x="40"/>
        <item x="55"/>
        <item x="38"/>
        <item x="37"/>
        <item x="46"/>
        <item x="52"/>
        <item x="45"/>
        <item x="54"/>
        <item x="25"/>
        <item x="41"/>
        <item x="26"/>
        <item x="35"/>
        <item x="47"/>
        <item x="31"/>
        <item x="39"/>
        <item x="23"/>
        <item x="33"/>
        <item x="21"/>
        <item x="34"/>
        <item x="19"/>
        <item x="24"/>
        <item x="20"/>
        <item x="18"/>
        <item x="15"/>
        <item x="29"/>
        <item x="28"/>
        <item x="14"/>
        <item x="27"/>
        <item x="22"/>
        <item x="16"/>
        <item x="12"/>
        <item x="10"/>
        <item x="9"/>
        <item x="17"/>
        <item x="8"/>
        <item x="13"/>
        <item x="5"/>
        <item x="11"/>
        <item x="6"/>
        <item x="4"/>
        <item x="7"/>
        <item x="2"/>
        <item x="3"/>
        <item x="1"/>
        <item x="0"/>
        <item t="default"/>
      </items>
    </pivotField>
    <pivotField dataField="1" showAll="0"/>
    <pivotField showAll="0"/>
    <pivotField showAll="0"/>
    <pivotField showAll="0"/>
    <pivotField numFmtId="164" showAll="0"/>
    <pivotField showAll="0"/>
    <pivotField showAll="0">
      <items count="5">
        <item x="3"/>
        <item x="1"/>
        <item x="0"/>
        <item x="2"/>
        <item t="default"/>
      </items>
    </pivotField>
  </pivotFields>
  <rowItems count="1">
    <i/>
  </rowItems>
  <colItems count="1">
    <i/>
  </colItems>
  <dataFields count="1">
    <dataField name="Average of bounce_rate_pct" fld="5" subtotal="average"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2ECF112-0ABD-4499-9B95-FC01428DDA8C}"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F2" firstHeaderRow="1" firstDataRow="1" firstDataCol="0"/>
  <pivotFields count="12">
    <pivotField showAll="0"/>
    <pivotField showAll="0">
      <items count="1501">
        <item x="144"/>
        <item x="420"/>
        <item x="1356"/>
        <item x="1014"/>
        <item x="986"/>
        <item x="1408"/>
        <item x="659"/>
        <item x="1387"/>
        <item x="547"/>
        <item x="492"/>
        <item x="738"/>
        <item x="707"/>
        <item x="582"/>
        <item x="500"/>
        <item x="1412"/>
        <item x="157"/>
        <item x="297"/>
        <item x="989"/>
        <item x="1481"/>
        <item x="104"/>
        <item x="41"/>
        <item x="1035"/>
        <item x="1181"/>
        <item x="584"/>
        <item x="1095"/>
        <item x="813"/>
        <item x="599"/>
        <item x="1207"/>
        <item x="1367"/>
        <item x="1250"/>
        <item x="1146"/>
        <item x="1206"/>
        <item x="833"/>
        <item x="963"/>
        <item x="446"/>
        <item x="729"/>
        <item x="905"/>
        <item x="807"/>
        <item x="1260"/>
        <item x="1451"/>
        <item x="178"/>
        <item x="67"/>
        <item x="171"/>
        <item x="417"/>
        <item x="718"/>
        <item x="566"/>
        <item x="324"/>
        <item x="372"/>
        <item x="226"/>
        <item x="201"/>
        <item x="1076"/>
        <item x="722"/>
        <item x="809"/>
        <item x="380"/>
        <item x="1136"/>
        <item x="643"/>
        <item x="835"/>
        <item x="973"/>
        <item x="945"/>
        <item x="431"/>
        <item x="377"/>
        <item x="21"/>
        <item x="52"/>
        <item x="13"/>
        <item x="22"/>
        <item x="334"/>
        <item x="501"/>
        <item x="233"/>
        <item x="1241"/>
        <item x="291"/>
        <item x="234"/>
        <item x="486"/>
        <item x="321"/>
        <item x="387"/>
        <item x="1230"/>
        <item x="898"/>
        <item x="357"/>
        <item x="159"/>
        <item x="409"/>
        <item x="733"/>
        <item x="344"/>
        <item x="815"/>
        <item x="1240"/>
        <item x="1056"/>
        <item x="1087"/>
        <item x="661"/>
        <item x="520"/>
        <item x="287"/>
        <item x="23"/>
        <item x="957"/>
        <item x="866"/>
        <item x="1025"/>
        <item x="1151"/>
        <item x="411"/>
        <item x="124"/>
        <item x="734"/>
        <item x="642"/>
        <item x="724"/>
        <item x="750"/>
        <item x="120"/>
        <item x="397"/>
        <item x="9"/>
        <item x="644"/>
        <item x="129"/>
        <item x="1052"/>
        <item x="786"/>
        <item x="749"/>
        <item x="477"/>
        <item x="296"/>
        <item x="476"/>
        <item x="484"/>
        <item x="1005"/>
        <item x="232"/>
        <item x="694"/>
        <item x="1431"/>
        <item x="691"/>
        <item x="428"/>
        <item x="1288"/>
        <item x="1130"/>
        <item x="122"/>
        <item x="1145"/>
        <item x="1496"/>
        <item x="805"/>
        <item x="134"/>
        <item x="1032"/>
        <item x="684"/>
        <item x="7"/>
        <item x="1473"/>
        <item x="1440"/>
        <item x="38"/>
        <item x="142"/>
        <item x="119"/>
        <item x="274"/>
        <item x="42"/>
        <item x="743"/>
        <item x="1486"/>
        <item x="909"/>
        <item x="140"/>
        <item x="1138"/>
        <item x="1218"/>
        <item x="633"/>
        <item x="585"/>
        <item x="1049"/>
        <item x="1316"/>
        <item x="702"/>
        <item x="1300"/>
        <item x="573"/>
        <item x="620"/>
        <item x="879"/>
        <item x="1159"/>
        <item x="1019"/>
        <item x="302"/>
        <item x="185"/>
        <item x="412"/>
        <item x="625"/>
        <item x="364"/>
        <item x="162"/>
        <item x="553"/>
        <item x="552"/>
        <item x="117"/>
        <item x="1317"/>
        <item x="26"/>
        <item x="824"/>
        <item x="536"/>
        <item x="205"/>
        <item x="174"/>
        <item x="187"/>
        <item x="91"/>
        <item x="342"/>
        <item x="766"/>
        <item x="867"/>
        <item x="1490"/>
        <item x="1482"/>
        <item x="210"/>
        <item x="208"/>
        <item x="143"/>
        <item x="680"/>
        <item x="498"/>
        <item x="450"/>
        <item x="563"/>
        <item x="799"/>
        <item x="1149"/>
        <item x="1405"/>
        <item x="1053"/>
        <item x="892"/>
        <item x="984"/>
        <item x="685"/>
        <item x="558"/>
        <item x="851"/>
        <item x="304"/>
        <item x="1265"/>
        <item x="975"/>
        <item x="33"/>
        <item x="1407"/>
        <item x="1117"/>
        <item x="89"/>
        <item x="1050"/>
        <item x="731"/>
        <item x="1393"/>
        <item x="525"/>
        <item x="109"/>
        <item x="1203"/>
        <item x="353"/>
        <item x="657"/>
        <item x="1438"/>
        <item x="1275"/>
        <item x="634"/>
        <item x="1360"/>
        <item x="995"/>
        <item x="253"/>
        <item x="1447"/>
        <item x="1355"/>
        <item x="748"/>
        <item x="1272"/>
        <item x="449"/>
        <item x="614"/>
        <item x="557"/>
        <item x="576"/>
        <item x="696"/>
        <item x="513"/>
        <item x="1435"/>
        <item x="902"/>
        <item x="716"/>
        <item x="780"/>
        <item x="399"/>
        <item x="1078"/>
        <item x="1221"/>
        <item x="930"/>
        <item x="630"/>
        <item x="1452"/>
        <item x="730"/>
        <item x="923"/>
        <item x="114"/>
        <item x="758"/>
        <item x="720"/>
        <item x="463"/>
        <item x="1126"/>
        <item x="293"/>
        <item x="575"/>
        <item x="952"/>
        <item x="965"/>
        <item x="1258"/>
        <item x="424"/>
        <item x="1444"/>
        <item x="1495"/>
        <item x="1285"/>
        <item x="674"/>
        <item x="222"/>
        <item x="539"/>
        <item x="307"/>
        <item x="1415"/>
        <item x="1309"/>
        <item x="1437"/>
        <item x="1396"/>
        <item x="1483"/>
        <item x="241"/>
        <item x="1020"/>
        <item x="628"/>
        <item x="332"/>
        <item x="1071"/>
        <item x="1216"/>
        <item x="471"/>
        <item x="154"/>
        <item x="169"/>
        <item x="347"/>
        <item x="255"/>
        <item x="933"/>
        <item x="1033"/>
        <item x="107"/>
        <item x="454"/>
        <item x="753"/>
        <item x="1256"/>
        <item x="918"/>
        <item x="914"/>
        <item x="160"/>
        <item x="897"/>
        <item x="330"/>
        <item x="868"/>
        <item x="728"/>
        <item x="224"/>
        <item x="841"/>
        <item x="852"/>
        <item x="1392"/>
        <item x="331"/>
        <item x="838"/>
        <item x="769"/>
        <item x="1432"/>
        <item x="123"/>
        <item x="5"/>
        <item x="68"/>
        <item x="82"/>
        <item x="320"/>
        <item x="62"/>
        <item x="788"/>
        <item x="360"/>
        <item x="899"/>
        <item x="1422"/>
        <item x="435"/>
        <item x="161"/>
        <item x="603"/>
        <item x="181"/>
        <item x="1192"/>
        <item x="996"/>
        <item x="1391"/>
        <item x="590"/>
        <item x="228"/>
        <item x="1229"/>
        <item x="519"/>
        <item x="1185"/>
        <item x="1251"/>
        <item x="627"/>
        <item x="415"/>
        <item x="375"/>
        <item x="1127"/>
        <item x="1278"/>
        <item x="1410"/>
        <item x="405"/>
        <item x="951"/>
        <item x="969"/>
        <item x="958"/>
        <item x="1105"/>
        <item x="223"/>
        <item x="1380"/>
        <item x="319"/>
        <item x="937"/>
        <item x="723"/>
        <item x="198"/>
        <item x="1266"/>
        <item x="137"/>
        <item x="759"/>
        <item x="1314"/>
        <item x="441"/>
        <item x="670"/>
        <item x="1067"/>
        <item x="1104"/>
        <item x="739"/>
        <item x="1128"/>
        <item x="1348"/>
        <item x="345"/>
        <item x="363"/>
        <item x="1320"/>
        <item x="787"/>
        <item x="935"/>
        <item x="959"/>
        <item x="747"/>
        <item x="717"/>
        <item x="1264"/>
        <item x="1119"/>
        <item x="317"/>
        <item x="636"/>
        <item x="1157"/>
        <item x="371"/>
        <item x="896"/>
        <item x="229"/>
        <item x="1489"/>
        <item x="527"/>
        <item x="961"/>
        <item x="1202"/>
        <item x="34"/>
        <item x="1315"/>
        <item x="578"/>
        <item x="1176"/>
        <item x="870"/>
        <item x="165"/>
        <item x="110"/>
        <item x="392"/>
        <item x="771"/>
        <item x="803"/>
        <item x="775"/>
        <item x="1247"/>
        <item x="1470"/>
        <item x="1280"/>
        <item x="1172"/>
        <item x="713"/>
        <item x="115"/>
        <item x="1072"/>
        <item x="286"/>
        <item x="118"/>
        <item x="264"/>
        <item x="537"/>
        <item x="679"/>
        <item x="526"/>
        <item x="862"/>
        <item x="1108"/>
        <item x="225"/>
        <item x="32"/>
        <item x="1287"/>
        <item x="660"/>
        <item x="31"/>
        <item x="260"/>
        <item x="323"/>
        <item x="600"/>
        <item x="1041"/>
        <item x="268"/>
        <item x="127"/>
        <item x="290"/>
        <item x="240"/>
        <item x="572"/>
        <item x="398"/>
        <item x="433"/>
        <item x="1289"/>
        <item x="546"/>
        <item x="1121"/>
        <item x="11"/>
        <item x="43"/>
        <item x="1257"/>
        <item x="278"/>
        <item x="379"/>
        <item x="1010"/>
        <item x="871"/>
        <item x="227"/>
        <item x="934"/>
        <item x="1236"/>
        <item x="1455"/>
        <item x="1103"/>
        <item x="1021"/>
        <item x="638"/>
        <item x="242"/>
        <item x="83"/>
        <item x="92"/>
        <item x="1037"/>
        <item x="1353"/>
        <item x="1331"/>
        <item x="1398"/>
        <item x="475"/>
        <item x="1167"/>
        <item x="1177"/>
        <item x="1102"/>
        <item x="646"/>
        <item x="1429"/>
        <item x="1254"/>
        <item x="754"/>
        <item x="931"/>
        <item x="116"/>
        <item x="940"/>
        <item x="1118"/>
        <item x="736"/>
        <item x="541"/>
        <item x="381"/>
        <item x="1142"/>
        <item x="294"/>
        <item x="1175"/>
        <item x="874"/>
        <item x="112"/>
        <item x="473"/>
        <item x="818"/>
        <item x="1318"/>
        <item x="184"/>
        <item x="1448"/>
        <item x="402"/>
        <item x="794"/>
        <item x="1310"/>
        <item x="583"/>
        <item x="311"/>
        <item x="148"/>
        <item x="3"/>
        <item x="376"/>
        <item x="609"/>
        <item x="1226"/>
        <item x="1325"/>
        <item x="1008"/>
        <item x="1439"/>
        <item x="544"/>
        <item x="1492"/>
        <item x="37"/>
        <item x="276"/>
        <item x="1498"/>
        <item x="693"/>
        <item x="1209"/>
        <item x="19"/>
        <item x="1031"/>
        <item x="941"/>
        <item x="784"/>
        <item x="1302"/>
        <item x="1386"/>
        <item x="1228"/>
        <item x="1401"/>
        <item x="983"/>
        <item x="846"/>
        <item x="1366"/>
        <item x="1193"/>
        <item x="1106"/>
        <item x="506"/>
        <item x="427"/>
        <item x="752"/>
        <item x="1147"/>
        <item x="830"/>
        <item x="168"/>
        <item x="1015"/>
        <item x="1305"/>
        <item x="980"/>
        <item x="615"/>
        <item x="199"/>
        <item x="618"/>
        <item x="145"/>
        <item x="305"/>
        <item x="1097"/>
        <item x="451"/>
        <item x="1426"/>
        <item x="1110"/>
        <item x="593"/>
        <item x="706"/>
        <item x="911"/>
        <item x="524"/>
        <item x="1276"/>
        <item x="1427"/>
        <item x="1169"/>
        <item x="1274"/>
        <item x="828"/>
        <item x="635"/>
        <item x="467"/>
        <item x="1372"/>
        <item x="436"/>
        <item x="1419"/>
        <item x="59"/>
        <item x="515"/>
        <item x="994"/>
        <item x="1211"/>
        <item x="1292"/>
        <item x="532"/>
        <item x="924"/>
        <item x="1468"/>
        <item x="1400"/>
        <item x="876"/>
        <item x="671"/>
        <item x="152"/>
        <item x="457"/>
        <item x="1116"/>
        <item x="30"/>
        <item x="121"/>
        <item x="650"/>
        <item x="460"/>
        <item x="926"/>
        <item x="858"/>
        <item x="395"/>
        <item x="220"/>
        <item x="341"/>
        <item x="351"/>
        <item x="170"/>
        <item x="1135"/>
        <item x="839"/>
        <item x="55"/>
        <item x="444"/>
        <item x="1478"/>
        <item x="1099"/>
        <item x="737"/>
        <item x="990"/>
        <item x="663"/>
        <item x="0"/>
        <item x="400"/>
        <item x="549"/>
        <item x="479"/>
        <item x="1115"/>
        <item x="1024"/>
        <item x="1239"/>
        <item x="1474"/>
        <item x="105"/>
        <item x="79"/>
        <item x="6"/>
        <item x="284"/>
        <item x="72"/>
        <item x="54"/>
        <item x="20"/>
        <item x="602"/>
        <item x="27"/>
        <item x="16"/>
        <item x="571"/>
        <item x="912"/>
        <item x="456"/>
        <item x="283"/>
        <item x="610"/>
        <item x="125"/>
        <item x="1079"/>
        <item x="1307"/>
        <item x="12"/>
        <item x="810"/>
        <item x="1"/>
        <item x="1213"/>
        <item x="710"/>
        <item x="71"/>
        <item x="70"/>
        <item x="1319"/>
        <item x="1425"/>
        <item x="262"/>
        <item x="608"/>
        <item x="779"/>
        <item x="482"/>
        <item x="1397"/>
        <item x="1460"/>
        <item x="651"/>
        <item x="850"/>
        <item x="1036"/>
        <item x="936"/>
        <item x="1134"/>
        <item x="369"/>
        <item x="988"/>
        <item x="285"/>
        <item x="1327"/>
        <item x="270"/>
        <item x="624"/>
        <item x="676"/>
        <item x="1120"/>
        <item x="1055"/>
        <item x="861"/>
        <item x="1326"/>
        <item x="1237"/>
        <item x="1141"/>
        <item x="895"/>
        <item x="1337"/>
        <item x="725"/>
        <item x="430"/>
        <item x="721"/>
        <item x="550"/>
        <item x="1233"/>
        <item x="258"/>
        <item x="1445"/>
        <item x="408"/>
        <item x="249"/>
        <item x="1047"/>
        <item x="913"/>
        <item x="1369"/>
        <item x="1140"/>
        <item x="1044"/>
        <item x="295"/>
        <item x="367"/>
        <item x="1200"/>
        <item x="45"/>
        <item x="491"/>
        <item x="588"/>
        <item x="1227"/>
        <item x="1377"/>
        <item x="1101"/>
        <item x="601"/>
        <item x="440"/>
        <item x="1261"/>
        <item x="981"/>
        <item x="1480"/>
        <item x="597"/>
        <item x="1370"/>
        <item x="1063"/>
        <item x="1374"/>
        <item x="1321"/>
        <item x="425"/>
        <item x="236"/>
        <item x="461"/>
        <item x="622"/>
        <item x="1338"/>
        <item x="925"/>
        <item x="669"/>
        <item x="761"/>
        <item x="1051"/>
        <item x="396"/>
        <item x="404"/>
        <item x="1388"/>
        <item x="1409"/>
        <item x="1223"/>
        <item x="496"/>
        <item x="1144"/>
        <item x="1022"/>
        <item x="1082"/>
        <item x="261"/>
        <item x="338"/>
        <item x="10"/>
        <item x="1153"/>
        <item x="533"/>
        <item x="581"/>
        <item x="102"/>
        <item x="1363"/>
        <item x="781"/>
        <item x="607"/>
        <item x="434"/>
        <item x="637"/>
        <item x="1488"/>
        <item x="406"/>
        <item x="1311"/>
        <item x="854"/>
        <item x="318"/>
        <item x="1039"/>
        <item x="1182"/>
        <item x="306"/>
        <item x="1197"/>
        <item x="1340"/>
        <item x="1354"/>
        <item x="1362"/>
        <item x="1333"/>
        <item x="1183"/>
        <item x="1198"/>
        <item x="943"/>
        <item x="891"/>
        <item x="1084"/>
        <item x="239"/>
        <item x="613"/>
        <item x="534"/>
        <item x="301"/>
        <item x="1123"/>
        <item x="1271"/>
        <item x="1284"/>
        <item x="1162"/>
        <item x="1339"/>
        <item x="1359"/>
        <item x="150"/>
        <item x="310"/>
        <item x="1070"/>
        <item x="1345"/>
        <item x="878"/>
        <item x="976"/>
        <item x="673"/>
        <item x="920"/>
        <item x="1062"/>
        <item x="1453"/>
        <item x="704"/>
        <item x="1416"/>
        <item x="776"/>
        <item x="929"/>
        <item x="247"/>
        <item x="939"/>
        <item x="864"/>
        <item x="966"/>
        <item x="470"/>
        <item x="312"/>
        <item x="386"/>
        <item x="985"/>
        <item x="1124"/>
        <item x="774"/>
        <item x="299"/>
        <item x="263"/>
        <item x="1252"/>
        <item x="1098"/>
        <item x="816"/>
        <item x="928"/>
        <item x="690"/>
        <item x="177"/>
        <item x="741"/>
        <item x="1004"/>
        <item x="1164"/>
        <item x="1224"/>
        <item x="1350"/>
        <item x="1018"/>
        <item x="979"/>
        <item x="742"/>
        <item x="1091"/>
        <item x="698"/>
        <item x="586"/>
        <item x="1188"/>
        <item x="770"/>
        <item x="699"/>
        <item x="1006"/>
        <item x="619"/>
        <item x="455"/>
        <item x="18"/>
        <item x="244"/>
        <item x="857"/>
        <item x="1497"/>
        <item x="439"/>
        <item x="1418"/>
        <item x="1246"/>
        <item x="17"/>
        <item x="616"/>
        <item x="825"/>
        <item x="1242"/>
        <item x="350"/>
        <item x="808"/>
        <item x="349"/>
        <item x="577"/>
        <item x="873"/>
        <item x="1417"/>
        <item x="1195"/>
        <item x="163"/>
        <item x="1002"/>
        <item x="974"/>
        <item x="4"/>
        <item x="887"/>
        <item x="697"/>
        <item x="176"/>
        <item x="1222"/>
        <item x="1291"/>
        <item x="1414"/>
        <item x="1210"/>
        <item x="215"/>
        <item x="1042"/>
        <item x="790"/>
        <item x="542"/>
        <item x="1187"/>
        <item x="1245"/>
        <item x="649"/>
        <item x="1430"/>
        <item x="800"/>
        <item x="1313"/>
        <item x="478"/>
        <item x="834"/>
        <item x="672"/>
        <item x="756"/>
        <item x="1263"/>
        <item x="300"/>
        <item x="275"/>
        <item x="1390"/>
        <item x="708"/>
        <item x="462"/>
        <item x="180"/>
        <item x="1064"/>
        <item x="606"/>
        <item x="885"/>
        <item x="1154"/>
        <item x="243"/>
        <item x="956"/>
        <item x="1092"/>
        <item x="932"/>
        <item x="1364"/>
        <item x="384"/>
        <item x="1234"/>
        <item x="1016"/>
        <item x="1290"/>
        <item x="1171"/>
        <item x="339"/>
        <item x="2"/>
        <item x="25"/>
        <item x="962"/>
        <item x="999"/>
        <item x="147"/>
        <item x="281"/>
        <item x="1477"/>
        <item x="1402"/>
        <item x="1328"/>
        <item x="1472"/>
        <item x="217"/>
        <item x="194"/>
        <item x="768"/>
        <item x="735"/>
        <item x="1161"/>
        <item x="265"/>
        <item x="1341"/>
        <item x="831"/>
        <item x="1080"/>
        <item x="1428"/>
        <item x="1485"/>
        <item x="1112"/>
        <item x="266"/>
        <item x="101"/>
        <item x="186"/>
        <item x="1029"/>
        <item x="151"/>
        <item x="130"/>
        <item x="416"/>
        <item x="58"/>
        <item x="277"/>
        <item x="192"/>
        <item x="136"/>
        <item x="497"/>
        <item x="1267"/>
        <item x="209"/>
        <item x="356"/>
        <item x="370"/>
        <item x="1248"/>
        <item x="490"/>
        <item x="1436"/>
        <item x="337"/>
        <item x="762"/>
        <item x="485"/>
        <item x="1085"/>
        <item x="282"/>
        <item x="1487"/>
        <item x="487"/>
        <item x="480"/>
        <item x="315"/>
        <item x="1220"/>
        <item x="393"/>
        <item x="875"/>
        <item x="314"/>
        <item x="1277"/>
        <item x="340"/>
        <item x="1382"/>
        <item x="823"/>
        <item x="488"/>
        <item x="695"/>
        <item x="1304"/>
        <item x="388"/>
        <item x="507"/>
        <item x="36"/>
        <item x="373"/>
        <item x="917"/>
        <item x="1344"/>
        <item x="746"/>
        <item x="629"/>
        <item x="949"/>
        <item x="970"/>
        <item x="1371"/>
        <item x="1088"/>
        <item x="900"/>
        <item x="954"/>
        <item x="466"/>
        <item x="197"/>
        <item x="445"/>
        <item x="389"/>
        <item x="93"/>
        <item x="84"/>
        <item x="1152"/>
        <item x="840"/>
        <item x="598"/>
        <item x="76"/>
        <item x="141"/>
        <item x="626"/>
        <item x="772"/>
        <item x="653"/>
        <item x="855"/>
        <item x="189"/>
        <item x="1476"/>
        <item x="565"/>
        <item x="740"/>
        <item x="200"/>
        <item x="1259"/>
        <item x="1253"/>
        <item x="1491"/>
        <item x="469"/>
        <item x="1013"/>
        <item x="1089"/>
        <item x="1301"/>
        <item x="465"/>
        <item x="252"/>
        <item x="1133"/>
        <item x="401"/>
        <item x="1457"/>
        <item x="63"/>
        <item x="1329"/>
        <item x="1094"/>
        <item x="1160"/>
        <item x="362"/>
        <item x="872"/>
        <item x="153"/>
        <item x="1441"/>
        <item x="1075"/>
        <item x="1191"/>
        <item x="14"/>
        <item x="39"/>
        <item x="80"/>
        <item x="280"/>
        <item x="95"/>
        <item x="489"/>
        <item x="1028"/>
        <item x="1150"/>
        <item x="675"/>
        <item x="256"/>
        <item x="139"/>
        <item x="1043"/>
        <item x="703"/>
        <item x="960"/>
        <item x="882"/>
        <item x="812"/>
        <item x="560"/>
        <item x="447"/>
        <item x="792"/>
        <item x="837"/>
        <item x="267"/>
        <item x="322"/>
        <item x="865"/>
        <item x="279"/>
        <item x="85"/>
        <item x="881"/>
        <item x="587"/>
        <item x="214"/>
        <item x="715"/>
        <item x="1009"/>
        <item x="1394"/>
        <item x="890"/>
        <item x="1046"/>
        <item x="554"/>
        <item x="658"/>
        <item x="126"/>
        <item x="1244"/>
        <item x="568"/>
        <item x="744"/>
        <item x="992"/>
        <item x="1086"/>
        <item x="448"/>
        <item x="206"/>
        <item x="692"/>
        <item x="365"/>
        <item x="1235"/>
        <item x="518"/>
        <item x="1065"/>
        <item x="418"/>
        <item x="1148"/>
        <item x="915"/>
        <item x="106"/>
        <item x="938"/>
        <item x="826"/>
        <item x="652"/>
        <item x="765"/>
        <item x="844"/>
        <item x="1132"/>
        <item x="303"/>
        <item x="955"/>
        <item x="664"/>
        <item x="47"/>
        <item x="429"/>
        <item x="987"/>
        <item x="128"/>
        <item x="849"/>
        <item x="570"/>
        <item x="196"/>
        <item x="385"/>
        <item x="1143"/>
        <item x="1125"/>
        <item x="968"/>
        <item x="1399"/>
        <item x="802"/>
        <item x="1347"/>
        <item x="1450"/>
        <item x="1303"/>
        <item x="1178"/>
        <item x="1442"/>
        <item x="791"/>
        <item x="860"/>
        <item x="760"/>
        <item x="886"/>
        <item x="1449"/>
        <item x="1467"/>
        <item x="1214"/>
        <item x="246"/>
        <item x="1204"/>
        <item x="1129"/>
        <item x="1471"/>
        <item x="681"/>
        <item x="203"/>
        <item x="1158"/>
        <item x="1423"/>
        <item x="61"/>
        <item x="682"/>
        <item x="785"/>
        <item x="502"/>
        <item x="1494"/>
        <item x="81"/>
        <item x="847"/>
        <item x="678"/>
        <item x="579"/>
        <item x="950"/>
        <item x="426"/>
        <item x="689"/>
        <item x="667"/>
        <item x="1346"/>
        <item x="548"/>
        <item x="782"/>
        <item x="904"/>
        <item x="1081"/>
        <item x="1469"/>
        <item x="853"/>
        <item x="811"/>
        <item x="452"/>
        <item x="947"/>
        <item x="789"/>
        <item x="888"/>
        <item x="103"/>
        <item x="645"/>
        <item x="1215"/>
        <item x="1466"/>
        <item x="156"/>
        <item x="146"/>
        <item x="1180"/>
        <item x="927"/>
        <item x="216"/>
        <item x="288"/>
        <item x="1279"/>
        <item x="964"/>
        <item x="1179"/>
        <item x="712"/>
        <item x="1255"/>
        <item x="1225"/>
        <item x="705"/>
        <item x="49"/>
        <item x="535"/>
        <item x="69"/>
        <item x="248"/>
        <item x="231"/>
        <item x="87"/>
        <item x="564"/>
        <item x="1069"/>
        <item x="179"/>
        <item x="1168"/>
        <item x="1342"/>
        <item x="1463"/>
        <item x="511"/>
        <item x="1361"/>
        <item x="621"/>
        <item x="1122"/>
        <item x="530"/>
        <item x="359"/>
        <item x="509"/>
        <item x="714"/>
        <item x="1107"/>
        <item x="221"/>
        <item x="842"/>
        <item x="88"/>
        <item x="709"/>
        <item x="594"/>
        <item x="273"/>
        <item x="1090"/>
        <item x="348"/>
        <item x="916"/>
        <item x="998"/>
        <item x="880"/>
        <item x="257"/>
        <item x="1048"/>
        <item x="1190"/>
        <item x="1073"/>
        <item x="453"/>
        <item x="352"/>
        <item x="374"/>
        <item x="383"/>
        <item x="213"/>
        <item x="237"/>
        <item x="494"/>
        <item x="856"/>
        <item x="922"/>
        <item x="1093"/>
        <item x="843"/>
        <item x="677"/>
        <item x="97"/>
        <item x="668"/>
        <item x="997"/>
        <item x="1189"/>
        <item x="1446"/>
        <item x="1424"/>
        <item x="783"/>
        <item x="407"/>
        <item x="272"/>
        <item x="46"/>
        <item x="543"/>
        <item x="495"/>
        <item x="188"/>
        <item x="732"/>
        <item x="580"/>
        <item x="921"/>
        <item x="166"/>
        <item x="836"/>
        <item x="639"/>
        <item x="1365"/>
        <item x="561"/>
        <item x="751"/>
        <item x="1459"/>
        <item x="1003"/>
        <item x="1045"/>
        <item x="56"/>
        <item x="1376"/>
        <item x="313"/>
        <item x="459"/>
        <item x="632"/>
        <item x="325"/>
        <item x="919"/>
        <item x="907"/>
        <item x="113"/>
        <item x="1499"/>
        <item x="993"/>
        <item x="512"/>
        <item x="503"/>
        <item x="1332"/>
        <item x="172"/>
        <item x="212"/>
        <item x="1383"/>
        <item x="589"/>
        <item x="1201"/>
        <item x="1184"/>
        <item x="468"/>
        <item x="688"/>
        <item x="978"/>
        <item x="155"/>
        <item x="889"/>
        <item x="1219"/>
        <item x="60"/>
        <item x="817"/>
        <item x="175"/>
        <item x="289"/>
        <item x="596"/>
        <item x="942"/>
        <item x="820"/>
        <item x="1404"/>
        <item x="617"/>
        <item x="1238"/>
        <item x="504"/>
        <item x="361"/>
        <item x="458"/>
        <item x="1308"/>
        <item x="1061"/>
        <item x="1012"/>
        <item x="238"/>
        <item x="422"/>
        <item x="1373"/>
        <item x="1334"/>
        <item x="421"/>
        <item x="298"/>
        <item x="133"/>
        <item x="700"/>
        <item x="763"/>
        <item x="259"/>
        <item x="1458"/>
        <item x="1312"/>
        <item x="592"/>
        <item x="1286"/>
        <item x="474"/>
        <item x="1000"/>
        <item x="1403"/>
        <item x="1475"/>
        <item x="604"/>
        <item x="1174"/>
        <item x="1358"/>
        <item x="510"/>
        <item x="1413"/>
        <item x="814"/>
        <item x="1379"/>
        <item x="202"/>
        <item x="111"/>
        <item x="1131"/>
        <item x="190"/>
        <item x="1199"/>
        <item x="569"/>
        <item x="419"/>
        <item x="654"/>
        <item x="559"/>
        <item x="1139"/>
        <item x="481"/>
        <item x="778"/>
        <item x="432"/>
        <item x="662"/>
        <item x="641"/>
        <item x="438"/>
        <item x="413"/>
        <item x="391"/>
        <item x="358"/>
        <item x="167"/>
        <item x="493"/>
        <item x="701"/>
        <item x="382"/>
        <item x="726"/>
        <item x="521"/>
        <item x="1027"/>
        <item x="819"/>
        <item x="1057"/>
        <item x="1384"/>
        <item x="1411"/>
        <item x="1217"/>
        <item x="893"/>
        <item x="1058"/>
        <item x="191"/>
        <item x="829"/>
        <item x="944"/>
        <item x="767"/>
        <item x="1298"/>
        <item x="797"/>
        <item x="64"/>
        <item x="66"/>
        <item x="394"/>
        <item x="158"/>
        <item x="686"/>
        <item x="574"/>
        <item x="75"/>
        <item x="414"/>
        <item x="335"/>
        <item x="946"/>
        <item x="514"/>
        <item x="538"/>
        <item x="1066"/>
        <item x="271"/>
        <item x="508"/>
        <item x="555"/>
        <item x="100"/>
        <item x="1109"/>
        <item x="1443"/>
        <item x="517"/>
        <item x="1421"/>
        <item x="1324"/>
        <item x="366"/>
        <item x="540"/>
        <item x="859"/>
        <item x="308"/>
        <item x="1170"/>
        <item x="48"/>
        <item x="1293"/>
        <item x="132"/>
        <item x="1155"/>
        <item x="551"/>
        <item x="1060"/>
        <item x="545"/>
        <item x="821"/>
        <item x="1493"/>
        <item x="410"/>
        <item x="982"/>
        <item x="193"/>
        <item x="1074"/>
        <item x="251"/>
        <item x="1034"/>
        <item x="149"/>
        <item x="1295"/>
        <item x="764"/>
        <item x="1273"/>
        <item x="612"/>
        <item x="204"/>
        <item x="15"/>
        <item x="1231"/>
        <item x="1456"/>
        <item x="623"/>
        <item x="611"/>
        <item x="211"/>
        <item x="1040"/>
        <item x="845"/>
        <item x="218"/>
        <item x="1077"/>
        <item x="1306"/>
        <item x="1270"/>
        <item x="96"/>
        <item x="1368"/>
        <item x="848"/>
        <item x="562"/>
        <item x="1395"/>
        <item x="1114"/>
        <item x="1232"/>
        <item x="972"/>
        <item x="977"/>
        <item x="343"/>
        <item x="687"/>
        <item x="1083"/>
        <item x="98"/>
        <item x="793"/>
        <item x="884"/>
        <item x="390"/>
        <item x="499"/>
        <item x="1243"/>
        <item x="655"/>
        <item x="1420"/>
        <item x="522"/>
        <item x="863"/>
        <item x="173"/>
        <item x="1249"/>
        <item x="806"/>
        <item x="1173"/>
        <item x="804"/>
        <item x="908"/>
        <item x="1281"/>
        <item x="1385"/>
        <item x="131"/>
        <item x="90"/>
        <item x="329"/>
        <item x="948"/>
        <item x="595"/>
        <item x="605"/>
        <item x="1166"/>
        <item x="640"/>
        <item x="648"/>
        <item x="1296"/>
        <item x="65"/>
        <item x="516"/>
        <item x="1113"/>
        <item x="801"/>
        <item x="378"/>
        <item x="1268"/>
        <item x="108"/>
        <item x="355"/>
        <item x="1038"/>
        <item x="727"/>
        <item x="368"/>
        <item x="1196"/>
        <item x="164"/>
        <item x="1165"/>
        <item x="666"/>
        <item x="877"/>
        <item x="182"/>
        <item x="183"/>
        <item x="1163"/>
        <item x="77"/>
        <item x="138"/>
        <item x="443"/>
        <item x="901"/>
        <item x="795"/>
        <item x="328"/>
        <item x="647"/>
        <item x="1205"/>
        <item x="523"/>
        <item x="656"/>
        <item x="346"/>
        <item x="219"/>
        <item x="1357"/>
        <item x="1023"/>
        <item x="195"/>
        <item x="971"/>
        <item x="832"/>
        <item x="827"/>
        <item x="309"/>
        <item x="953"/>
        <item x="327"/>
        <item x="796"/>
        <item x="50"/>
        <item x="35"/>
        <item x="326"/>
        <item x="903"/>
        <item x="250"/>
        <item x="1336"/>
        <item x="269"/>
        <item x="28"/>
        <item x="1299"/>
        <item x="207"/>
        <item x="316"/>
        <item x="99"/>
        <item x="53"/>
        <item x="29"/>
        <item x="483"/>
        <item x="1461"/>
        <item x="1096"/>
        <item x="665"/>
        <item x="567"/>
        <item x="245"/>
        <item x="1479"/>
        <item x="94"/>
        <item x="40"/>
        <item x="1156"/>
        <item x="24"/>
        <item x="883"/>
        <item x="472"/>
        <item x="1454"/>
        <item x="403"/>
        <item x="683"/>
        <item x="1026"/>
        <item x="1030"/>
        <item x="869"/>
        <item x="230"/>
        <item x="336"/>
        <item x="437"/>
        <item x="910"/>
        <item x="292"/>
        <item x="333"/>
        <item x="57"/>
        <item x="777"/>
        <item x="354"/>
        <item x="423"/>
        <item x="773"/>
        <item x="1352"/>
        <item x="1282"/>
        <item x="1323"/>
        <item x="529"/>
        <item x="1186"/>
        <item x="1335"/>
        <item x="1297"/>
        <item x="1269"/>
        <item x="1208"/>
        <item x="1059"/>
        <item x="1322"/>
        <item x="1100"/>
        <item x="1381"/>
        <item x="719"/>
        <item x="135"/>
        <item x="528"/>
        <item x="1068"/>
        <item x="967"/>
        <item x="1433"/>
        <item x="1462"/>
        <item x="1330"/>
        <item x="1484"/>
        <item x="711"/>
        <item x="1378"/>
        <item x="1434"/>
        <item x="1351"/>
        <item x="1343"/>
        <item x="1349"/>
        <item x="531"/>
        <item x="464"/>
        <item x="51"/>
        <item x="556"/>
        <item x="1111"/>
        <item x="254"/>
        <item x="991"/>
        <item x="1054"/>
        <item x="73"/>
        <item x="86"/>
        <item x="894"/>
        <item x="798"/>
        <item x="591"/>
        <item x="631"/>
        <item x="1212"/>
        <item x="1294"/>
        <item x="906"/>
        <item x="1375"/>
        <item x="1194"/>
        <item x="1017"/>
        <item x="44"/>
        <item x="8"/>
        <item x="235"/>
        <item x="505"/>
        <item x="74"/>
        <item x="1001"/>
        <item x="1465"/>
        <item x="1283"/>
        <item x="1406"/>
        <item x="1007"/>
        <item x="1464"/>
        <item x="1262"/>
        <item x="442"/>
        <item x="755"/>
        <item x="1137"/>
        <item x="1011"/>
        <item x="745"/>
        <item x="757"/>
        <item x="822"/>
        <item x="78"/>
        <item x="1389"/>
        <item t="default"/>
      </items>
    </pivotField>
    <pivotField showAll="0">
      <items count="8">
        <item x="6"/>
        <item x="2"/>
        <item x="1"/>
        <item x="3"/>
        <item x="0"/>
        <item x="4"/>
        <item x="5"/>
        <item t="default"/>
      </items>
    </pivotField>
    <pivotField showAll="0">
      <items count="7">
        <item x="2"/>
        <item x="0"/>
        <item x="3"/>
        <item x="1"/>
        <item x="4"/>
        <item x="5"/>
        <item t="default"/>
      </items>
    </pivotField>
    <pivotField dataField="1" numFmtId="1" showAll="0">
      <items count="1501">
        <item x="1495"/>
        <item x="1447"/>
        <item x="1443"/>
        <item x="1451"/>
        <item x="1448"/>
        <item x="1467"/>
        <item x="1414"/>
        <item x="1480"/>
        <item x="1419"/>
        <item x="1363"/>
        <item x="1399"/>
        <item x="1421"/>
        <item x="1413"/>
        <item x="1497"/>
        <item x="1396"/>
        <item x="1453"/>
        <item x="1330"/>
        <item x="1355"/>
        <item x="1301"/>
        <item x="1305"/>
        <item x="1361"/>
        <item x="1417"/>
        <item x="1479"/>
        <item x="1457"/>
        <item x="1324"/>
        <item x="1464"/>
        <item x="1339"/>
        <item x="1490"/>
        <item x="1459"/>
        <item x="1432"/>
        <item x="1325"/>
        <item x="1478"/>
        <item x="1352"/>
        <item x="1288"/>
        <item x="1442"/>
        <item x="1488"/>
        <item x="1456"/>
        <item x="1412"/>
        <item x="1408"/>
        <item x="1304"/>
        <item x="1476"/>
        <item x="1401"/>
        <item x="1411"/>
        <item x="1416"/>
        <item x="1326"/>
        <item x="1394"/>
        <item x="1460"/>
        <item x="1366"/>
        <item x="1180"/>
        <item x="1342"/>
        <item x="1259"/>
        <item x="1178"/>
        <item x="1213"/>
        <item x="1169"/>
        <item x="1241"/>
        <item x="1217"/>
        <item x="1221"/>
        <item x="1360"/>
        <item x="1349"/>
        <item x="1164"/>
        <item x="1319"/>
        <item x="1368"/>
        <item x="1152"/>
        <item x="1184"/>
        <item x="1332"/>
        <item x="1398"/>
        <item x="1435"/>
        <item x="1367"/>
        <item x="1348"/>
        <item x="1405"/>
        <item x="1356"/>
        <item x="1216"/>
        <item x="1423"/>
        <item x="1391"/>
        <item x="1441"/>
        <item x="1493"/>
        <item x="1202"/>
        <item x="1382"/>
        <item x="1189"/>
        <item x="1369"/>
        <item x="1110"/>
        <item x="1282"/>
        <item x="1196"/>
        <item x="1468"/>
        <item x="1437"/>
        <item x="1199"/>
        <item x="1403"/>
        <item x="1097"/>
        <item x="1498"/>
        <item x="1454"/>
        <item x="1236"/>
        <item x="1375"/>
        <item x="1433"/>
        <item x="1331"/>
        <item x="1186"/>
        <item x="1481"/>
        <item x="1084"/>
        <item x="1318"/>
        <item x="1055"/>
        <item x="1283"/>
        <item x="1122"/>
        <item x="1473"/>
        <item x="1365"/>
        <item x="1371"/>
        <item x="1247"/>
        <item x="1127"/>
        <item x="1176"/>
        <item x="1392"/>
        <item x="1425"/>
        <item x="1311"/>
        <item x="1214"/>
        <item x="1465"/>
        <item x="1022"/>
        <item x="1377"/>
        <item x="1475"/>
        <item x="1160"/>
        <item x="1125"/>
        <item x="1482"/>
        <item x="1341"/>
        <item x="1484"/>
        <item x="1109"/>
        <item x="1461"/>
        <item x="1275"/>
        <item x="1376"/>
        <item x="1111"/>
        <item x="1354"/>
        <item x="1240"/>
        <item x="1006"/>
        <item x="1410"/>
        <item x="1483"/>
        <item x="1285"/>
        <item x="1452"/>
        <item x="1328"/>
        <item x="1415"/>
        <item x="1258"/>
        <item x="1486"/>
        <item x="1359"/>
        <item x="1120"/>
        <item x="1166"/>
        <item x="1345"/>
        <item x="1317"/>
        <item x="1327"/>
        <item x="1374"/>
        <item x="1192"/>
        <item x="1302"/>
        <item x="1390"/>
        <item x="1315"/>
        <item x="1271"/>
        <item x="1466"/>
        <item x="1037"/>
        <item x="1153"/>
        <item x="1144"/>
        <item x="1351"/>
        <item x="1346"/>
        <item x="1230"/>
        <item x="1080"/>
        <item x="1066"/>
        <item x="1107"/>
        <item x="1034"/>
        <item x="1424"/>
        <item x="1445"/>
        <item x="1297"/>
        <item x="1009"/>
        <item x="1428"/>
        <item x="1124"/>
        <item x="1119"/>
        <item x="1067"/>
        <item x="935"/>
        <item x="1378"/>
        <item x="1260"/>
        <item x="1072"/>
        <item x="1099"/>
        <item x="944"/>
        <item x="1270"/>
        <item x="1205"/>
        <item x="1112"/>
        <item x="1347"/>
        <item x="1179"/>
        <item x="1335"/>
        <item x="922"/>
        <item x="1188"/>
        <item x="936"/>
        <item x="1249"/>
        <item x="1073"/>
        <item x="1406"/>
        <item x="1313"/>
        <item x="1407"/>
        <item x="930"/>
        <item x="1310"/>
        <item x="1284"/>
        <item x="1321"/>
        <item x="1353"/>
        <item x="1267"/>
        <item x="1115"/>
        <item x="1358"/>
        <item x="1121"/>
        <item x="1046"/>
        <item x="1096"/>
        <item x="1255"/>
        <item x="1019"/>
        <item x="1130"/>
        <item x="1185"/>
        <item x="1449"/>
        <item x="931"/>
        <item x="1200"/>
        <item x="1491"/>
        <item x="1439"/>
        <item x="1056"/>
        <item x="1210"/>
        <item x="1427"/>
        <item x="1228"/>
        <item x="1343"/>
        <item x="1379"/>
        <item x="1402"/>
        <item x="896"/>
        <item x="1303"/>
        <item x="1150"/>
        <item x="1492"/>
        <item x="1463"/>
        <item x="1388"/>
        <item x="1131"/>
        <item x="1248"/>
        <item x="1429"/>
        <item x="899"/>
        <item x="1496"/>
        <item x="1220"/>
        <item x="1132"/>
        <item x="1077"/>
        <item x="926"/>
        <item x="1434"/>
        <item x="952"/>
        <item x="1272"/>
        <item x="1089"/>
        <item x="1070"/>
        <item x="1209"/>
        <item x="888"/>
        <item x="1290"/>
        <item x="1239"/>
        <item x="1298"/>
        <item x="1133"/>
        <item x="1002"/>
        <item x="1397"/>
        <item x="1286"/>
        <item x="1005"/>
        <item x="1446"/>
        <item x="901"/>
        <item x="1159"/>
        <item x="836"/>
        <item x="1404"/>
        <item x="1450"/>
        <item x="1400"/>
        <item x="1387"/>
        <item x="908"/>
        <item x="1030"/>
        <item x="1436"/>
        <item x="1474"/>
        <item x="1212"/>
        <item x="1279"/>
        <item x="883"/>
        <item x="1253"/>
        <item x="1251"/>
        <item x="1477"/>
        <item x="1012"/>
        <item x="973"/>
        <item x="813"/>
        <item x="893"/>
        <item x="830"/>
        <item x="1079"/>
        <item x="1004"/>
        <item x="993"/>
        <item x="1336"/>
        <item x="890"/>
        <item x="872"/>
        <item x="1088"/>
        <item x="1266"/>
        <item x="1033"/>
        <item x="1499"/>
        <item x="1137"/>
        <item x="1063"/>
        <item x="1052"/>
        <item x="1218"/>
        <item x="1261"/>
        <item x="1462"/>
        <item x="1155"/>
        <item x="1142"/>
        <item x="1045"/>
        <item x="1263"/>
        <item x="1147"/>
        <item x="1426"/>
        <item x="1170"/>
        <item x="1409"/>
        <item x="1104"/>
        <item x="1105"/>
        <item x="1108"/>
        <item x="1256"/>
        <item x="1065"/>
        <item x="1383"/>
        <item x="800"/>
        <item x="775"/>
        <item x="1040"/>
        <item x="976"/>
        <item x="1444"/>
        <item x="910"/>
        <item x="1245"/>
        <item x="1233"/>
        <item x="988"/>
        <item x="1250"/>
        <item x="1237"/>
        <item x="1191"/>
        <item x="1344"/>
        <item x="981"/>
        <item x="1069"/>
        <item x="904"/>
        <item x="1265"/>
        <item x="920"/>
        <item x="1047"/>
        <item x="1222"/>
        <item x="1049"/>
        <item x="1472"/>
        <item x="1074"/>
        <item x="1008"/>
        <item x="1380"/>
        <item x="866"/>
        <item x="783"/>
        <item x="808"/>
        <item x="1372"/>
        <item x="909"/>
        <item x="1322"/>
        <item x="1145"/>
        <item x="1126"/>
        <item x="1016"/>
        <item x="1471"/>
        <item x="907"/>
        <item x="991"/>
        <item x="1287"/>
        <item x="1293"/>
        <item x="1235"/>
        <item x="985"/>
        <item x="1175"/>
        <item x="1151"/>
        <item x="928"/>
        <item x="864"/>
        <item x="874"/>
        <item x="1264"/>
        <item x="968"/>
        <item x="1243"/>
        <item x="1134"/>
        <item x="1018"/>
        <item x="1050"/>
        <item x="1362"/>
        <item x="1201"/>
        <item x="940"/>
        <item x="1470"/>
        <item x="1146"/>
        <item x="1060"/>
        <item x="1291"/>
        <item x="762"/>
        <item x="1393"/>
        <item x="925"/>
        <item x="821"/>
        <item x="824"/>
        <item x="780"/>
        <item x="1430"/>
        <item x="764"/>
        <item x="1226"/>
        <item x="1215"/>
        <item x="971"/>
        <item x="1323"/>
        <item x="1163"/>
        <item x="938"/>
        <item x="1252"/>
        <item x="1274"/>
        <item x="934"/>
        <item x="1487"/>
        <item x="799"/>
        <item x="1068"/>
        <item x="964"/>
        <item x="1051"/>
        <item x="1306"/>
        <item x="957"/>
        <item x="1455"/>
        <item x="962"/>
        <item x="720"/>
        <item x="1101"/>
        <item x="823"/>
        <item x="1087"/>
        <item x="1268"/>
        <item x="1307"/>
        <item x="880"/>
        <item x="1094"/>
        <item x="1157"/>
        <item x="1431"/>
        <item x="1223"/>
        <item x="1422"/>
        <item x="1357"/>
        <item x="875"/>
        <item x="1193"/>
        <item x="1211"/>
        <item x="1035"/>
        <item x="1032"/>
        <item x="1338"/>
        <item x="900"/>
        <item x="1364"/>
        <item x="1242"/>
        <item x="885"/>
        <item x="846"/>
        <item x="756"/>
        <item x="677"/>
        <item x="1418"/>
        <item x="1384"/>
        <item x="1334"/>
        <item x="1219"/>
        <item x="1181"/>
        <item x="905"/>
        <item x="1158"/>
        <item x="1083"/>
        <item x="1075"/>
        <item x="834"/>
        <item x="1309"/>
        <item x="843"/>
        <item x="1277"/>
        <item x="1086"/>
        <item x="1117"/>
        <item x="698"/>
        <item x="811"/>
        <item x="1207"/>
        <item x="1182"/>
        <item x="839"/>
        <item x="1071"/>
        <item x="1485"/>
        <item x="1494"/>
        <item x="768"/>
        <item x="1489"/>
        <item x="705"/>
        <item x="1156"/>
        <item x="1438"/>
        <item x="1395"/>
        <item x="737"/>
        <item x="1458"/>
        <item x="817"/>
        <item x="1161"/>
        <item x="1028"/>
        <item x="820"/>
        <item x="979"/>
        <item x="798"/>
        <item x="903"/>
        <item x="1225"/>
        <item x="1389"/>
        <item x="847"/>
        <item x="1014"/>
        <item x="1232"/>
        <item x="1469"/>
        <item x="1029"/>
        <item x="1116"/>
        <item x="1231"/>
        <item x="804"/>
        <item x="1420"/>
        <item x="1329"/>
        <item x="734"/>
        <item x="1246"/>
        <item x="1090"/>
        <item x="1025"/>
        <item x="918"/>
        <item x="1278"/>
        <item x="1300"/>
        <item x="1314"/>
        <item x="1440"/>
        <item x="731"/>
        <item x="1273"/>
        <item x="1294"/>
        <item x="1172"/>
        <item x="997"/>
        <item x="1254"/>
        <item x="831"/>
        <item x="869"/>
        <item x="1195"/>
        <item x="1316"/>
        <item x="736"/>
        <item x="996"/>
        <item x="1171"/>
        <item x="671"/>
        <item x="746"/>
        <item x="878"/>
        <item x="1292"/>
        <item x="1373"/>
        <item x="815"/>
        <item x="1269"/>
        <item x="1299"/>
        <item x="913"/>
        <item x="1295"/>
        <item x="1007"/>
        <item x="884"/>
        <item x="659"/>
        <item x="887"/>
        <item x="1385"/>
        <item x="1064"/>
        <item x="1140"/>
        <item x="1165"/>
        <item x="1000"/>
        <item x="1386"/>
        <item x="892"/>
        <item x="1039"/>
        <item x="854"/>
        <item x="636"/>
        <item x="722"/>
        <item x="1333"/>
        <item x="1118"/>
        <item x="1296"/>
        <item x="1370"/>
        <item x="1092"/>
        <item x="1312"/>
        <item x="1198"/>
        <item x="859"/>
        <item x="787"/>
        <item x="812"/>
        <item x="845"/>
        <item x="1024"/>
        <item x="791"/>
        <item x="1208"/>
        <item x="1308"/>
        <item x="803"/>
        <item x="669"/>
        <item x="959"/>
        <item x="1174"/>
        <item x="1197"/>
        <item x="1381"/>
        <item x="658"/>
        <item x="1038"/>
        <item x="675"/>
        <item x="1262"/>
        <item x="1320"/>
        <item x="876"/>
        <item x="670"/>
        <item x="1013"/>
        <item x="767"/>
        <item x="687"/>
        <item x="613"/>
        <item x="1103"/>
        <item x="1031"/>
        <item x="729"/>
        <item x="945"/>
        <item x="715"/>
        <item x="1244"/>
        <item x="757"/>
        <item x="982"/>
        <item x="1337"/>
        <item x="1350"/>
        <item x="898"/>
        <item x="1194"/>
        <item x="1154"/>
        <item x="738"/>
        <item x="1340"/>
        <item x="1276"/>
        <item x="1224"/>
        <item x="641"/>
        <item x="1227"/>
        <item x="759"/>
        <item x="915"/>
        <item x="867"/>
        <item x="717"/>
        <item x="1183"/>
        <item x="745"/>
        <item x="784"/>
        <item x="810"/>
        <item x="655"/>
        <item x="929"/>
        <item x="942"/>
        <item x="838"/>
        <item x="873"/>
        <item x="886"/>
        <item x="772"/>
        <item x="1204"/>
        <item x="856"/>
        <item x="1149"/>
        <item x="622"/>
        <item x="592"/>
        <item x="1167"/>
        <item x="1238"/>
        <item x="1136"/>
        <item x="1280"/>
        <item x="1289"/>
        <item x="1095"/>
        <item x="1058"/>
        <item x="1203"/>
        <item x="1229"/>
        <item x="1082"/>
        <item x="992"/>
        <item x="1023"/>
        <item x="660"/>
        <item x="1054"/>
        <item x="1128"/>
        <item x="599"/>
        <item x="1281"/>
        <item x="752"/>
        <item x="855"/>
        <item x="989"/>
        <item x="1257"/>
        <item x="778"/>
        <item x="1076"/>
        <item x="933"/>
        <item x="969"/>
        <item x="1106"/>
        <item x="711"/>
        <item x="850"/>
        <item x="1100"/>
        <item x="1053"/>
        <item x="895"/>
        <item x="1114"/>
        <item x="1081"/>
        <item x="1190"/>
        <item x="761"/>
        <item x="1057"/>
        <item x="1011"/>
        <item x="1020"/>
        <item x="1177"/>
        <item x="1078"/>
        <item x="1206"/>
        <item x="889"/>
        <item x="1173"/>
        <item x="980"/>
        <item x="943"/>
        <item x="650"/>
        <item x="1042"/>
        <item x="961"/>
        <item x="1234"/>
        <item x="857"/>
        <item x="1129"/>
        <item x="937"/>
        <item x="966"/>
        <item x="690"/>
        <item x="1187"/>
        <item x="1001"/>
        <item x="986"/>
        <item x="1139"/>
        <item x="967"/>
        <item x="1135"/>
        <item x="960"/>
        <item x="995"/>
        <item x="1168"/>
        <item x="788"/>
        <item x="547"/>
        <item x="939"/>
        <item x="1091"/>
        <item x="1048"/>
        <item x="975"/>
        <item x="723"/>
        <item x="795"/>
        <item x="593"/>
        <item x="773"/>
        <item x="861"/>
        <item x="998"/>
        <item x="1123"/>
        <item x="1027"/>
        <item x="708"/>
        <item x="605"/>
        <item x="1061"/>
        <item x="1059"/>
        <item x="949"/>
        <item x="611"/>
        <item x="1138"/>
        <item x="947"/>
        <item x="743"/>
        <item x="628"/>
        <item x="906"/>
        <item x="974"/>
        <item x="790"/>
        <item x="806"/>
        <item x="894"/>
        <item x="1141"/>
        <item x="1162"/>
        <item x="1098"/>
        <item x="750"/>
        <item x="1148"/>
        <item x="924"/>
        <item x="999"/>
        <item x="739"/>
        <item x="870"/>
        <item x="1113"/>
        <item x="955"/>
        <item x="862"/>
        <item x="990"/>
        <item x="849"/>
        <item x="796"/>
        <item x="688"/>
        <item x="623"/>
        <item x="700"/>
        <item x="983"/>
        <item x="1143"/>
        <item x="560"/>
        <item x="792"/>
        <item x="911"/>
        <item x="740"/>
        <item x="844"/>
        <item x="689"/>
        <item x="879"/>
        <item x="1041"/>
        <item x="755"/>
        <item x="1015"/>
        <item x="814"/>
        <item x="1043"/>
        <item x="1102"/>
        <item x="696"/>
        <item x="1021"/>
        <item x="848"/>
        <item x="978"/>
        <item x="707"/>
        <item x="977"/>
        <item x="1010"/>
        <item x="1003"/>
        <item x="1036"/>
        <item x="645"/>
        <item x="1062"/>
        <item x="575"/>
        <item x="626"/>
        <item x="1044"/>
        <item x="589"/>
        <item x="741"/>
        <item x="639"/>
        <item x="984"/>
        <item x="555"/>
        <item x="726"/>
        <item x="1026"/>
        <item x="747"/>
        <item x="819"/>
        <item x="921"/>
        <item x="987"/>
        <item x="835"/>
        <item x="608"/>
        <item x="526"/>
        <item x="1093"/>
        <item x="642"/>
        <item x="569"/>
        <item x="1085"/>
        <item x="994"/>
        <item x="789"/>
        <item x="840"/>
        <item x="601"/>
        <item x="1017"/>
        <item x="951"/>
        <item x="963"/>
        <item x="712"/>
        <item x="946"/>
        <item x="510"/>
        <item x="868"/>
        <item x="916"/>
        <item x="545"/>
        <item x="610"/>
        <item x="948"/>
        <item x="678"/>
        <item x="662"/>
        <item x="970"/>
        <item x="760"/>
        <item x="557"/>
        <item x="891"/>
        <item x="627"/>
        <item x="602"/>
        <item x="490"/>
        <item x="826"/>
        <item x="751"/>
        <item x="965"/>
        <item x="672"/>
        <item x="535"/>
        <item x="827"/>
        <item x="832"/>
        <item x="877"/>
        <item x="553"/>
        <item x="902"/>
        <item x="954"/>
        <item x="477"/>
        <item x="718"/>
        <item x="956"/>
        <item x="754"/>
        <item x="513"/>
        <item x="704"/>
        <item x="668"/>
        <item x="732"/>
        <item x="724"/>
        <item x="709"/>
        <item x="617"/>
        <item x="576"/>
        <item x="637"/>
        <item x="776"/>
        <item x="699"/>
        <item x="853"/>
        <item x="697"/>
        <item x="616"/>
        <item x="742"/>
        <item x="953"/>
        <item x="674"/>
        <item x="972"/>
        <item x="852"/>
        <item x="932"/>
        <item x="917"/>
        <item x="585"/>
        <item x="607"/>
        <item x="802"/>
        <item x="749"/>
        <item x="648"/>
        <item x="958"/>
        <item x="733"/>
        <item x="858"/>
        <item x="770"/>
        <item x="521"/>
        <item x="825"/>
        <item x="505"/>
        <item x="781"/>
        <item x="643"/>
        <item x="448"/>
        <item x="719"/>
        <item x="549"/>
        <item x="748"/>
        <item x="612"/>
        <item x="774"/>
        <item x="941"/>
        <item x="777"/>
        <item x="702"/>
        <item x="682"/>
        <item x="950"/>
        <item x="695"/>
        <item x="927"/>
        <item x="498"/>
        <item x="829"/>
        <item x="633"/>
        <item x="801"/>
        <item x="620"/>
        <item x="919"/>
        <item x="479"/>
        <item x="703"/>
        <item x="842"/>
        <item x="618"/>
        <item x="701"/>
        <item x="765"/>
        <item x="794"/>
        <item x="685"/>
        <item x="923"/>
        <item x="914"/>
        <item x="710"/>
        <item x="693"/>
        <item x="771"/>
        <item x="681"/>
        <item x="807"/>
        <item x="663"/>
        <item x="782"/>
        <item x="656"/>
        <item x="538"/>
        <item x="805"/>
        <item x="897"/>
        <item x="758"/>
        <item x="809"/>
        <item x="427"/>
        <item x="851"/>
        <item x="680"/>
        <item x="408"/>
        <item x="580"/>
        <item x="912"/>
        <item x="591"/>
        <item x="882"/>
        <item x="500"/>
        <item x="568"/>
        <item x="871"/>
        <item x="841"/>
        <item x="769"/>
        <item x="863"/>
        <item x="828"/>
        <item x="860"/>
        <item x="615"/>
        <item x="654"/>
        <item x="578"/>
        <item x="532"/>
        <item x="713"/>
        <item x="881"/>
        <item x="727"/>
        <item x="694"/>
        <item x="511"/>
        <item x="763"/>
        <item x="624"/>
        <item x="524"/>
        <item x="517"/>
        <item x="454"/>
        <item x="793"/>
        <item x="530"/>
        <item x="786"/>
        <item x="684"/>
        <item x="818"/>
        <item x="816"/>
        <item x="725"/>
        <item x="467"/>
        <item x="431"/>
        <item x="833"/>
        <item x="483"/>
        <item x="679"/>
        <item x="657"/>
        <item x="865"/>
        <item x="439"/>
        <item x="485"/>
        <item x="606"/>
        <item x="630"/>
        <item x="614"/>
        <item x="621"/>
        <item x="634"/>
        <item x="432"/>
        <item x="766"/>
        <item x="683"/>
        <item x="534"/>
        <item x="436"/>
        <item x="437"/>
        <item x="596"/>
        <item x="716"/>
        <item x="822"/>
        <item x="529"/>
        <item x="797"/>
        <item x="837"/>
        <item x="631"/>
        <item x="619"/>
        <item x="407"/>
        <item x="638"/>
        <item x="574"/>
        <item x="470"/>
        <item x="691"/>
        <item x="753"/>
        <item x="499"/>
        <item x="582"/>
        <item x="514"/>
        <item x="539"/>
        <item x="744"/>
        <item x="665"/>
        <item x="567"/>
        <item x="583"/>
        <item x="548"/>
        <item x="590"/>
        <item x="399"/>
        <item x="486"/>
        <item x="455"/>
        <item x="460"/>
        <item x="388"/>
        <item x="735"/>
        <item x="779"/>
        <item x="480"/>
        <item x="378"/>
        <item x="586"/>
        <item x="785"/>
        <item x="579"/>
        <item x="721"/>
        <item x="392"/>
        <item x="666"/>
        <item x="401"/>
        <item x="464"/>
        <item x="584"/>
        <item x="647"/>
        <item x="415"/>
        <item x="543"/>
        <item x="522"/>
        <item x="482"/>
        <item x="442"/>
        <item x="559"/>
        <item x="561"/>
        <item x="418"/>
        <item x="346"/>
        <item x="646"/>
        <item x="598"/>
        <item x="686"/>
        <item x="625"/>
        <item x="456"/>
        <item x="531"/>
        <item x="566"/>
        <item x="414"/>
        <item x="673"/>
        <item x="405"/>
        <item x="476"/>
        <item x="728"/>
        <item x="730"/>
        <item x="370"/>
        <item x="348"/>
        <item x="536"/>
        <item x="406"/>
        <item x="384"/>
        <item x="714"/>
        <item x="635"/>
        <item x="489"/>
        <item x="652"/>
        <item x="468"/>
        <item x="597"/>
        <item x="649"/>
        <item x="518"/>
        <item x="706"/>
        <item x="594"/>
        <item x="403"/>
        <item x="661"/>
        <item x="570"/>
        <item x="581"/>
        <item x="410"/>
        <item x="382"/>
        <item x="430"/>
        <item x="461"/>
        <item x="421"/>
        <item x="651"/>
        <item x="573"/>
        <item x="417"/>
        <item x="667"/>
        <item x="692"/>
        <item x="571"/>
        <item x="350"/>
        <item x="385"/>
        <item x="540"/>
        <item x="504"/>
        <item x="632"/>
        <item x="528"/>
        <item x="676"/>
        <item x="433"/>
        <item x="491"/>
        <item x="509"/>
        <item x="551"/>
        <item x="664"/>
        <item x="595"/>
        <item x="565"/>
        <item x="541"/>
        <item x="492"/>
        <item x="533"/>
        <item x="629"/>
        <item x="506"/>
        <item x="537"/>
        <item x="459"/>
        <item x="502"/>
        <item x="603"/>
        <item x="653"/>
        <item x="519"/>
        <item x="644"/>
        <item x="474"/>
        <item x="497"/>
        <item x="377"/>
        <item x="640"/>
        <item x="542"/>
        <item x="508"/>
        <item x="383"/>
        <item x="465"/>
        <item x="400"/>
        <item x="556"/>
        <item x="562"/>
        <item x="306"/>
        <item x="345"/>
        <item x="452"/>
        <item x="473"/>
        <item x="546"/>
        <item x="544"/>
        <item x="472"/>
        <item x="552"/>
        <item x="390"/>
        <item x="588"/>
        <item x="577"/>
        <item x="343"/>
        <item x="363"/>
        <item x="369"/>
        <item x="428"/>
        <item x="342"/>
        <item x="554"/>
        <item x="475"/>
        <item x="429"/>
        <item x="463"/>
        <item x="438"/>
        <item x="347"/>
        <item x="379"/>
        <item x="572"/>
        <item x="515"/>
        <item x="295"/>
        <item x="495"/>
        <item x="487"/>
        <item x="527"/>
        <item x="307"/>
        <item x="315"/>
        <item x="330"/>
        <item x="609"/>
        <item x="416"/>
        <item x="413"/>
        <item x="445"/>
        <item x="425"/>
        <item x="516"/>
        <item x="512"/>
        <item x="322"/>
        <item x="284"/>
        <item x="604"/>
        <item x="484"/>
        <item x="600"/>
        <item x="443"/>
        <item x="558"/>
        <item x="564"/>
        <item x="344"/>
        <item x="587"/>
        <item x="563"/>
        <item x="288"/>
        <item x="359"/>
        <item x="327"/>
        <item x="333"/>
        <item x="366"/>
        <item x="354"/>
        <item x="503"/>
        <item x="550"/>
        <item x="440"/>
        <item x="402"/>
        <item x="520"/>
        <item x="349"/>
        <item x="397"/>
        <item x="435"/>
        <item x="280"/>
        <item x="523"/>
        <item x="251"/>
        <item x="444"/>
        <item x="525"/>
        <item x="358"/>
        <item x="373"/>
        <item x="328"/>
        <item x="469"/>
        <item x="362"/>
        <item x="386"/>
        <item x="422"/>
        <item x="457"/>
        <item x="450"/>
        <item x="243"/>
        <item x="281"/>
        <item x="311"/>
        <item x="466"/>
        <item x="481"/>
        <item x="351"/>
        <item x="271"/>
        <item x="471"/>
        <item x="393"/>
        <item x="259"/>
        <item x="300"/>
        <item x="374"/>
        <item x="411"/>
        <item x="365"/>
        <item x="507"/>
        <item x="241"/>
        <item x="404"/>
        <item x="419"/>
        <item x="291"/>
        <item x="424"/>
        <item x="496"/>
        <item x="277"/>
        <item x="420"/>
        <item x="381"/>
        <item x="375"/>
        <item x="290"/>
        <item x="352"/>
        <item x="488"/>
        <item x="449"/>
        <item x="478"/>
        <item x="310"/>
        <item x="493"/>
        <item x="501"/>
        <item x="323"/>
        <item x="316"/>
        <item x="462"/>
        <item x="228"/>
        <item x="494"/>
        <item x="220"/>
        <item x="394"/>
        <item x="334"/>
        <item x="451"/>
        <item x="318"/>
        <item x="458"/>
        <item x="391"/>
        <item x="321"/>
        <item x="389"/>
        <item x="245"/>
        <item x="426"/>
        <item x="367"/>
        <item x="287"/>
        <item x="380"/>
        <item x="252"/>
        <item x="226"/>
        <item x="441"/>
        <item x="270"/>
        <item x="434"/>
        <item x="364"/>
        <item x="398"/>
        <item x="453"/>
        <item x="337"/>
        <item x="357"/>
        <item x="331"/>
        <item x="297"/>
        <item x="446"/>
        <item x="423"/>
        <item x="314"/>
        <item x="203"/>
        <item x="338"/>
        <item x="395"/>
        <item x="371"/>
        <item x="447"/>
        <item x="218"/>
        <item x="353"/>
        <item x="412"/>
        <item x="266"/>
        <item x="247"/>
        <item x="233"/>
        <item x="272"/>
        <item x="332"/>
        <item x="335"/>
        <item x="409"/>
        <item x="276"/>
        <item x="205"/>
        <item x="301"/>
        <item x="217"/>
        <item x="339"/>
        <item x="341"/>
        <item x="376"/>
        <item x="372"/>
        <item x="302"/>
        <item x="285"/>
        <item x="336"/>
        <item x="356"/>
        <item x="232"/>
        <item x="264"/>
        <item x="298"/>
        <item x="192"/>
        <item x="396"/>
        <item x="317"/>
        <item x="274"/>
        <item x="212"/>
        <item x="361"/>
        <item x="387"/>
        <item x="286"/>
        <item x="304"/>
        <item x="368"/>
        <item x="308"/>
        <item x="360"/>
        <item x="329"/>
        <item x="309"/>
        <item x="242"/>
        <item x="319"/>
        <item x="296"/>
        <item x="273"/>
        <item x="225"/>
        <item x="246"/>
        <item x="292"/>
        <item x="194"/>
        <item x="312"/>
        <item x="188"/>
        <item x="253"/>
        <item x="293"/>
        <item x="313"/>
        <item x="229"/>
        <item x="355"/>
        <item x="260"/>
        <item x="195"/>
        <item x="325"/>
        <item x="249"/>
        <item x="183"/>
        <item x="275"/>
        <item x="207"/>
        <item x="187"/>
        <item x="237"/>
        <item x="340"/>
        <item x="324"/>
        <item x="254"/>
        <item x="278"/>
        <item x="185"/>
        <item x="250"/>
        <item x="167"/>
        <item x="279"/>
        <item x="326"/>
        <item x="265"/>
        <item x="294"/>
        <item x="236"/>
        <item x="305"/>
        <item x="171"/>
        <item x="261"/>
        <item x="234"/>
        <item x="289"/>
        <item x="320"/>
        <item x="144"/>
        <item x="299"/>
        <item x="211"/>
        <item x="168"/>
        <item x="191"/>
        <item x="186"/>
        <item x="303"/>
        <item x="244"/>
        <item x="283"/>
        <item x="216"/>
        <item x="263"/>
        <item x="268"/>
        <item x="267"/>
        <item x="193"/>
        <item x="282"/>
        <item x="204"/>
        <item x="199"/>
        <item x="153"/>
        <item x="269"/>
        <item x="240"/>
        <item x="150"/>
        <item x="256"/>
        <item x="223"/>
        <item x="262"/>
        <item x="161"/>
        <item x="257"/>
        <item x="255"/>
        <item x="238"/>
        <item x="177"/>
        <item x="179"/>
        <item x="222"/>
        <item x="248"/>
        <item x="169"/>
        <item x="219"/>
        <item x="182"/>
        <item x="258"/>
        <item x="196"/>
        <item x="141"/>
        <item x="145"/>
        <item x="214"/>
        <item x="130"/>
        <item x="198"/>
        <item x="200"/>
        <item x="121"/>
        <item x="221"/>
        <item x="231"/>
        <item x="170"/>
        <item x="208"/>
        <item x="174"/>
        <item x="224"/>
        <item x="159"/>
        <item x="235"/>
        <item x="128"/>
        <item x="209"/>
        <item x="136"/>
        <item x="189"/>
        <item x="227"/>
        <item x="202"/>
        <item x="239"/>
        <item x="215"/>
        <item x="158"/>
        <item x="176"/>
        <item x="201"/>
        <item x="230"/>
        <item x="213"/>
        <item x="156"/>
        <item x="181"/>
        <item x="178"/>
        <item x="197"/>
        <item x="210"/>
        <item x="147"/>
        <item x="206"/>
        <item x="95"/>
        <item x="101"/>
        <item x="97"/>
        <item x="114"/>
        <item x="142"/>
        <item x="163"/>
        <item x="184"/>
        <item x="115"/>
        <item x="166"/>
        <item x="157"/>
        <item x="190"/>
        <item x="111"/>
        <item x="164"/>
        <item x="160"/>
        <item x="180"/>
        <item x="162"/>
        <item x="110"/>
        <item x="88"/>
        <item x="175"/>
        <item x="116"/>
        <item x="125"/>
        <item x="146"/>
        <item x="165"/>
        <item x="148"/>
        <item x="80"/>
        <item x="173"/>
        <item x="172"/>
        <item x="120"/>
        <item x="104"/>
        <item x="149"/>
        <item x="152"/>
        <item x="77"/>
        <item x="154"/>
        <item x="129"/>
        <item x="85"/>
        <item x="124"/>
        <item x="122"/>
        <item x="155"/>
        <item x="139"/>
        <item x="138"/>
        <item x="79"/>
        <item x="135"/>
        <item x="112"/>
        <item x="143"/>
        <item x="140"/>
        <item x="151"/>
        <item x="82"/>
        <item x="87"/>
        <item x="72"/>
        <item x="127"/>
        <item x="126"/>
        <item x="132"/>
        <item x="102"/>
        <item x="133"/>
        <item x="81"/>
        <item x="123"/>
        <item x="105"/>
        <item x="137"/>
        <item x="119"/>
        <item x="76"/>
        <item x="134"/>
        <item x="118"/>
        <item x="113"/>
        <item x="75"/>
        <item x="103"/>
        <item x="131"/>
        <item x="108"/>
        <item x="92"/>
        <item x="98"/>
        <item x="65"/>
        <item x="109"/>
        <item x="74"/>
        <item x="83"/>
        <item x="117"/>
        <item x="60"/>
        <item x="84"/>
        <item x="107"/>
        <item x="90"/>
        <item x="96"/>
        <item x="100"/>
        <item x="53"/>
        <item x="73"/>
        <item x="94"/>
        <item x="99"/>
        <item x="106"/>
        <item x="68"/>
        <item x="86"/>
        <item x="91"/>
        <item x="67"/>
        <item x="93"/>
        <item x="70"/>
        <item x="50"/>
        <item x="48"/>
        <item x="61"/>
        <item x="57"/>
        <item x="64"/>
        <item x="89"/>
        <item x="71"/>
        <item x="42"/>
        <item x="66"/>
        <item x="51"/>
        <item x="78"/>
        <item x="56"/>
        <item x="62"/>
        <item x="69"/>
        <item x="32"/>
        <item x="49"/>
        <item x="58"/>
        <item x="63"/>
        <item x="30"/>
        <item x="43"/>
        <item x="59"/>
        <item x="36"/>
        <item x="44"/>
        <item x="40"/>
        <item x="55"/>
        <item x="38"/>
        <item x="37"/>
        <item x="46"/>
        <item x="52"/>
        <item x="45"/>
        <item x="54"/>
        <item x="25"/>
        <item x="41"/>
        <item x="26"/>
        <item x="35"/>
        <item x="47"/>
        <item x="31"/>
        <item x="39"/>
        <item x="23"/>
        <item x="33"/>
        <item x="21"/>
        <item x="34"/>
        <item x="19"/>
        <item x="24"/>
        <item x="20"/>
        <item x="18"/>
        <item x="15"/>
        <item x="29"/>
        <item x="28"/>
        <item x="14"/>
        <item x="27"/>
        <item x="22"/>
        <item x="16"/>
        <item x="12"/>
        <item x="10"/>
        <item x="9"/>
        <item x="17"/>
        <item x="8"/>
        <item x="13"/>
        <item x="5"/>
        <item x="11"/>
        <item x="6"/>
        <item x="4"/>
        <item x="7"/>
        <item x="2"/>
        <item x="3"/>
        <item x="1"/>
        <item x="0"/>
        <item t="default"/>
      </items>
    </pivotField>
    <pivotField showAll="0"/>
    <pivotField showAll="0"/>
    <pivotField showAll="0"/>
    <pivotField showAll="0"/>
    <pivotField numFmtId="164" showAll="0"/>
    <pivotField showAll="0"/>
    <pivotField showAll="0">
      <items count="5">
        <item x="3"/>
        <item x="1"/>
        <item x="0"/>
        <item x="2"/>
        <item t="default"/>
      </items>
    </pivotField>
  </pivotFields>
  <rowItems count="1">
    <i/>
  </rowItems>
  <colItems count="1">
    <i/>
  </colItems>
  <dataFields count="1">
    <dataField name="Sum of monthly_visits" fld="4"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B330B5B-F567-4D2C-85EA-4E99BC809128}"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2">
    <pivotField showAll="0"/>
    <pivotField dataField="1" showAll="0">
      <items count="1501">
        <item x="144"/>
        <item x="420"/>
        <item x="1356"/>
        <item x="1014"/>
        <item x="986"/>
        <item x="1408"/>
        <item x="659"/>
        <item x="1387"/>
        <item x="547"/>
        <item x="492"/>
        <item x="738"/>
        <item x="707"/>
        <item x="582"/>
        <item x="500"/>
        <item x="1412"/>
        <item x="157"/>
        <item x="297"/>
        <item x="989"/>
        <item x="1481"/>
        <item x="104"/>
        <item x="41"/>
        <item x="1035"/>
        <item x="1181"/>
        <item x="584"/>
        <item x="1095"/>
        <item x="813"/>
        <item x="599"/>
        <item x="1207"/>
        <item x="1367"/>
        <item x="1250"/>
        <item x="1146"/>
        <item x="1206"/>
        <item x="833"/>
        <item x="963"/>
        <item x="446"/>
        <item x="729"/>
        <item x="905"/>
        <item x="807"/>
        <item x="1260"/>
        <item x="1451"/>
        <item x="178"/>
        <item x="67"/>
        <item x="171"/>
        <item x="417"/>
        <item x="718"/>
        <item x="566"/>
        <item x="324"/>
        <item x="372"/>
        <item x="226"/>
        <item x="201"/>
        <item x="1076"/>
        <item x="722"/>
        <item x="809"/>
        <item x="380"/>
        <item x="1136"/>
        <item x="643"/>
        <item x="835"/>
        <item x="973"/>
        <item x="945"/>
        <item x="431"/>
        <item x="377"/>
        <item x="21"/>
        <item x="52"/>
        <item x="13"/>
        <item x="22"/>
        <item x="334"/>
        <item x="501"/>
        <item x="233"/>
        <item x="1241"/>
        <item x="291"/>
        <item x="234"/>
        <item x="486"/>
        <item x="321"/>
        <item x="387"/>
        <item x="1230"/>
        <item x="898"/>
        <item x="357"/>
        <item x="159"/>
        <item x="409"/>
        <item x="733"/>
        <item x="344"/>
        <item x="815"/>
        <item x="1240"/>
        <item x="1056"/>
        <item x="1087"/>
        <item x="661"/>
        <item x="520"/>
        <item x="287"/>
        <item x="23"/>
        <item x="957"/>
        <item x="866"/>
        <item x="1025"/>
        <item x="1151"/>
        <item x="411"/>
        <item x="124"/>
        <item x="734"/>
        <item x="642"/>
        <item x="724"/>
        <item x="750"/>
        <item x="120"/>
        <item x="397"/>
        <item x="9"/>
        <item x="644"/>
        <item x="129"/>
        <item x="1052"/>
        <item x="786"/>
        <item x="749"/>
        <item x="477"/>
        <item x="296"/>
        <item x="476"/>
        <item x="484"/>
        <item x="1005"/>
        <item x="232"/>
        <item x="694"/>
        <item x="1431"/>
        <item x="691"/>
        <item x="428"/>
        <item x="1288"/>
        <item x="1130"/>
        <item x="122"/>
        <item x="1145"/>
        <item x="1496"/>
        <item x="805"/>
        <item x="134"/>
        <item x="1032"/>
        <item x="684"/>
        <item x="7"/>
        <item x="1473"/>
        <item x="1440"/>
        <item x="38"/>
        <item x="142"/>
        <item x="119"/>
        <item x="274"/>
        <item x="42"/>
        <item x="743"/>
        <item x="1486"/>
        <item x="909"/>
        <item x="140"/>
        <item x="1138"/>
        <item x="1218"/>
        <item x="633"/>
        <item x="585"/>
        <item x="1049"/>
        <item x="1316"/>
        <item x="702"/>
        <item x="1300"/>
        <item x="573"/>
        <item x="620"/>
        <item x="879"/>
        <item x="1159"/>
        <item x="1019"/>
        <item x="302"/>
        <item x="185"/>
        <item x="412"/>
        <item x="625"/>
        <item x="364"/>
        <item x="162"/>
        <item x="553"/>
        <item x="552"/>
        <item x="117"/>
        <item x="1317"/>
        <item x="26"/>
        <item x="824"/>
        <item x="536"/>
        <item x="205"/>
        <item x="174"/>
        <item x="187"/>
        <item x="91"/>
        <item x="342"/>
        <item x="766"/>
        <item x="867"/>
        <item x="1490"/>
        <item x="1482"/>
        <item x="210"/>
        <item x="208"/>
        <item x="143"/>
        <item x="680"/>
        <item x="498"/>
        <item x="450"/>
        <item x="563"/>
        <item x="799"/>
        <item x="1149"/>
        <item x="1405"/>
        <item x="1053"/>
        <item x="892"/>
        <item x="984"/>
        <item x="685"/>
        <item x="558"/>
        <item x="851"/>
        <item x="304"/>
        <item x="1265"/>
        <item x="975"/>
        <item x="33"/>
        <item x="1407"/>
        <item x="1117"/>
        <item x="89"/>
        <item x="1050"/>
        <item x="731"/>
        <item x="1393"/>
        <item x="525"/>
        <item x="109"/>
        <item x="1203"/>
        <item x="353"/>
        <item x="657"/>
        <item x="1438"/>
        <item x="1275"/>
        <item x="634"/>
        <item x="1360"/>
        <item x="995"/>
        <item x="253"/>
        <item x="1447"/>
        <item x="1355"/>
        <item x="748"/>
        <item x="1272"/>
        <item x="449"/>
        <item x="614"/>
        <item x="557"/>
        <item x="576"/>
        <item x="696"/>
        <item x="513"/>
        <item x="1435"/>
        <item x="902"/>
        <item x="716"/>
        <item x="780"/>
        <item x="399"/>
        <item x="1078"/>
        <item x="1221"/>
        <item x="930"/>
        <item x="630"/>
        <item x="1452"/>
        <item x="730"/>
        <item x="923"/>
        <item x="114"/>
        <item x="758"/>
        <item x="720"/>
        <item x="463"/>
        <item x="1126"/>
        <item x="293"/>
        <item x="575"/>
        <item x="952"/>
        <item x="965"/>
        <item x="1258"/>
        <item x="424"/>
        <item x="1444"/>
        <item x="1495"/>
        <item x="1285"/>
        <item x="674"/>
        <item x="222"/>
        <item x="539"/>
        <item x="307"/>
        <item x="1415"/>
        <item x="1309"/>
        <item x="1437"/>
        <item x="1396"/>
        <item x="1483"/>
        <item x="241"/>
        <item x="1020"/>
        <item x="628"/>
        <item x="332"/>
        <item x="1071"/>
        <item x="1216"/>
        <item x="471"/>
        <item x="154"/>
        <item x="169"/>
        <item x="347"/>
        <item x="255"/>
        <item x="933"/>
        <item x="1033"/>
        <item x="107"/>
        <item x="454"/>
        <item x="753"/>
        <item x="1256"/>
        <item x="918"/>
        <item x="914"/>
        <item x="160"/>
        <item x="897"/>
        <item x="330"/>
        <item x="868"/>
        <item x="728"/>
        <item x="224"/>
        <item x="841"/>
        <item x="852"/>
        <item x="1392"/>
        <item x="331"/>
        <item x="838"/>
        <item x="769"/>
        <item x="1432"/>
        <item x="123"/>
        <item x="5"/>
        <item x="68"/>
        <item x="82"/>
        <item x="320"/>
        <item x="62"/>
        <item x="788"/>
        <item x="360"/>
        <item x="899"/>
        <item x="1422"/>
        <item x="435"/>
        <item x="161"/>
        <item x="603"/>
        <item x="181"/>
        <item x="1192"/>
        <item x="996"/>
        <item x="1391"/>
        <item x="590"/>
        <item x="228"/>
        <item x="1229"/>
        <item x="519"/>
        <item x="1185"/>
        <item x="1251"/>
        <item x="627"/>
        <item x="415"/>
        <item x="375"/>
        <item x="1127"/>
        <item x="1278"/>
        <item x="1410"/>
        <item x="405"/>
        <item x="951"/>
        <item x="969"/>
        <item x="958"/>
        <item x="1105"/>
        <item x="223"/>
        <item x="1380"/>
        <item x="319"/>
        <item x="937"/>
        <item x="723"/>
        <item x="198"/>
        <item x="1266"/>
        <item x="137"/>
        <item x="759"/>
        <item x="1314"/>
        <item x="441"/>
        <item x="670"/>
        <item x="1067"/>
        <item x="1104"/>
        <item x="739"/>
        <item x="1128"/>
        <item x="1348"/>
        <item x="345"/>
        <item x="363"/>
        <item x="1320"/>
        <item x="787"/>
        <item x="935"/>
        <item x="959"/>
        <item x="747"/>
        <item x="717"/>
        <item x="1264"/>
        <item x="1119"/>
        <item x="317"/>
        <item x="636"/>
        <item x="1157"/>
        <item x="371"/>
        <item x="896"/>
        <item x="229"/>
        <item x="1489"/>
        <item x="527"/>
        <item x="961"/>
        <item x="1202"/>
        <item x="34"/>
        <item x="1315"/>
        <item x="578"/>
        <item x="1176"/>
        <item x="870"/>
        <item x="165"/>
        <item x="110"/>
        <item x="392"/>
        <item x="771"/>
        <item x="803"/>
        <item x="775"/>
        <item x="1247"/>
        <item x="1470"/>
        <item x="1280"/>
        <item x="1172"/>
        <item x="713"/>
        <item x="115"/>
        <item x="1072"/>
        <item x="286"/>
        <item x="118"/>
        <item x="264"/>
        <item x="537"/>
        <item x="679"/>
        <item x="526"/>
        <item x="862"/>
        <item x="1108"/>
        <item x="225"/>
        <item x="32"/>
        <item x="1287"/>
        <item x="660"/>
        <item x="31"/>
        <item x="260"/>
        <item x="323"/>
        <item x="600"/>
        <item x="1041"/>
        <item x="268"/>
        <item x="127"/>
        <item x="290"/>
        <item x="240"/>
        <item x="572"/>
        <item x="398"/>
        <item x="433"/>
        <item x="1289"/>
        <item x="546"/>
        <item x="1121"/>
        <item x="11"/>
        <item x="43"/>
        <item x="1257"/>
        <item x="278"/>
        <item x="379"/>
        <item x="1010"/>
        <item x="871"/>
        <item x="227"/>
        <item x="934"/>
        <item x="1236"/>
        <item x="1455"/>
        <item x="1103"/>
        <item x="1021"/>
        <item x="638"/>
        <item x="242"/>
        <item x="83"/>
        <item x="92"/>
        <item x="1037"/>
        <item x="1353"/>
        <item x="1331"/>
        <item x="1398"/>
        <item x="475"/>
        <item x="1167"/>
        <item x="1177"/>
        <item x="1102"/>
        <item x="646"/>
        <item x="1429"/>
        <item x="1254"/>
        <item x="754"/>
        <item x="931"/>
        <item x="116"/>
        <item x="940"/>
        <item x="1118"/>
        <item x="736"/>
        <item x="541"/>
        <item x="381"/>
        <item x="1142"/>
        <item x="294"/>
        <item x="1175"/>
        <item x="874"/>
        <item x="112"/>
        <item x="473"/>
        <item x="818"/>
        <item x="1318"/>
        <item x="184"/>
        <item x="1448"/>
        <item x="402"/>
        <item x="794"/>
        <item x="1310"/>
        <item x="583"/>
        <item x="311"/>
        <item x="148"/>
        <item x="3"/>
        <item x="376"/>
        <item x="609"/>
        <item x="1226"/>
        <item x="1325"/>
        <item x="1008"/>
        <item x="1439"/>
        <item x="544"/>
        <item x="1492"/>
        <item x="37"/>
        <item x="276"/>
        <item x="1498"/>
        <item x="693"/>
        <item x="1209"/>
        <item x="19"/>
        <item x="1031"/>
        <item x="941"/>
        <item x="784"/>
        <item x="1302"/>
        <item x="1386"/>
        <item x="1228"/>
        <item x="1401"/>
        <item x="983"/>
        <item x="846"/>
        <item x="1366"/>
        <item x="1193"/>
        <item x="1106"/>
        <item x="506"/>
        <item x="427"/>
        <item x="752"/>
        <item x="1147"/>
        <item x="830"/>
        <item x="168"/>
        <item x="1015"/>
        <item x="1305"/>
        <item x="980"/>
        <item x="615"/>
        <item x="199"/>
        <item x="618"/>
        <item x="145"/>
        <item x="305"/>
        <item x="1097"/>
        <item x="451"/>
        <item x="1426"/>
        <item x="1110"/>
        <item x="593"/>
        <item x="706"/>
        <item x="911"/>
        <item x="524"/>
        <item x="1276"/>
        <item x="1427"/>
        <item x="1169"/>
        <item x="1274"/>
        <item x="828"/>
        <item x="635"/>
        <item x="467"/>
        <item x="1372"/>
        <item x="436"/>
        <item x="1419"/>
        <item x="59"/>
        <item x="515"/>
        <item x="994"/>
        <item x="1211"/>
        <item x="1292"/>
        <item x="532"/>
        <item x="924"/>
        <item x="1468"/>
        <item x="1400"/>
        <item x="876"/>
        <item x="671"/>
        <item x="152"/>
        <item x="457"/>
        <item x="1116"/>
        <item x="30"/>
        <item x="121"/>
        <item x="650"/>
        <item x="460"/>
        <item x="926"/>
        <item x="858"/>
        <item x="395"/>
        <item x="220"/>
        <item x="341"/>
        <item x="351"/>
        <item x="170"/>
        <item x="1135"/>
        <item x="839"/>
        <item x="55"/>
        <item x="444"/>
        <item x="1478"/>
        <item x="1099"/>
        <item x="737"/>
        <item x="990"/>
        <item x="663"/>
        <item x="0"/>
        <item x="400"/>
        <item x="549"/>
        <item x="479"/>
        <item x="1115"/>
        <item x="1024"/>
        <item x="1239"/>
        <item x="1474"/>
        <item x="105"/>
        <item x="79"/>
        <item x="6"/>
        <item x="284"/>
        <item x="72"/>
        <item x="54"/>
        <item x="20"/>
        <item x="602"/>
        <item x="27"/>
        <item x="16"/>
        <item x="571"/>
        <item x="912"/>
        <item x="456"/>
        <item x="283"/>
        <item x="610"/>
        <item x="125"/>
        <item x="1079"/>
        <item x="1307"/>
        <item x="12"/>
        <item x="810"/>
        <item x="1"/>
        <item x="1213"/>
        <item x="710"/>
        <item x="71"/>
        <item x="70"/>
        <item x="1319"/>
        <item x="1425"/>
        <item x="262"/>
        <item x="608"/>
        <item x="779"/>
        <item x="482"/>
        <item x="1397"/>
        <item x="1460"/>
        <item x="651"/>
        <item x="850"/>
        <item x="1036"/>
        <item x="936"/>
        <item x="1134"/>
        <item x="369"/>
        <item x="988"/>
        <item x="285"/>
        <item x="1327"/>
        <item x="270"/>
        <item x="624"/>
        <item x="676"/>
        <item x="1120"/>
        <item x="1055"/>
        <item x="861"/>
        <item x="1326"/>
        <item x="1237"/>
        <item x="1141"/>
        <item x="895"/>
        <item x="1337"/>
        <item x="725"/>
        <item x="430"/>
        <item x="721"/>
        <item x="550"/>
        <item x="1233"/>
        <item x="258"/>
        <item x="1445"/>
        <item x="408"/>
        <item x="249"/>
        <item x="1047"/>
        <item x="913"/>
        <item x="1369"/>
        <item x="1140"/>
        <item x="1044"/>
        <item x="295"/>
        <item x="367"/>
        <item x="1200"/>
        <item x="45"/>
        <item x="491"/>
        <item x="588"/>
        <item x="1227"/>
        <item x="1377"/>
        <item x="1101"/>
        <item x="601"/>
        <item x="440"/>
        <item x="1261"/>
        <item x="981"/>
        <item x="1480"/>
        <item x="597"/>
        <item x="1370"/>
        <item x="1063"/>
        <item x="1374"/>
        <item x="1321"/>
        <item x="425"/>
        <item x="236"/>
        <item x="461"/>
        <item x="622"/>
        <item x="1338"/>
        <item x="925"/>
        <item x="669"/>
        <item x="761"/>
        <item x="1051"/>
        <item x="396"/>
        <item x="404"/>
        <item x="1388"/>
        <item x="1409"/>
        <item x="1223"/>
        <item x="496"/>
        <item x="1144"/>
        <item x="1022"/>
        <item x="1082"/>
        <item x="261"/>
        <item x="338"/>
        <item x="10"/>
        <item x="1153"/>
        <item x="533"/>
        <item x="581"/>
        <item x="102"/>
        <item x="1363"/>
        <item x="781"/>
        <item x="607"/>
        <item x="434"/>
        <item x="637"/>
        <item x="1488"/>
        <item x="406"/>
        <item x="1311"/>
        <item x="854"/>
        <item x="318"/>
        <item x="1039"/>
        <item x="1182"/>
        <item x="306"/>
        <item x="1197"/>
        <item x="1340"/>
        <item x="1354"/>
        <item x="1362"/>
        <item x="1333"/>
        <item x="1183"/>
        <item x="1198"/>
        <item x="943"/>
        <item x="891"/>
        <item x="1084"/>
        <item x="239"/>
        <item x="613"/>
        <item x="534"/>
        <item x="301"/>
        <item x="1123"/>
        <item x="1271"/>
        <item x="1284"/>
        <item x="1162"/>
        <item x="1339"/>
        <item x="1359"/>
        <item x="150"/>
        <item x="310"/>
        <item x="1070"/>
        <item x="1345"/>
        <item x="878"/>
        <item x="976"/>
        <item x="673"/>
        <item x="920"/>
        <item x="1062"/>
        <item x="1453"/>
        <item x="704"/>
        <item x="1416"/>
        <item x="776"/>
        <item x="929"/>
        <item x="247"/>
        <item x="939"/>
        <item x="864"/>
        <item x="966"/>
        <item x="470"/>
        <item x="312"/>
        <item x="386"/>
        <item x="985"/>
        <item x="1124"/>
        <item x="774"/>
        <item x="299"/>
        <item x="263"/>
        <item x="1252"/>
        <item x="1098"/>
        <item x="816"/>
        <item x="928"/>
        <item x="690"/>
        <item x="177"/>
        <item x="741"/>
        <item x="1004"/>
        <item x="1164"/>
        <item x="1224"/>
        <item x="1350"/>
        <item x="1018"/>
        <item x="979"/>
        <item x="742"/>
        <item x="1091"/>
        <item x="698"/>
        <item x="586"/>
        <item x="1188"/>
        <item x="770"/>
        <item x="699"/>
        <item x="1006"/>
        <item x="619"/>
        <item x="455"/>
        <item x="18"/>
        <item x="244"/>
        <item x="857"/>
        <item x="1497"/>
        <item x="439"/>
        <item x="1418"/>
        <item x="1246"/>
        <item x="17"/>
        <item x="616"/>
        <item x="825"/>
        <item x="1242"/>
        <item x="350"/>
        <item x="808"/>
        <item x="349"/>
        <item x="577"/>
        <item x="873"/>
        <item x="1417"/>
        <item x="1195"/>
        <item x="163"/>
        <item x="1002"/>
        <item x="974"/>
        <item x="4"/>
        <item x="887"/>
        <item x="697"/>
        <item x="176"/>
        <item x="1222"/>
        <item x="1291"/>
        <item x="1414"/>
        <item x="1210"/>
        <item x="215"/>
        <item x="1042"/>
        <item x="790"/>
        <item x="542"/>
        <item x="1187"/>
        <item x="1245"/>
        <item x="649"/>
        <item x="1430"/>
        <item x="800"/>
        <item x="1313"/>
        <item x="478"/>
        <item x="834"/>
        <item x="672"/>
        <item x="756"/>
        <item x="1263"/>
        <item x="300"/>
        <item x="275"/>
        <item x="1390"/>
        <item x="708"/>
        <item x="462"/>
        <item x="180"/>
        <item x="1064"/>
        <item x="606"/>
        <item x="885"/>
        <item x="1154"/>
        <item x="243"/>
        <item x="956"/>
        <item x="1092"/>
        <item x="932"/>
        <item x="1364"/>
        <item x="384"/>
        <item x="1234"/>
        <item x="1016"/>
        <item x="1290"/>
        <item x="1171"/>
        <item x="339"/>
        <item x="2"/>
        <item x="25"/>
        <item x="962"/>
        <item x="999"/>
        <item x="147"/>
        <item x="281"/>
        <item x="1477"/>
        <item x="1402"/>
        <item x="1328"/>
        <item x="1472"/>
        <item x="217"/>
        <item x="194"/>
        <item x="768"/>
        <item x="735"/>
        <item x="1161"/>
        <item x="265"/>
        <item x="1341"/>
        <item x="831"/>
        <item x="1080"/>
        <item x="1428"/>
        <item x="1485"/>
        <item x="1112"/>
        <item x="266"/>
        <item x="101"/>
        <item x="186"/>
        <item x="1029"/>
        <item x="151"/>
        <item x="130"/>
        <item x="416"/>
        <item x="58"/>
        <item x="277"/>
        <item x="192"/>
        <item x="136"/>
        <item x="497"/>
        <item x="1267"/>
        <item x="209"/>
        <item x="356"/>
        <item x="370"/>
        <item x="1248"/>
        <item x="490"/>
        <item x="1436"/>
        <item x="337"/>
        <item x="762"/>
        <item x="485"/>
        <item x="1085"/>
        <item x="282"/>
        <item x="1487"/>
        <item x="487"/>
        <item x="480"/>
        <item x="315"/>
        <item x="1220"/>
        <item x="393"/>
        <item x="875"/>
        <item x="314"/>
        <item x="1277"/>
        <item x="340"/>
        <item x="1382"/>
        <item x="823"/>
        <item x="488"/>
        <item x="695"/>
        <item x="1304"/>
        <item x="388"/>
        <item x="507"/>
        <item x="36"/>
        <item x="373"/>
        <item x="917"/>
        <item x="1344"/>
        <item x="746"/>
        <item x="629"/>
        <item x="949"/>
        <item x="970"/>
        <item x="1371"/>
        <item x="1088"/>
        <item x="900"/>
        <item x="954"/>
        <item x="466"/>
        <item x="197"/>
        <item x="445"/>
        <item x="389"/>
        <item x="93"/>
        <item x="84"/>
        <item x="1152"/>
        <item x="840"/>
        <item x="598"/>
        <item x="76"/>
        <item x="141"/>
        <item x="626"/>
        <item x="772"/>
        <item x="653"/>
        <item x="855"/>
        <item x="189"/>
        <item x="1476"/>
        <item x="565"/>
        <item x="740"/>
        <item x="200"/>
        <item x="1259"/>
        <item x="1253"/>
        <item x="1491"/>
        <item x="469"/>
        <item x="1013"/>
        <item x="1089"/>
        <item x="1301"/>
        <item x="465"/>
        <item x="252"/>
        <item x="1133"/>
        <item x="401"/>
        <item x="1457"/>
        <item x="63"/>
        <item x="1329"/>
        <item x="1094"/>
        <item x="1160"/>
        <item x="362"/>
        <item x="872"/>
        <item x="153"/>
        <item x="1441"/>
        <item x="1075"/>
        <item x="1191"/>
        <item x="14"/>
        <item x="39"/>
        <item x="80"/>
        <item x="280"/>
        <item x="95"/>
        <item x="489"/>
        <item x="1028"/>
        <item x="1150"/>
        <item x="675"/>
        <item x="256"/>
        <item x="139"/>
        <item x="1043"/>
        <item x="703"/>
        <item x="960"/>
        <item x="882"/>
        <item x="812"/>
        <item x="560"/>
        <item x="447"/>
        <item x="792"/>
        <item x="837"/>
        <item x="267"/>
        <item x="322"/>
        <item x="865"/>
        <item x="279"/>
        <item x="85"/>
        <item x="881"/>
        <item x="587"/>
        <item x="214"/>
        <item x="715"/>
        <item x="1009"/>
        <item x="1394"/>
        <item x="890"/>
        <item x="1046"/>
        <item x="554"/>
        <item x="658"/>
        <item x="126"/>
        <item x="1244"/>
        <item x="568"/>
        <item x="744"/>
        <item x="992"/>
        <item x="1086"/>
        <item x="448"/>
        <item x="206"/>
        <item x="692"/>
        <item x="365"/>
        <item x="1235"/>
        <item x="518"/>
        <item x="1065"/>
        <item x="418"/>
        <item x="1148"/>
        <item x="915"/>
        <item x="106"/>
        <item x="938"/>
        <item x="826"/>
        <item x="652"/>
        <item x="765"/>
        <item x="844"/>
        <item x="1132"/>
        <item x="303"/>
        <item x="955"/>
        <item x="664"/>
        <item x="47"/>
        <item x="429"/>
        <item x="987"/>
        <item x="128"/>
        <item x="849"/>
        <item x="570"/>
        <item x="196"/>
        <item x="385"/>
        <item x="1143"/>
        <item x="1125"/>
        <item x="968"/>
        <item x="1399"/>
        <item x="802"/>
        <item x="1347"/>
        <item x="1450"/>
        <item x="1303"/>
        <item x="1178"/>
        <item x="1442"/>
        <item x="791"/>
        <item x="860"/>
        <item x="760"/>
        <item x="886"/>
        <item x="1449"/>
        <item x="1467"/>
        <item x="1214"/>
        <item x="246"/>
        <item x="1204"/>
        <item x="1129"/>
        <item x="1471"/>
        <item x="681"/>
        <item x="203"/>
        <item x="1158"/>
        <item x="1423"/>
        <item x="61"/>
        <item x="682"/>
        <item x="785"/>
        <item x="502"/>
        <item x="1494"/>
        <item x="81"/>
        <item x="847"/>
        <item x="678"/>
        <item x="579"/>
        <item x="950"/>
        <item x="426"/>
        <item x="689"/>
        <item x="667"/>
        <item x="1346"/>
        <item x="548"/>
        <item x="782"/>
        <item x="904"/>
        <item x="1081"/>
        <item x="1469"/>
        <item x="853"/>
        <item x="811"/>
        <item x="452"/>
        <item x="947"/>
        <item x="789"/>
        <item x="888"/>
        <item x="103"/>
        <item x="645"/>
        <item x="1215"/>
        <item x="1466"/>
        <item x="156"/>
        <item x="146"/>
        <item x="1180"/>
        <item x="927"/>
        <item x="216"/>
        <item x="288"/>
        <item x="1279"/>
        <item x="964"/>
        <item x="1179"/>
        <item x="712"/>
        <item x="1255"/>
        <item x="1225"/>
        <item x="705"/>
        <item x="49"/>
        <item x="535"/>
        <item x="69"/>
        <item x="248"/>
        <item x="231"/>
        <item x="87"/>
        <item x="564"/>
        <item x="1069"/>
        <item x="179"/>
        <item x="1168"/>
        <item x="1342"/>
        <item x="1463"/>
        <item x="511"/>
        <item x="1361"/>
        <item x="621"/>
        <item x="1122"/>
        <item x="530"/>
        <item x="359"/>
        <item x="509"/>
        <item x="714"/>
        <item x="1107"/>
        <item x="221"/>
        <item x="842"/>
        <item x="88"/>
        <item x="709"/>
        <item x="594"/>
        <item x="273"/>
        <item x="1090"/>
        <item x="348"/>
        <item x="916"/>
        <item x="998"/>
        <item x="880"/>
        <item x="257"/>
        <item x="1048"/>
        <item x="1190"/>
        <item x="1073"/>
        <item x="453"/>
        <item x="352"/>
        <item x="374"/>
        <item x="383"/>
        <item x="213"/>
        <item x="237"/>
        <item x="494"/>
        <item x="856"/>
        <item x="922"/>
        <item x="1093"/>
        <item x="843"/>
        <item x="677"/>
        <item x="97"/>
        <item x="668"/>
        <item x="997"/>
        <item x="1189"/>
        <item x="1446"/>
        <item x="1424"/>
        <item x="783"/>
        <item x="407"/>
        <item x="272"/>
        <item x="46"/>
        <item x="543"/>
        <item x="495"/>
        <item x="188"/>
        <item x="732"/>
        <item x="580"/>
        <item x="921"/>
        <item x="166"/>
        <item x="836"/>
        <item x="639"/>
        <item x="1365"/>
        <item x="561"/>
        <item x="751"/>
        <item x="1459"/>
        <item x="1003"/>
        <item x="1045"/>
        <item x="56"/>
        <item x="1376"/>
        <item x="313"/>
        <item x="459"/>
        <item x="632"/>
        <item x="325"/>
        <item x="919"/>
        <item x="907"/>
        <item x="113"/>
        <item x="1499"/>
        <item x="993"/>
        <item x="512"/>
        <item x="503"/>
        <item x="1332"/>
        <item x="172"/>
        <item x="212"/>
        <item x="1383"/>
        <item x="589"/>
        <item x="1201"/>
        <item x="1184"/>
        <item x="468"/>
        <item x="688"/>
        <item x="978"/>
        <item x="155"/>
        <item x="889"/>
        <item x="1219"/>
        <item x="60"/>
        <item x="817"/>
        <item x="175"/>
        <item x="289"/>
        <item x="596"/>
        <item x="942"/>
        <item x="820"/>
        <item x="1404"/>
        <item x="617"/>
        <item x="1238"/>
        <item x="504"/>
        <item x="361"/>
        <item x="458"/>
        <item x="1308"/>
        <item x="1061"/>
        <item x="1012"/>
        <item x="238"/>
        <item x="422"/>
        <item x="1373"/>
        <item x="1334"/>
        <item x="421"/>
        <item x="298"/>
        <item x="133"/>
        <item x="700"/>
        <item x="763"/>
        <item x="259"/>
        <item x="1458"/>
        <item x="1312"/>
        <item x="592"/>
        <item x="1286"/>
        <item x="474"/>
        <item x="1000"/>
        <item x="1403"/>
        <item x="1475"/>
        <item x="604"/>
        <item x="1174"/>
        <item x="1358"/>
        <item x="510"/>
        <item x="1413"/>
        <item x="814"/>
        <item x="1379"/>
        <item x="202"/>
        <item x="111"/>
        <item x="1131"/>
        <item x="190"/>
        <item x="1199"/>
        <item x="569"/>
        <item x="419"/>
        <item x="654"/>
        <item x="559"/>
        <item x="1139"/>
        <item x="481"/>
        <item x="778"/>
        <item x="432"/>
        <item x="662"/>
        <item x="641"/>
        <item x="438"/>
        <item x="413"/>
        <item x="391"/>
        <item x="358"/>
        <item x="167"/>
        <item x="493"/>
        <item x="701"/>
        <item x="382"/>
        <item x="726"/>
        <item x="521"/>
        <item x="1027"/>
        <item x="819"/>
        <item x="1057"/>
        <item x="1384"/>
        <item x="1411"/>
        <item x="1217"/>
        <item x="893"/>
        <item x="1058"/>
        <item x="191"/>
        <item x="829"/>
        <item x="944"/>
        <item x="767"/>
        <item x="1298"/>
        <item x="797"/>
        <item x="64"/>
        <item x="66"/>
        <item x="394"/>
        <item x="158"/>
        <item x="686"/>
        <item x="574"/>
        <item x="75"/>
        <item x="414"/>
        <item x="335"/>
        <item x="946"/>
        <item x="514"/>
        <item x="538"/>
        <item x="1066"/>
        <item x="271"/>
        <item x="508"/>
        <item x="555"/>
        <item x="100"/>
        <item x="1109"/>
        <item x="1443"/>
        <item x="517"/>
        <item x="1421"/>
        <item x="1324"/>
        <item x="366"/>
        <item x="540"/>
        <item x="859"/>
        <item x="308"/>
        <item x="1170"/>
        <item x="48"/>
        <item x="1293"/>
        <item x="132"/>
        <item x="1155"/>
        <item x="551"/>
        <item x="1060"/>
        <item x="545"/>
        <item x="821"/>
        <item x="1493"/>
        <item x="410"/>
        <item x="982"/>
        <item x="193"/>
        <item x="1074"/>
        <item x="251"/>
        <item x="1034"/>
        <item x="149"/>
        <item x="1295"/>
        <item x="764"/>
        <item x="1273"/>
        <item x="612"/>
        <item x="204"/>
        <item x="15"/>
        <item x="1231"/>
        <item x="1456"/>
        <item x="623"/>
        <item x="611"/>
        <item x="211"/>
        <item x="1040"/>
        <item x="845"/>
        <item x="218"/>
        <item x="1077"/>
        <item x="1306"/>
        <item x="1270"/>
        <item x="96"/>
        <item x="1368"/>
        <item x="848"/>
        <item x="562"/>
        <item x="1395"/>
        <item x="1114"/>
        <item x="1232"/>
        <item x="972"/>
        <item x="977"/>
        <item x="343"/>
        <item x="687"/>
        <item x="1083"/>
        <item x="98"/>
        <item x="793"/>
        <item x="884"/>
        <item x="390"/>
        <item x="499"/>
        <item x="1243"/>
        <item x="655"/>
        <item x="1420"/>
        <item x="522"/>
        <item x="863"/>
        <item x="173"/>
        <item x="1249"/>
        <item x="806"/>
        <item x="1173"/>
        <item x="804"/>
        <item x="908"/>
        <item x="1281"/>
        <item x="1385"/>
        <item x="131"/>
        <item x="90"/>
        <item x="329"/>
        <item x="948"/>
        <item x="595"/>
        <item x="605"/>
        <item x="1166"/>
        <item x="640"/>
        <item x="648"/>
        <item x="1296"/>
        <item x="65"/>
        <item x="516"/>
        <item x="1113"/>
        <item x="801"/>
        <item x="378"/>
        <item x="1268"/>
        <item x="108"/>
        <item x="355"/>
        <item x="1038"/>
        <item x="727"/>
        <item x="368"/>
        <item x="1196"/>
        <item x="164"/>
        <item x="1165"/>
        <item x="666"/>
        <item x="877"/>
        <item x="182"/>
        <item x="183"/>
        <item x="1163"/>
        <item x="77"/>
        <item x="138"/>
        <item x="443"/>
        <item x="901"/>
        <item x="795"/>
        <item x="328"/>
        <item x="647"/>
        <item x="1205"/>
        <item x="523"/>
        <item x="656"/>
        <item x="346"/>
        <item x="219"/>
        <item x="1357"/>
        <item x="1023"/>
        <item x="195"/>
        <item x="971"/>
        <item x="832"/>
        <item x="827"/>
        <item x="309"/>
        <item x="953"/>
        <item x="327"/>
        <item x="796"/>
        <item x="50"/>
        <item x="35"/>
        <item x="326"/>
        <item x="903"/>
        <item x="250"/>
        <item x="1336"/>
        <item x="269"/>
        <item x="28"/>
        <item x="1299"/>
        <item x="207"/>
        <item x="316"/>
        <item x="99"/>
        <item x="53"/>
        <item x="29"/>
        <item x="483"/>
        <item x="1461"/>
        <item x="1096"/>
        <item x="665"/>
        <item x="567"/>
        <item x="245"/>
        <item x="1479"/>
        <item x="94"/>
        <item x="40"/>
        <item x="1156"/>
        <item x="24"/>
        <item x="883"/>
        <item x="472"/>
        <item x="1454"/>
        <item x="403"/>
        <item x="683"/>
        <item x="1026"/>
        <item x="1030"/>
        <item x="869"/>
        <item x="230"/>
        <item x="336"/>
        <item x="437"/>
        <item x="910"/>
        <item x="292"/>
        <item x="333"/>
        <item x="57"/>
        <item x="777"/>
        <item x="354"/>
        <item x="423"/>
        <item x="773"/>
        <item x="1352"/>
        <item x="1282"/>
        <item x="1323"/>
        <item x="529"/>
        <item x="1186"/>
        <item x="1335"/>
        <item x="1297"/>
        <item x="1269"/>
        <item x="1208"/>
        <item x="1059"/>
        <item x="1322"/>
        <item x="1100"/>
        <item x="1381"/>
        <item x="719"/>
        <item x="135"/>
        <item x="528"/>
        <item x="1068"/>
        <item x="967"/>
        <item x="1433"/>
        <item x="1462"/>
        <item x="1330"/>
        <item x="1484"/>
        <item x="711"/>
        <item x="1378"/>
        <item x="1434"/>
        <item x="1351"/>
        <item x="1343"/>
        <item x="1349"/>
        <item x="531"/>
        <item x="464"/>
        <item x="51"/>
        <item x="556"/>
        <item x="1111"/>
        <item x="254"/>
        <item x="991"/>
        <item x="1054"/>
        <item x="73"/>
        <item x="86"/>
        <item x="894"/>
        <item x="798"/>
        <item x="591"/>
        <item x="631"/>
        <item x="1212"/>
        <item x="1294"/>
        <item x="906"/>
        <item x="1375"/>
        <item x="1194"/>
        <item x="1017"/>
        <item x="44"/>
        <item x="8"/>
        <item x="235"/>
        <item x="505"/>
        <item x="74"/>
        <item x="1001"/>
        <item x="1465"/>
        <item x="1283"/>
        <item x="1406"/>
        <item x="1007"/>
        <item x="1464"/>
        <item x="1262"/>
        <item x="442"/>
        <item x="755"/>
        <item x="1137"/>
        <item x="1011"/>
        <item x="745"/>
        <item x="757"/>
        <item x="822"/>
        <item x="78"/>
        <item x="1389"/>
        <item t="default"/>
      </items>
    </pivotField>
    <pivotField showAll="0">
      <items count="8">
        <item x="6"/>
        <item x="2"/>
        <item x="1"/>
        <item x="3"/>
        <item x="0"/>
        <item x="4"/>
        <item x="5"/>
        <item t="default"/>
      </items>
    </pivotField>
    <pivotField showAll="0">
      <items count="7">
        <item x="2"/>
        <item x="0"/>
        <item x="3"/>
        <item x="1"/>
        <item x="4"/>
        <item x="5"/>
        <item t="default"/>
      </items>
    </pivotField>
    <pivotField numFmtId="1" showAll="0"/>
    <pivotField showAll="0"/>
    <pivotField showAll="0"/>
    <pivotField showAll="0"/>
    <pivotField showAll="0"/>
    <pivotField numFmtId="164" showAll="0"/>
    <pivotField showAll="0"/>
    <pivotField showAll="0">
      <items count="5">
        <item x="3"/>
        <item x="1"/>
        <item x="0"/>
        <item x="2"/>
        <item t="default"/>
      </items>
    </pivotField>
  </pivotFields>
  <rowItems count="1">
    <i/>
  </rowItems>
  <colItems count="1">
    <i/>
  </colItems>
  <dataFields count="1">
    <dataField name="Count of domai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7153FB9C-7EDA-4E64-AB9A-A0FD6AF78FA8}"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8:F19" firstHeaderRow="1" firstDataRow="1" firstDataCol="0"/>
  <pivotFields count="12">
    <pivotField showAll="0"/>
    <pivotField showAll="0">
      <items count="1501">
        <item x="144"/>
        <item x="420"/>
        <item x="1356"/>
        <item x="1014"/>
        <item x="986"/>
        <item x="1408"/>
        <item x="659"/>
        <item x="1387"/>
        <item x="547"/>
        <item x="492"/>
        <item x="738"/>
        <item x="707"/>
        <item x="582"/>
        <item x="500"/>
        <item x="1412"/>
        <item x="157"/>
        <item x="297"/>
        <item x="989"/>
        <item x="1481"/>
        <item x="104"/>
        <item x="41"/>
        <item x="1035"/>
        <item x="1181"/>
        <item x="584"/>
        <item x="1095"/>
        <item x="813"/>
        <item x="599"/>
        <item x="1207"/>
        <item x="1367"/>
        <item x="1250"/>
        <item x="1146"/>
        <item x="1206"/>
        <item x="833"/>
        <item x="963"/>
        <item x="446"/>
        <item x="729"/>
        <item x="905"/>
        <item x="807"/>
        <item x="1260"/>
        <item x="1451"/>
        <item x="178"/>
        <item x="67"/>
        <item x="171"/>
        <item x="417"/>
        <item x="718"/>
        <item x="566"/>
        <item x="324"/>
        <item x="372"/>
        <item x="226"/>
        <item x="201"/>
        <item x="1076"/>
        <item x="722"/>
        <item x="809"/>
        <item x="380"/>
        <item x="1136"/>
        <item x="643"/>
        <item x="835"/>
        <item x="973"/>
        <item x="945"/>
        <item x="431"/>
        <item x="377"/>
        <item x="21"/>
        <item x="52"/>
        <item x="13"/>
        <item x="22"/>
        <item x="334"/>
        <item x="501"/>
        <item x="233"/>
        <item x="1241"/>
        <item x="291"/>
        <item x="234"/>
        <item x="486"/>
        <item x="321"/>
        <item x="387"/>
        <item x="1230"/>
        <item x="898"/>
        <item x="357"/>
        <item x="159"/>
        <item x="409"/>
        <item x="733"/>
        <item x="344"/>
        <item x="815"/>
        <item x="1240"/>
        <item x="1056"/>
        <item x="1087"/>
        <item x="661"/>
        <item x="520"/>
        <item x="287"/>
        <item x="23"/>
        <item x="957"/>
        <item x="866"/>
        <item x="1025"/>
        <item x="1151"/>
        <item x="411"/>
        <item x="124"/>
        <item x="734"/>
        <item x="642"/>
        <item x="724"/>
        <item x="750"/>
        <item x="120"/>
        <item x="397"/>
        <item x="9"/>
        <item x="644"/>
        <item x="129"/>
        <item x="1052"/>
        <item x="786"/>
        <item x="749"/>
        <item x="477"/>
        <item x="296"/>
        <item x="476"/>
        <item x="484"/>
        <item x="1005"/>
        <item x="232"/>
        <item x="694"/>
        <item x="1431"/>
        <item x="691"/>
        <item x="428"/>
        <item x="1288"/>
        <item x="1130"/>
        <item x="122"/>
        <item x="1145"/>
        <item x="1496"/>
        <item x="805"/>
        <item x="134"/>
        <item x="1032"/>
        <item x="684"/>
        <item x="7"/>
        <item x="1473"/>
        <item x="1440"/>
        <item x="38"/>
        <item x="142"/>
        <item x="119"/>
        <item x="274"/>
        <item x="42"/>
        <item x="743"/>
        <item x="1486"/>
        <item x="909"/>
        <item x="140"/>
        <item x="1138"/>
        <item x="1218"/>
        <item x="633"/>
        <item x="585"/>
        <item x="1049"/>
        <item x="1316"/>
        <item x="702"/>
        <item x="1300"/>
        <item x="573"/>
        <item x="620"/>
        <item x="879"/>
        <item x="1159"/>
        <item x="1019"/>
        <item x="302"/>
        <item x="185"/>
        <item x="412"/>
        <item x="625"/>
        <item x="364"/>
        <item x="162"/>
        <item x="553"/>
        <item x="552"/>
        <item x="117"/>
        <item x="1317"/>
        <item x="26"/>
        <item x="824"/>
        <item x="536"/>
        <item x="205"/>
        <item x="174"/>
        <item x="187"/>
        <item x="91"/>
        <item x="342"/>
        <item x="766"/>
        <item x="867"/>
        <item x="1490"/>
        <item x="1482"/>
        <item x="210"/>
        <item x="208"/>
        <item x="143"/>
        <item x="680"/>
        <item x="498"/>
        <item x="450"/>
        <item x="563"/>
        <item x="799"/>
        <item x="1149"/>
        <item x="1405"/>
        <item x="1053"/>
        <item x="892"/>
        <item x="984"/>
        <item x="685"/>
        <item x="558"/>
        <item x="851"/>
        <item x="304"/>
        <item x="1265"/>
        <item x="975"/>
        <item x="33"/>
        <item x="1407"/>
        <item x="1117"/>
        <item x="89"/>
        <item x="1050"/>
        <item x="731"/>
        <item x="1393"/>
        <item x="525"/>
        <item x="109"/>
        <item x="1203"/>
        <item x="353"/>
        <item x="657"/>
        <item x="1438"/>
        <item x="1275"/>
        <item x="634"/>
        <item x="1360"/>
        <item x="995"/>
        <item x="253"/>
        <item x="1447"/>
        <item x="1355"/>
        <item x="748"/>
        <item x="1272"/>
        <item x="449"/>
        <item x="614"/>
        <item x="557"/>
        <item x="576"/>
        <item x="696"/>
        <item x="513"/>
        <item x="1435"/>
        <item x="902"/>
        <item x="716"/>
        <item x="780"/>
        <item x="399"/>
        <item x="1078"/>
        <item x="1221"/>
        <item x="930"/>
        <item x="630"/>
        <item x="1452"/>
        <item x="730"/>
        <item x="923"/>
        <item x="114"/>
        <item x="758"/>
        <item x="720"/>
        <item x="463"/>
        <item x="1126"/>
        <item x="293"/>
        <item x="575"/>
        <item x="952"/>
        <item x="965"/>
        <item x="1258"/>
        <item x="424"/>
        <item x="1444"/>
        <item x="1495"/>
        <item x="1285"/>
        <item x="674"/>
        <item x="222"/>
        <item x="539"/>
        <item x="307"/>
        <item x="1415"/>
        <item x="1309"/>
        <item x="1437"/>
        <item x="1396"/>
        <item x="1483"/>
        <item x="241"/>
        <item x="1020"/>
        <item x="628"/>
        <item x="332"/>
        <item x="1071"/>
        <item x="1216"/>
        <item x="471"/>
        <item x="154"/>
        <item x="169"/>
        <item x="347"/>
        <item x="255"/>
        <item x="933"/>
        <item x="1033"/>
        <item x="107"/>
        <item x="454"/>
        <item x="753"/>
        <item x="1256"/>
        <item x="918"/>
        <item x="914"/>
        <item x="160"/>
        <item x="897"/>
        <item x="330"/>
        <item x="868"/>
        <item x="728"/>
        <item x="224"/>
        <item x="841"/>
        <item x="852"/>
        <item x="1392"/>
        <item x="331"/>
        <item x="838"/>
        <item x="769"/>
        <item x="1432"/>
        <item x="123"/>
        <item x="5"/>
        <item x="68"/>
        <item x="82"/>
        <item x="320"/>
        <item x="62"/>
        <item x="788"/>
        <item x="360"/>
        <item x="899"/>
        <item x="1422"/>
        <item x="435"/>
        <item x="161"/>
        <item x="603"/>
        <item x="181"/>
        <item x="1192"/>
        <item x="996"/>
        <item x="1391"/>
        <item x="590"/>
        <item x="228"/>
        <item x="1229"/>
        <item x="519"/>
        <item x="1185"/>
        <item x="1251"/>
        <item x="627"/>
        <item x="415"/>
        <item x="375"/>
        <item x="1127"/>
        <item x="1278"/>
        <item x="1410"/>
        <item x="405"/>
        <item x="951"/>
        <item x="969"/>
        <item x="958"/>
        <item x="1105"/>
        <item x="223"/>
        <item x="1380"/>
        <item x="319"/>
        <item x="937"/>
        <item x="723"/>
        <item x="198"/>
        <item x="1266"/>
        <item x="137"/>
        <item x="759"/>
        <item x="1314"/>
        <item x="441"/>
        <item x="670"/>
        <item x="1067"/>
        <item x="1104"/>
        <item x="739"/>
        <item x="1128"/>
        <item x="1348"/>
        <item x="345"/>
        <item x="363"/>
        <item x="1320"/>
        <item x="787"/>
        <item x="935"/>
        <item x="959"/>
        <item x="747"/>
        <item x="717"/>
        <item x="1264"/>
        <item x="1119"/>
        <item x="317"/>
        <item x="636"/>
        <item x="1157"/>
        <item x="371"/>
        <item x="896"/>
        <item x="229"/>
        <item x="1489"/>
        <item x="527"/>
        <item x="961"/>
        <item x="1202"/>
        <item x="34"/>
        <item x="1315"/>
        <item x="578"/>
        <item x="1176"/>
        <item x="870"/>
        <item x="165"/>
        <item x="110"/>
        <item x="392"/>
        <item x="771"/>
        <item x="803"/>
        <item x="775"/>
        <item x="1247"/>
        <item x="1470"/>
        <item x="1280"/>
        <item x="1172"/>
        <item x="713"/>
        <item x="115"/>
        <item x="1072"/>
        <item x="286"/>
        <item x="118"/>
        <item x="264"/>
        <item x="537"/>
        <item x="679"/>
        <item x="526"/>
        <item x="862"/>
        <item x="1108"/>
        <item x="225"/>
        <item x="32"/>
        <item x="1287"/>
        <item x="660"/>
        <item x="31"/>
        <item x="260"/>
        <item x="323"/>
        <item x="600"/>
        <item x="1041"/>
        <item x="268"/>
        <item x="127"/>
        <item x="290"/>
        <item x="240"/>
        <item x="572"/>
        <item x="398"/>
        <item x="433"/>
        <item x="1289"/>
        <item x="546"/>
        <item x="1121"/>
        <item x="11"/>
        <item x="43"/>
        <item x="1257"/>
        <item x="278"/>
        <item x="379"/>
        <item x="1010"/>
        <item x="871"/>
        <item x="227"/>
        <item x="934"/>
        <item x="1236"/>
        <item x="1455"/>
        <item x="1103"/>
        <item x="1021"/>
        <item x="638"/>
        <item x="242"/>
        <item x="83"/>
        <item x="92"/>
        <item x="1037"/>
        <item x="1353"/>
        <item x="1331"/>
        <item x="1398"/>
        <item x="475"/>
        <item x="1167"/>
        <item x="1177"/>
        <item x="1102"/>
        <item x="646"/>
        <item x="1429"/>
        <item x="1254"/>
        <item x="754"/>
        <item x="931"/>
        <item x="116"/>
        <item x="940"/>
        <item x="1118"/>
        <item x="736"/>
        <item x="541"/>
        <item x="381"/>
        <item x="1142"/>
        <item x="294"/>
        <item x="1175"/>
        <item x="874"/>
        <item x="112"/>
        <item x="473"/>
        <item x="818"/>
        <item x="1318"/>
        <item x="184"/>
        <item x="1448"/>
        <item x="402"/>
        <item x="794"/>
        <item x="1310"/>
        <item x="583"/>
        <item x="311"/>
        <item x="148"/>
        <item x="3"/>
        <item x="376"/>
        <item x="609"/>
        <item x="1226"/>
        <item x="1325"/>
        <item x="1008"/>
        <item x="1439"/>
        <item x="544"/>
        <item x="1492"/>
        <item x="37"/>
        <item x="276"/>
        <item x="1498"/>
        <item x="693"/>
        <item x="1209"/>
        <item x="19"/>
        <item x="1031"/>
        <item x="941"/>
        <item x="784"/>
        <item x="1302"/>
        <item x="1386"/>
        <item x="1228"/>
        <item x="1401"/>
        <item x="983"/>
        <item x="846"/>
        <item x="1366"/>
        <item x="1193"/>
        <item x="1106"/>
        <item x="506"/>
        <item x="427"/>
        <item x="752"/>
        <item x="1147"/>
        <item x="830"/>
        <item x="168"/>
        <item x="1015"/>
        <item x="1305"/>
        <item x="980"/>
        <item x="615"/>
        <item x="199"/>
        <item x="618"/>
        <item x="145"/>
        <item x="305"/>
        <item x="1097"/>
        <item x="451"/>
        <item x="1426"/>
        <item x="1110"/>
        <item x="593"/>
        <item x="706"/>
        <item x="911"/>
        <item x="524"/>
        <item x="1276"/>
        <item x="1427"/>
        <item x="1169"/>
        <item x="1274"/>
        <item x="828"/>
        <item x="635"/>
        <item x="467"/>
        <item x="1372"/>
        <item x="436"/>
        <item x="1419"/>
        <item x="59"/>
        <item x="515"/>
        <item x="994"/>
        <item x="1211"/>
        <item x="1292"/>
        <item x="532"/>
        <item x="924"/>
        <item x="1468"/>
        <item x="1400"/>
        <item x="876"/>
        <item x="671"/>
        <item x="152"/>
        <item x="457"/>
        <item x="1116"/>
        <item x="30"/>
        <item x="121"/>
        <item x="650"/>
        <item x="460"/>
        <item x="926"/>
        <item x="858"/>
        <item x="395"/>
        <item x="220"/>
        <item x="341"/>
        <item x="351"/>
        <item x="170"/>
        <item x="1135"/>
        <item x="839"/>
        <item x="55"/>
        <item x="444"/>
        <item x="1478"/>
        <item x="1099"/>
        <item x="737"/>
        <item x="990"/>
        <item x="663"/>
        <item x="0"/>
        <item x="400"/>
        <item x="549"/>
        <item x="479"/>
        <item x="1115"/>
        <item x="1024"/>
        <item x="1239"/>
        <item x="1474"/>
        <item x="105"/>
        <item x="79"/>
        <item x="6"/>
        <item x="284"/>
        <item x="72"/>
        <item x="54"/>
        <item x="20"/>
        <item x="602"/>
        <item x="27"/>
        <item x="16"/>
        <item x="571"/>
        <item x="912"/>
        <item x="456"/>
        <item x="283"/>
        <item x="610"/>
        <item x="125"/>
        <item x="1079"/>
        <item x="1307"/>
        <item x="12"/>
        <item x="810"/>
        <item x="1"/>
        <item x="1213"/>
        <item x="710"/>
        <item x="71"/>
        <item x="70"/>
        <item x="1319"/>
        <item x="1425"/>
        <item x="262"/>
        <item x="608"/>
        <item x="779"/>
        <item x="482"/>
        <item x="1397"/>
        <item x="1460"/>
        <item x="651"/>
        <item x="850"/>
        <item x="1036"/>
        <item x="936"/>
        <item x="1134"/>
        <item x="369"/>
        <item x="988"/>
        <item x="285"/>
        <item x="1327"/>
        <item x="270"/>
        <item x="624"/>
        <item x="676"/>
        <item x="1120"/>
        <item x="1055"/>
        <item x="861"/>
        <item x="1326"/>
        <item x="1237"/>
        <item x="1141"/>
        <item x="895"/>
        <item x="1337"/>
        <item x="725"/>
        <item x="430"/>
        <item x="721"/>
        <item x="550"/>
        <item x="1233"/>
        <item x="258"/>
        <item x="1445"/>
        <item x="408"/>
        <item x="249"/>
        <item x="1047"/>
        <item x="913"/>
        <item x="1369"/>
        <item x="1140"/>
        <item x="1044"/>
        <item x="295"/>
        <item x="367"/>
        <item x="1200"/>
        <item x="45"/>
        <item x="491"/>
        <item x="588"/>
        <item x="1227"/>
        <item x="1377"/>
        <item x="1101"/>
        <item x="601"/>
        <item x="440"/>
        <item x="1261"/>
        <item x="981"/>
        <item x="1480"/>
        <item x="597"/>
        <item x="1370"/>
        <item x="1063"/>
        <item x="1374"/>
        <item x="1321"/>
        <item x="425"/>
        <item x="236"/>
        <item x="461"/>
        <item x="622"/>
        <item x="1338"/>
        <item x="925"/>
        <item x="669"/>
        <item x="761"/>
        <item x="1051"/>
        <item x="396"/>
        <item x="404"/>
        <item x="1388"/>
        <item x="1409"/>
        <item x="1223"/>
        <item x="496"/>
        <item x="1144"/>
        <item x="1022"/>
        <item x="1082"/>
        <item x="261"/>
        <item x="338"/>
        <item x="10"/>
        <item x="1153"/>
        <item x="533"/>
        <item x="581"/>
        <item x="102"/>
        <item x="1363"/>
        <item x="781"/>
        <item x="607"/>
        <item x="434"/>
        <item x="637"/>
        <item x="1488"/>
        <item x="406"/>
        <item x="1311"/>
        <item x="854"/>
        <item x="318"/>
        <item x="1039"/>
        <item x="1182"/>
        <item x="306"/>
        <item x="1197"/>
        <item x="1340"/>
        <item x="1354"/>
        <item x="1362"/>
        <item x="1333"/>
        <item x="1183"/>
        <item x="1198"/>
        <item x="943"/>
        <item x="891"/>
        <item x="1084"/>
        <item x="239"/>
        <item x="613"/>
        <item x="534"/>
        <item x="301"/>
        <item x="1123"/>
        <item x="1271"/>
        <item x="1284"/>
        <item x="1162"/>
        <item x="1339"/>
        <item x="1359"/>
        <item x="150"/>
        <item x="310"/>
        <item x="1070"/>
        <item x="1345"/>
        <item x="878"/>
        <item x="976"/>
        <item x="673"/>
        <item x="920"/>
        <item x="1062"/>
        <item x="1453"/>
        <item x="704"/>
        <item x="1416"/>
        <item x="776"/>
        <item x="929"/>
        <item x="247"/>
        <item x="939"/>
        <item x="864"/>
        <item x="966"/>
        <item x="470"/>
        <item x="312"/>
        <item x="386"/>
        <item x="985"/>
        <item x="1124"/>
        <item x="774"/>
        <item x="299"/>
        <item x="263"/>
        <item x="1252"/>
        <item x="1098"/>
        <item x="816"/>
        <item x="928"/>
        <item x="690"/>
        <item x="177"/>
        <item x="741"/>
        <item x="1004"/>
        <item x="1164"/>
        <item x="1224"/>
        <item x="1350"/>
        <item x="1018"/>
        <item x="979"/>
        <item x="742"/>
        <item x="1091"/>
        <item x="698"/>
        <item x="586"/>
        <item x="1188"/>
        <item x="770"/>
        <item x="699"/>
        <item x="1006"/>
        <item x="619"/>
        <item x="455"/>
        <item x="18"/>
        <item x="244"/>
        <item x="857"/>
        <item x="1497"/>
        <item x="439"/>
        <item x="1418"/>
        <item x="1246"/>
        <item x="17"/>
        <item x="616"/>
        <item x="825"/>
        <item x="1242"/>
        <item x="350"/>
        <item x="808"/>
        <item x="349"/>
        <item x="577"/>
        <item x="873"/>
        <item x="1417"/>
        <item x="1195"/>
        <item x="163"/>
        <item x="1002"/>
        <item x="974"/>
        <item x="4"/>
        <item x="887"/>
        <item x="697"/>
        <item x="176"/>
        <item x="1222"/>
        <item x="1291"/>
        <item x="1414"/>
        <item x="1210"/>
        <item x="215"/>
        <item x="1042"/>
        <item x="790"/>
        <item x="542"/>
        <item x="1187"/>
        <item x="1245"/>
        <item x="649"/>
        <item x="1430"/>
        <item x="800"/>
        <item x="1313"/>
        <item x="478"/>
        <item x="834"/>
        <item x="672"/>
        <item x="756"/>
        <item x="1263"/>
        <item x="300"/>
        <item x="275"/>
        <item x="1390"/>
        <item x="708"/>
        <item x="462"/>
        <item x="180"/>
        <item x="1064"/>
        <item x="606"/>
        <item x="885"/>
        <item x="1154"/>
        <item x="243"/>
        <item x="956"/>
        <item x="1092"/>
        <item x="932"/>
        <item x="1364"/>
        <item x="384"/>
        <item x="1234"/>
        <item x="1016"/>
        <item x="1290"/>
        <item x="1171"/>
        <item x="339"/>
        <item x="2"/>
        <item x="25"/>
        <item x="962"/>
        <item x="999"/>
        <item x="147"/>
        <item x="281"/>
        <item x="1477"/>
        <item x="1402"/>
        <item x="1328"/>
        <item x="1472"/>
        <item x="217"/>
        <item x="194"/>
        <item x="768"/>
        <item x="735"/>
        <item x="1161"/>
        <item x="265"/>
        <item x="1341"/>
        <item x="831"/>
        <item x="1080"/>
        <item x="1428"/>
        <item x="1485"/>
        <item x="1112"/>
        <item x="266"/>
        <item x="101"/>
        <item x="186"/>
        <item x="1029"/>
        <item x="151"/>
        <item x="130"/>
        <item x="416"/>
        <item x="58"/>
        <item x="277"/>
        <item x="192"/>
        <item x="136"/>
        <item x="497"/>
        <item x="1267"/>
        <item x="209"/>
        <item x="356"/>
        <item x="370"/>
        <item x="1248"/>
        <item x="490"/>
        <item x="1436"/>
        <item x="337"/>
        <item x="762"/>
        <item x="485"/>
        <item x="1085"/>
        <item x="282"/>
        <item x="1487"/>
        <item x="487"/>
        <item x="480"/>
        <item x="315"/>
        <item x="1220"/>
        <item x="393"/>
        <item x="875"/>
        <item x="314"/>
        <item x="1277"/>
        <item x="340"/>
        <item x="1382"/>
        <item x="823"/>
        <item x="488"/>
        <item x="695"/>
        <item x="1304"/>
        <item x="388"/>
        <item x="507"/>
        <item x="36"/>
        <item x="373"/>
        <item x="917"/>
        <item x="1344"/>
        <item x="746"/>
        <item x="629"/>
        <item x="949"/>
        <item x="970"/>
        <item x="1371"/>
        <item x="1088"/>
        <item x="900"/>
        <item x="954"/>
        <item x="466"/>
        <item x="197"/>
        <item x="445"/>
        <item x="389"/>
        <item x="93"/>
        <item x="84"/>
        <item x="1152"/>
        <item x="840"/>
        <item x="598"/>
        <item x="76"/>
        <item x="141"/>
        <item x="626"/>
        <item x="772"/>
        <item x="653"/>
        <item x="855"/>
        <item x="189"/>
        <item x="1476"/>
        <item x="565"/>
        <item x="740"/>
        <item x="200"/>
        <item x="1259"/>
        <item x="1253"/>
        <item x="1491"/>
        <item x="469"/>
        <item x="1013"/>
        <item x="1089"/>
        <item x="1301"/>
        <item x="465"/>
        <item x="252"/>
        <item x="1133"/>
        <item x="401"/>
        <item x="1457"/>
        <item x="63"/>
        <item x="1329"/>
        <item x="1094"/>
        <item x="1160"/>
        <item x="362"/>
        <item x="872"/>
        <item x="153"/>
        <item x="1441"/>
        <item x="1075"/>
        <item x="1191"/>
        <item x="14"/>
        <item x="39"/>
        <item x="80"/>
        <item x="280"/>
        <item x="95"/>
        <item x="489"/>
        <item x="1028"/>
        <item x="1150"/>
        <item x="675"/>
        <item x="256"/>
        <item x="139"/>
        <item x="1043"/>
        <item x="703"/>
        <item x="960"/>
        <item x="882"/>
        <item x="812"/>
        <item x="560"/>
        <item x="447"/>
        <item x="792"/>
        <item x="837"/>
        <item x="267"/>
        <item x="322"/>
        <item x="865"/>
        <item x="279"/>
        <item x="85"/>
        <item x="881"/>
        <item x="587"/>
        <item x="214"/>
        <item x="715"/>
        <item x="1009"/>
        <item x="1394"/>
        <item x="890"/>
        <item x="1046"/>
        <item x="554"/>
        <item x="658"/>
        <item x="126"/>
        <item x="1244"/>
        <item x="568"/>
        <item x="744"/>
        <item x="992"/>
        <item x="1086"/>
        <item x="448"/>
        <item x="206"/>
        <item x="692"/>
        <item x="365"/>
        <item x="1235"/>
        <item x="518"/>
        <item x="1065"/>
        <item x="418"/>
        <item x="1148"/>
        <item x="915"/>
        <item x="106"/>
        <item x="938"/>
        <item x="826"/>
        <item x="652"/>
        <item x="765"/>
        <item x="844"/>
        <item x="1132"/>
        <item x="303"/>
        <item x="955"/>
        <item x="664"/>
        <item x="47"/>
        <item x="429"/>
        <item x="987"/>
        <item x="128"/>
        <item x="849"/>
        <item x="570"/>
        <item x="196"/>
        <item x="385"/>
        <item x="1143"/>
        <item x="1125"/>
        <item x="968"/>
        <item x="1399"/>
        <item x="802"/>
        <item x="1347"/>
        <item x="1450"/>
        <item x="1303"/>
        <item x="1178"/>
        <item x="1442"/>
        <item x="791"/>
        <item x="860"/>
        <item x="760"/>
        <item x="886"/>
        <item x="1449"/>
        <item x="1467"/>
        <item x="1214"/>
        <item x="246"/>
        <item x="1204"/>
        <item x="1129"/>
        <item x="1471"/>
        <item x="681"/>
        <item x="203"/>
        <item x="1158"/>
        <item x="1423"/>
        <item x="61"/>
        <item x="682"/>
        <item x="785"/>
        <item x="502"/>
        <item x="1494"/>
        <item x="81"/>
        <item x="847"/>
        <item x="678"/>
        <item x="579"/>
        <item x="950"/>
        <item x="426"/>
        <item x="689"/>
        <item x="667"/>
        <item x="1346"/>
        <item x="548"/>
        <item x="782"/>
        <item x="904"/>
        <item x="1081"/>
        <item x="1469"/>
        <item x="853"/>
        <item x="811"/>
        <item x="452"/>
        <item x="947"/>
        <item x="789"/>
        <item x="888"/>
        <item x="103"/>
        <item x="645"/>
        <item x="1215"/>
        <item x="1466"/>
        <item x="156"/>
        <item x="146"/>
        <item x="1180"/>
        <item x="927"/>
        <item x="216"/>
        <item x="288"/>
        <item x="1279"/>
        <item x="964"/>
        <item x="1179"/>
        <item x="712"/>
        <item x="1255"/>
        <item x="1225"/>
        <item x="705"/>
        <item x="49"/>
        <item x="535"/>
        <item x="69"/>
        <item x="248"/>
        <item x="231"/>
        <item x="87"/>
        <item x="564"/>
        <item x="1069"/>
        <item x="179"/>
        <item x="1168"/>
        <item x="1342"/>
        <item x="1463"/>
        <item x="511"/>
        <item x="1361"/>
        <item x="621"/>
        <item x="1122"/>
        <item x="530"/>
        <item x="359"/>
        <item x="509"/>
        <item x="714"/>
        <item x="1107"/>
        <item x="221"/>
        <item x="842"/>
        <item x="88"/>
        <item x="709"/>
        <item x="594"/>
        <item x="273"/>
        <item x="1090"/>
        <item x="348"/>
        <item x="916"/>
        <item x="998"/>
        <item x="880"/>
        <item x="257"/>
        <item x="1048"/>
        <item x="1190"/>
        <item x="1073"/>
        <item x="453"/>
        <item x="352"/>
        <item x="374"/>
        <item x="383"/>
        <item x="213"/>
        <item x="237"/>
        <item x="494"/>
        <item x="856"/>
        <item x="922"/>
        <item x="1093"/>
        <item x="843"/>
        <item x="677"/>
        <item x="97"/>
        <item x="668"/>
        <item x="997"/>
        <item x="1189"/>
        <item x="1446"/>
        <item x="1424"/>
        <item x="783"/>
        <item x="407"/>
        <item x="272"/>
        <item x="46"/>
        <item x="543"/>
        <item x="495"/>
        <item x="188"/>
        <item x="732"/>
        <item x="580"/>
        <item x="921"/>
        <item x="166"/>
        <item x="836"/>
        <item x="639"/>
        <item x="1365"/>
        <item x="561"/>
        <item x="751"/>
        <item x="1459"/>
        <item x="1003"/>
        <item x="1045"/>
        <item x="56"/>
        <item x="1376"/>
        <item x="313"/>
        <item x="459"/>
        <item x="632"/>
        <item x="325"/>
        <item x="919"/>
        <item x="907"/>
        <item x="113"/>
        <item x="1499"/>
        <item x="993"/>
        <item x="512"/>
        <item x="503"/>
        <item x="1332"/>
        <item x="172"/>
        <item x="212"/>
        <item x="1383"/>
        <item x="589"/>
        <item x="1201"/>
        <item x="1184"/>
        <item x="468"/>
        <item x="688"/>
        <item x="978"/>
        <item x="155"/>
        <item x="889"/>
        <item x="1219"/>
        <item x="60"/>
        <item x="817"/>
        <item x="175"/>
        <item x="289"/>
        <item x="596"/>
        <item x="942"/>
        <item x="820"/>
        <item x="1404"/>
        <item x="617"/>
        <item x="1238"/>
        <item x="504"/>
        <item x="361"/>
        <item x="458"/>
        <item x="1308"/>
        <item x="1061"/>
        <item x="1012"/>
        <item x="238"/>
        <item x="422"/>
        <item x="1373"/>
        <item x="1334"/>
        <item x="421"/>
        <item x="298"/>
        <item x="133"/>
        <item x="700"/>
        <item x="763"/>
        <item x="259"/>
        <item x="1458"/>
        <item x="1312"/>
        <item x="592"/>
        <item x="1286"/>
        <item x="474"/>
        <item x="1000"/>
        <item x="1403"/>
        <item x="1475"/>
        <item x="604"/>
        <item x="1174"/>
        <item x="1358"/>
        <item x="510"/>
        <item x="1413"/>
        <item x="814"/>
        <item x="1379"/>
        <item x="202"/>
        <item x="111"/>
        <item x="1131"/>
        <item x="190"/>
        <item x="1199"/>
        <item x="569"/>
        <item x="419"/>
        <item x="654"/>
        <item x="559"/>
        <item x="1139"/>
        <item x="481"/>
        <item x="778"/>
        <item x="432"/>
        <item x="662"/>
        <item x="641"/>
        <item x="438"/>
        <item x="413"/>
        <item x="391"/>
        <item x="358"/>
        <item x="167"/>
        <item x="493"/>
        <item x="701"/>
        <item x="382"/>
        <item x="726"/>
        <item x="521"/>
        <item x="1027"/>
        <item x="819"/>
        <item x="1057"/>
        <item x="1384"/>
        <item x="1411"/>
        <item x="1217"/>
        <item x="893"/>
        <item x="1058"/>
        <item x="191"/>
        <item x="829"/>
        <item x="944"/>
        <item x="767"/>
        <item x="1298"/>
        <item x="797"/>
        <item x="64"/>
        <item x="66"/>
        <item x="394"/>
        <item x="158"/>
        <item x="686"/>
        <item x="574"/>
        <item x="75"/>
        <item x="414"/>
        <item x="335"/>
        <item x="946"/>
        <item x="514"/>
        <item x="538"/>
        <item x="1066"/>
        <item x="271"/>
        <item x="508"/>
        <item x="555"/>
        <item x="100"/>
        <item x="1109"/>
        <item x="1443"/>
        <item x="517"/>
        <item x="1421"/>
        <item x="1324"/>
        <item x="366"/>
        <item x="540"/>
        <item x="859"/>
        <item x="308"/>
        <item x="1170"/>
        <item x="48"/>
        <item x="1293"/>
        <item x="132"/>
        <item x="1155"/>
        <item x="551"/>
        <item x="1060"/>
        <item x="545"/>
        <item x="821"/>
        <item x="1493"/>
        <item x="410"/>
        <item x="982"/>
        <item x="193"/>
        <item x="1074"/>
        <item x="251"/>
        <item x="1034"/>
        <item x="149"/>
        <item x="1295"/>
        <item x="764"/>
        <item x="1273"/>
        <item x="612"/>
        <item x="204"/>
        <item x="15"/>
        <item x="1231"/>
        <item x="1456"/>
        <item x="623"/>
        <item x="611"/>
        <item x="211"/>
        <item x="1040"/>
        <item x="845"/>
        <item x="218"/>
        <item x="1077"/>
        <item x="1306"/>
        <item x="1270"/>
        <item x="96"/>
        <item x="1368"/>
        <item x="848"/>
        <item x="562"/>
        <item x="1395"/>
        <item x="1114"/>
        <item x="1232"/>
        <item x="972"/>
        <item x="977"/>
        <item x="343"/>
        <item x="687"/>
        <item x="1083"/>
        <item x="98"/>
        <item x="793"/>
        <item x="884"/>
        <item x="390"/>
        <item x="499"/>
        <item x="1243"/>
        <item x="655"/>
        <item x="1420"/>
        <item x="522"/>
        <item x="863"/>
        <item x="173"/>
        <item x="1249"/>
        <item x="806"/>
        <item x="1173"/>
        <item x="804"/>
        <item x="908"/>
        <item x="1281"/>
        <item x="1385"/>
        <item x="131"/>
        <item x="90"/>
        <item x="329"/>
        <item x="948"/>
        <item x="595"/>
        <item x="605"/>
        <item x="1166"/>
        <item x="640"/>
        <item x="648"/>
        <item x="1296"/>
        <item x="65"/>
        <item x="516"/>
        <item x="1113"/>
        <item x="801"/>
        <item x="378"/>
        <item x="1268"/>
        <item x="108"/>
        <item x="355"/>
        <item x="1038"/>
        <item x="727"/>
        <item x="368"/>
        <item x="1196"/>
        <item x="164"/>
        <item x="1165"/>
        <item x="666"/>
        <item x="877"/>
        <item x="182"/>
        <item x="183"/>
        <item x="1163"/>
        <item x="77"/>
        <item x="138"/>
        <item x="443"/>
        <item x="901"/>
        <item x="795"/>
        <item x="328"/>
        <item x="647"/>
        <item x="1205"/>
        <item x="523"/>
        <item x="656"/>
        <item x="346"/>
        <item x="219"/>
        <item x="1357"/>
        <item x="1023"/>
        <item x="195"/>
        <item x="971"/>
        <item x="832"/>
        <item x="827"/>
        <item x="309"/>
        <item x="953"/>
        <item x="327"/>
        <item x="796"/>
        <item x="50"/>
        <item x="35"/>
        <item x="326"/>
        <item x="903"/>
        <item x="250"/>
        <item x="1336"/>
        <item x="269"/>
        <item x="28"/>
        <item x="1299"/>
        <item x="207"/>
        <item x="316"/>
        <item x="99"/>
        <item x="53"/>
        <item x="29"/>
        <item x="483"/>
        <item x="1461"/>
        <item x="1096"/>
        <item x="665"/>
        <item x="567"/>
        <item x="245"/>
        <item x="1479"/>
        <item x="94"/>
        <item x="40"/>
        <item x="1156"/>
        <item x="24"/>
        <item x="883"/>
        <item x="472"/>
        <item x="1454"/>
        <item x="403"/>
        <item x="683"/>
        <item x="1026"/>
        <item x="1030"/>
        <item x="869"/>
        <item x="230"/>
        <item x="336"/>
        <item x="437"/>
        <item x="910"/>
        <item x="292"/>
        <item x="333"/>
        <item x="57"/>
        <item x="777"/>
        <item x="354"/>
        <item x="423"/>
        <item x="773"/>
        <item x="1352"/>
        <item x="1282"/>
        <item x="1323"/>
        <item x="529"/>
        <item x="1186"/>
        <item x="1335"/>
        <item x="1297"/>
        <item x="1269"/>
        <item x="1208"/>
        <item x="1059"/>
        <item x="1322"/>
        <item x="1100"/>
        <item x="1381"/>
        <item x="719"/>
        <item x="135"/>
        <item x="528"/>
        <item x="1068"/>
        <item x="967"/>
        <item x="1433"/>
        <item x="1462"/>
        <item x="1330"/>
        <item x="1484"/>
        <item x="711"/>
        <item x="1378"/>
        <item x="1434"/>
        <item x="1351"/>
        <item x="1343"/>
        <item x="1349"/>
        <item x="531"/>
        <item x="464"/>
        <item x="51"/>
        <item x="556"/>
        <item x="1111"/>
        <item x="254"/>
        <item x="991"/>
        <item x="1054"/>
        <item x="73"/>
        <item x="86"/>
        <item x="894"/>
        <item x="798"/>
        <item x="591"/>
        <item x="631"/>
        <item x="1212"/>
        <item x="1294"/>
        <item x="906"/>
        <item x="1375"/>
        <item x="1194"/>
        <item x="1017"/>
        <item x="44"/>
        <item x="8"/>
        <item x="235"/>
        <item x="505"/>
        <item x="74"/>
        <item x="1001"/>
        <item x="1465"/>
        <item x="1283"/>
        <item x="1406"/>
        <item x="1007"/>
        <item x="1464"/>
        <item x="1262"/>
        <item x="442"/>
        <item x="755"/>
        <item x="1137"/>
        <item x="1011"/>
        <item x="745"/>
        <item x="757"/>
        <item x="822"/>
        <item x="78"/>
        <item x="1389"/>
        <item t="default"/>
      </items>
    </pivotField>
    <pivotField showAll="0">
      <items count="8">
        <item x="6"/>
        <item x="2"/>
        <item x="1"/>
        <item x="3"/>
        <item x="0"/>
        <item x="4"/>
        <item x="5"/>
        <item t="default"/>
      </items>
    </pivotField>
    <pivotField showAll="0">
      <items count="7">
        <item x="2"/>
        <item x="0"/>
        <item x="3"/>
        <item x="1"/>
        <item x="4"/>
        <item x="5"/>
        <item t="default"/>
      </items>
    </pivotField>
    <pivotField numFmtId="1" showAll="0">
      <items count="1501">
        <item x="1495"/>
        <item x="1447"/>
        <item x="1443"/>
        <item x="1451"/>
        <item x="1448"/>
        <item x="1467"/>
        <item x="1414"/>
        <item x="1480"/>
        <item x="1419"/>
        <item x="1363"/>
        <item x="1399"/>
        <item x="1421"/>
        <item x="1413"/>
        <item x="1497"/>
        <item x="1396"/>
        <item x="1453"/>
        <item x="1330"/>
        <item x="1355"/>
        <item x="1301"/>
        <item x="1305"/>
        <item x="1361"/>
        <item x="1417"/>
        <item x="1479"/>
        <item x="1457"/>
        <item x="1324"/>
        <item x="1464"/>
        <item x="1339"/>
        <item x="1490"/>
        <item x="1459"/>
        <item x="1432"/>
        <item x="1325"/>
        <item x="1478"/>
        <item x="1352"/>
        <item x="1288"/>
        <item x="1442"/>
        <item x="1488"/>
        <item x="1456"/>
        <item x="1412"/>
        <item x="1408"/>
        <item x="1304"/>
        <item x="1476"/>
        <item x="1401"/>
        <item x="1411"/>
        <item x="1416"/>
        <item x="1326"/>
        <item x="1394"/>
        <item x="1460"/>
        <item x="1366"/>
        <item x="1180"/>
        <item x="1342"/>
        <item x="1259"/>
        <item x="1178"/>
        <item x="1213"/>
        <item x="1169"/>
        <item x="1241"/>
        <item x="1217"/>
        <item x="1221"/>
        <item x="1360"/>
        <item x="1349"/>
        <item x="1164"/>
        <item x="1319"/>
        <item x="1368"/>
        <item x="1152"/>
        <item x="1184"/>
        <item x="1332"/>
        <item x="1398"/>
        <item x="1435"/>
        <item x="1367"/>
        <item x="1348"/>
        <item x="1405"/>
        <item x="1356"/>
        <item x="1216"/>
        <item x="1423"/>
        <item x="1391"/>
        <item x="1441"/>
        <item x="1493"/>
        <item x="1202"/>
        <item x="1382"/>
        <item x="1189"/>
        <item x="1369"/>
        <item x="1110"/>
        <item x="1282"/>
        <item x="1196"/>
        <item x="1468"/>
        <item x="1437"/>
        <item x="1199"/>
        <item x="1403"/>
        <item x="1097"/>
        <item x="1498"/>
        <item x="1454"/>
        <item x="1236"/>
        <item x="1375"/>
        <item x="1433"/>
        <item x="1331"/>
        <item x="1186"/>
        <item x="1481"/>
        <item x="1084"/>
        <item x="1318"/>
        <item x="1055"/>
        <item x="1283"/>
        <item x="1122"/>
        <item x="1473"/>
        <item x="1365"/>
        <item x="1371"/>
        <item x="1247"/>
        <item x="1127"/>
        <item x="1176"/>
        <item x="1392"/>
        <item x="1425"/>
        <item x="1311"/>
        <item x="1214"/>
        <item x="1465"/>
        <item x="1022"/>
        <item x="1377"/>
        <item x="1475"/>
        <item x="1160"/>
        <item x="1125"/>
        <item x="1482"/>
        <item x="1341"/>
        <item x="1484"/>
        <item x="1109"/>
        <item x="1461"/>
        <item x="1275"/>
        <item x="1376"/>
        <item x="1111"/>
        <item x="1354"/>
        <item x="1240"/>
        <item x="1006"/>
        <item x="1410"/>
        <item x="1483"/>
        <item x="1285"/>
        <item x="1452"/>
        <item x="1328"/>
        <item x="1415"/>
        <item x="1258"/>
        <item x="1486"/>
        <item x="1359"/>
        <item x="1120"/>
        <item x="1166"/>
        <item x="1345"/>
        <item x="1317"/>
        <item x="1327"/>
        <item x="1374"/>
        <item x="1192"/>
        <item x="1302"/>
        <item x="1390"/>
        <item x="1315"/>
        <item x="1271"/>
        <item x="1466"/>
        <item x="1037"/>
        <item x="1153"/>
        <item x="1144"/>
        <item x="1351"/>
        <item x="1346"/>
        <item x="1230"/>
        <item x="1080"/>
        <item x="1066"/>
        <item x="1107"/>
        <item x="1034"/>
        <item x="1424"/>
        <item x="1445"/>
        <item x="1297"/>
        <item x="1009"/>
        <item x="1428"/>
        <item x="1124"/>
        <item x="1119"/>
        <item x="1067"/>
        <item x="935"/>
        <item x="1378"/>
        <item x="1260"/>
        <item x="1072"/>
        <item x="1099"/>
        <item x="944"/>
        <item x="1270"/>
        <item x="1205"/>
        <item x="1112"/>
        <item x="1347"/>
        <item x="1179"/>
        <item x="1335"/>
        <item x="922"/>
        <item x="1188"/>
        <item x="936"/>
        <item x="1249"/>
        <item x="1073"/>
        <item x="1406"/>
        <item x="1313"/>
        <item x="1407"/>
        <item x="930"/>
        <item x="1310"/>
        <item x="1284"/>
        <item x="1321"/>
        <item x="1353"/>
        <item x="1267"/>
        <item x="1115"/>
        <item x="1358"/>
        <item x="1121"/>
        <item x="1046"/>
        <item x="1096"/>
        <item x="1255"/>
        <item x="1019"/>
        <item x="1130"/>
        <item x="1185"/>
        <item x="1449"/>
        <item x="931"/>
        <item x="1200"/>
        <item x="1491"/>
        <item x="1439"/>
        <item x="1056"/>
        <item x="1210"/>
        <item x="1427"/>
        <item x="1228"/>
        <item x="1343"/>
        <item x="1379"/>
        <item x="1402"/>
        <item x="896"/>
        <item x="1303"/>
        <item x="1150"/>
        <item x="1492"/>
        <item x="1463"/>
        <item x="1388"/>
        <item x="1131"/>
        <item x="1248"/>
        <item x="1429"/>
        <item x="899"/>
        <item x="1496"/>
        <item x="1220"/>
        <item x="1132"/>
        <item x="1077"/>
        <item x="926"/>
        <item x="1434"/>
        <item x="952"/>
        <item x="1272"/>
        <item x="1089"/>
        <item x="1070"/>
        <item x="1209"/>
        <item x="888"/>
        <item x="1290"/>
        <item x="1239"/>
        <item x="1298"/>
        <item x="1133"/>
        <item x="1002"/>
        <item x="1397"/>
        <item x="1286"/>
        <item x="1005"/>
        <item x="1446"/>
        <item x="901"/>
        <item x="1159"/>
        <item x="836"/>
        <item x="1404"/>
        <item x="1450"/>
        <item x="1400"/>
        <item x="1387"/>
        <item x="908"/>
        <item x="1030"/>
        <item x="1436"/>
        <item x="1474"/>
        <item x="1212"/>
        <item x="1279"/>
        <item x="883"/>
        <item x="1253"/>
        <item x="1251"/>
        <item x="1477"/>
        <item x="1012"/>
        <item x="973"/>
        <item x="813"/>
        <item x="893"/>
        <item x="830"/>
        <item x="1079"/>
        <item x="1004"/>
        <item x="993"/>
        <item x="1336"/>
        <item x="890"/>
        <item x="872"/>
        <item x="1088"/>
        <item x="1266"/>
        <item x="1033"/>
        <item x="1499"/>
        <item x="1137"/>
        <item x="1063"/>
        <item x="1052"/>
        <item x="1218"/>
        <item x="1261"/>
        <item x="1462"/>
        <item x="1155"/>
        <item x="1142"/>
        <item x="1045"/>
        <item x="1263"/>
        <item x="1147"/>
        <item x="1426"/>
        <item x="1170"/>
        <item x="1409"/>
        <item x="1104"/>
        <item x="1105"/>
        <item x="1108"/>
        <item x="1256"/>
        <item x="1065"/>
        <item x="1383"/>
        <item x="800"/>
        <item x="775"/>
        <item x="1040"/>
        <item x="976"/>
        <item x="1444"/>
        <item x="910"/>
        <item x="1245"/>
        <item x="1233"/>
        <item x="988"/>
        <item x="1250"/>
        <item x="1237"/>
        <item x="1191"/>
        <item x="1344"/>
        <item x="981"/>
        <item x="1069"/>
        <item x="904"/>
        <item x="1265"/>
        <item x="920"/>
        <item x="1047"/>
        <item x="1222"/>
        <item x="1049"/>
        <item x="1472"/>
        <item x="1074"/>
        <item x="1008"/>
        <item x="1380"/>
        <item x="866"/>
        <item x="783"/>
        <item x="808"/>
        <item x="1372"/>
        <item x="909"/>
        <item x="1322"/>
        <item x="1145"/>
        <item x="1126"/>
        <item x="1016"/>
        <item x="1471"/>
        <item x="907"/>
        <item x="991"/>
        <item x="1287"/>
        <item x="1293"/>
        <item x="1235"/>
        <item x="985"/>
        <item x="1175"/>
        <item x="1151"/>
        <item x="928"/>
        <item x="864"/>
        <item x="874"/>
        <item x="1264"/>
        <item x="968"/>
        <item x="1243"/>
        <item x="1134"/>
        <item x="1018"/>
        <item x="1050"/>
        <item x="1362"/>
        <item x="1201"/>
        <item x="940"/>
        <item x="1470"/>
        <item x="1146"/>
        <item x="1060"/>
        <item x="1291"/>
        <item x="762"/>
        <item x="1393"/>
        <item x="925"/>
        <item x="821"/>
        <item x="824"/>
        <item x="780"/>
        <item x="1430"/>
        <item x="764"/>
        <item x="1226"/>
        <item x="1215"/>
        <item x="971"/>
        <item x="1323"/>
        <item x="1163"/>
        <item x="938"/>
        <item x="1252"/>
        <item x="1274"/>
        <item x="934"/>
        <item x="1487"/>
        <item x="799"/>
        <item x="1068"/>
        <item x="964"/>
        <item x="1051"/>
        <item x="1306"/>
        <item x="957"/>
        <item x="1455"/>
        <item x="962"/>
        <item x="720"/>
        <item x="1101"/>
        <item x="823"/>
        <item x="1087"/>
        <item x="1268"/>
        <item x="1307"/>
        <item x="880"/>
        <item x="1094"/>
        <item x="1157"/>
        <item x="1431"/>
        <item x="1223"/>
        <item x="1422"/>
        <item x="1357"/>
        <item x="875"/>
        <item x="1193"/>
        <item x="1211"/>
        <item x="1035"/>
        <item x="1032"/>
        <item x="1338"/>
        <item x="900"/>
        <item x="1364"/>
        <item x="1242"/>
        <item x="885"/>
        <item x="846"/>
        <item x="756"/>
        <item x="677"/>
        <item x="1418"/>
        <item x="1384"/>
        <item x="1334"/>
        <item x="1219"/>
        <item x="1181"/>
        <item x="905"/>
        <item x="1158"/>
        <item x="1083"/>
        <item x="1075"/>
        <item x="834"/>
        <item x="1309"/>
        <item x="843"/>
        <item x="1277"/>
        <item x="1086"/>
        <item x="1117"/>
        <item x="698"/>
        <item x="811"/>
        <item x="1207"/>
        <item x="1182"/>
        <item x="839"/>
        <item x="1071"/>
        <item x="1485"/>
        <item x="1494"/>
        <item x="768"/>
        <item x="1489"/>
        <item x="705"/>
        <item x="1156"/>
        <item x="1438"/>
        <item x="1395"/>
        <item x="737"/>
        <item x="1458"/>
        <item x="817"/>
        <item x="1161"/>
        <item x="1028"/>
        <item x="820"/>
        <item x="979"/>
        <item x="798"/>
        <item x="903"/>
        <item x="1225"/>
        <item x="1389"/>
        <item x="847"/>
        <item x="1014"/>
        <item x="1232"/>
        <item x="1469"/>
        <item x="1029"/>
        <item x="1116"/>
        <item x="1231"/>
        <item x="804"/>
        <item x="1420"/>
        <item x="1329"/>
        <item x="734"/>
        <item x="1246"/>
        <item x="1090"/>
        <item x="1025"/>
        <item x="918"/>
        <item x="1278"/>
        <item x="1300"/>
        <item x="1314"/>
        <item x="1440"/>
        <item x="731"/>
        <item x="1273"/>
        <item x="1294"/>
        <item x="1172"/>
        <item x="997"/>
        <item x="1254"/>
        <item x="831"/>
        <item x="869"/>
        <item x="1195"/>
        <item x="1316"/>
        <item x="736"/>
        <item x="996"/>
        <item x="1171"/>
        <item x="671"/>
        <item x="746"/>
        <item x="878"/>
        <item x="1292"/>
        <item x="1373"/>
        <item x="815"/>
        <item x="1269"/>
        <item x="1299"/>
        <item x="913"/>
        <item x="1295"/>
        <item x="1007"/>
        <item x="884"/>
        <item x="659"/>
        <item x="887"/>
        <item x="1385"/>
        <item x="1064"/>
        <item x="1140"/>
        <item x="1165"/>
        <item x="1000"/>
        <item x="1386"/>
        <item x="892"/>
        <item x="1039"/>
        <item x="854"/>
        <item x="636"/>
        <item x="722"/>
        <item x="1333"/>
        <item x="1118"/>
        <item x="1296"/>
        <item x="1370"/>
        <item x="1092"/>
        <item x="1312"/>
        <item x="1198"/>
        <item x="859"/>
        <item x="787"/>
        <item x="812"/>
        <item x="845"/>
        <item x="1024"/>
        <item x="791"/>
        <item x="1208"/>
        <item x="1308"/>
        <item x="803"/>
        <item x="669"/>
        <item x="959"/>
        <item x="1174"/>
        <item x="1197"/>
        <item x="1381"/>
        <item x="658"/>
        <item x="1038"/>
        <item x="675"/>
        <item x="1262"/>
        <item x="1320"/>
        <item x="876"/>
        <item x="670"/>
        <item x="1013"/>
        <item x="767"/>
        <item x="687"/>
        <item x="613"/>
        <item x="1103"/>
        <item x="1031"/>
        <item x="729"/>
        <item x="945"/>
        <item x="715"/>
        <item x="1244"/>
        <item x="757"/>
        <item x="982"/>
        <item x="1337"/>
        <item x="1350"/>
        <item x="898"/>
        <item x="1194"/>
        <item x="1154"/>
        <item x="738"/>
        <item x="1340"/>
        <item x="1276"/>
        <item x="1224"/>
        <item x="641"/>
        <item x="1227"/>
        <item x="759"/>
        <item x="915"/>
        <item x="867"/>
        <item x="717"/>
        <item x="1183"/>
        <item x="745"/>
        <item x="784"/>
        <item x="810"/>
        <item x="655"/>
        <item x="929"/>
        <item x="942"/>
        <item x="838"/>
        <item x="873"/>
        <item x="886"/>
        <item x="772"/>
        <item x="1204"/>
        <item x="856"/>
        <item x="1149"/>
        <item x="622"/>
        <item x="592"/>
        <item x="1167"/>
        <item x="1238"/>
        <item x="1136"/>
        <item x="1280"/>
        <item x="1289"/>
        <item x="1095"/>
        <item x="1058"/>
        <item x="1203"/>
        <item x="1229"/>
        <item x="1082"/>
        <item x="992"/>
        <item x="1023"/>
        <item x="660"/>
        <item x="1054"/>
        <item x="1128"/>
        <item x="599"/>
        <item x="1281"/>
        <item x="752"/>
        <item x="855"/>
        <item x="989"/>
        <item x="1257"/>
        <item x="778"/>
        <item x="1076"/>
        <item x="933"/>
        <item x="969"/>
        <item x="1106"/>
        <item x="711"/>
        <item x="850"/>
        <item x="1100"/>
        <item x="1053"/>
        <item x="895"/>
        <item x="1114"/>
        <item x="1081"/>
        <item x="1190"/>
        <item x="761"/>
        <item x="1057"/>
        <item x="1011"/>
        <item x="1020"/>
        <item x="1177"/>
        <item x="1078"/>
        <item x="1206"/>
        <item x="889"/>
        <item x="1173"/>
        <item x="980"/>
        <item x="943"/>
        <item x="650"/>
        <item x="1042"/>
        <item x="961"/>
        <item x="1234"/>
        <item x="857"/>
        <item x="1129"/>
        <item x="937"/>
        <item x="966"/>
        <item x="690"/>
        <item x="1187"/>
        <item x="1001"/>
        <item x="986"/>
        <item x="1139"/>
        <item x="967"/>
        <item x="1135"/>
        <item x="960"/>
        <item x="995"/>
        <item x="1168"/>
        <item x="788"/>
        <item x="547"/>
        <item x="939"/>
        <item x="1091"/>
        <item x="1048"/>
        <item x="975"/>
        <item x="723"/>
        <item x="795"/>
        <item x="593"/>
        <item x="773"/>
        <item x="861"/>
        <item x="998"/>
        <item x="1123"/>
        <item x="1027"/>
        <item x="708"/>
        <item x="605"/>
        <item x="1061"/>
        <item x="1059"/>
        <item x="949"/>
        <item x="611"/>
        <item x="1138"/>
        <item x="947"/>
        <item x="743"/>
        <item x="628"/>
        <item x="906"/>
        <item x="974"/>
        <item x="790"/>
        <item x="806"/>
        <item x="894"/>
        <item x="1141"/>
        <item x="1162"/>
        <item x="1098"/>
        <item x="750"/>
        <item x="1148"/>
        <item x="924"/>
        <item x="999"/>
        <item x="739"/>
        <item x="870"/>
        <item x="1113"/>
        <item x="955"/>
        <item x="862"/>
        <item x="990"/>
        <item x="849"/>
        <item x="796"/>
        <item x="688"/>
        <item x="623"/>
        <item x="700"/>
        <item x="983"/>
        <item x="1143"/>
        <item x="560"/>
        <item x="792"/>
        <item x="911"/>
        <item x="740"/>
        <item x="844"/>
        <item x="689"/>
        <item x="879"/>
        <item x="1041"/>
        <item x="755"/>
        <item x="1015"/>
        <item x="814"/>
        <item x="1043"/>
        <item x="1102"/>
        <item x="696"/>
        <item x="1021"/>
        <item x="848"/>
        <item x="978"/>
        <item x="707"/>
        <item x="977"/>
        <item x="1010"/>
        <item x="1003"/>
        <item x="1036"/>
        <item x="645"/>
        <item x="1062"/>
        <item x="575"/>
        <item x="626"/>
        <item x="1044"/>
        <item x="589"/>
        <item x="741"/>
        <item x="639"/>
        <item x="984"/>
        <item x="555"/>
        <item x="726"/>
        <item x="1026"/>
        <item x="747"/>
        <item x="819"/>
        <item x="921"/>
        <item x="987"/>
        <item x="835"/>
        <item x="608"/>
        <item x="526"/>
        <item x="1093"/>
        <item x="642"/>
        <item x="569"/>
        <item x="1085"/>
        <item x="994"/>
        <item x="789"/>
        <item x="840"/>
        <item x="601"/>
        <item x="1017"/>
        <item x="951"/>
        <item x="963"/>
        <item x="712"/>
        <item x="946"/>
        <item x="510"/>
        <item x="868"/>
        <item x="916"/>
        <item x="545"/>
        <item x="610"/>
        <item x="948"/>
        <item x="678"/>
        <item x="662"/>
        <item x="970"/>
        <item x="760"/>
        <item x="557"/>
        <item x="891"/>
        <item x="627"/>
        <item x="602"/>
        <item x="490"/>
        <item x="826"/>
        <item x="751"/>
        <item x="965"/>
        <item x="672"/>
        <item x="535"/>
        <item x="827"/>
        <item x="832"/>
        <item x="877"/>
        <item x="553"/>
        <item x="902"/>
        <item x="954"/>
        <item x="477"/>
        <item x="718"/>
        <item x="956"/>
        <item x="754"/>
        <item x="513"/>
        <item x="704"/>
        <item x="668"/>
        <item x="732"/>
        <item x="724"/>
        <item x="709"/>
        <item x="617"/>
        <item x="576"/>
        <item x="637"/>
        <item x="776"/>
        <item x="699"/>
        <item x="853"/>
        <item x="697"/>
        <item x="616"/>
        <item x="742"/>
        <item x="953"/>
        <item x="674"/>
        <item x="972"/>
        <item x="852"/>
        <item x="932"/>
        <item x="917"/>
        <item x="585"/>
        <item x="607"/>
        <item x="802"/>
        <item x="749"/>
        <item x="648"/>
        <item x="958"/>
        <item x="733"/>
        <item x="858"/>
        <item x="770"/>
        <item x="521"/>
        <item x="825"/>
        <item x="505"/>
        <item x="781"/>
        <item x="643"/>
        <item x="448"/>
        <item x="719"/>
        <item x="549"/>
        <item x="748"/>
        <item x="612"/>
        <item x="774"/>
        <item x="941"/>
        <item x="777"/>
        <item x="702"/>
        <item x="682"/>
        <item x="950"/>
        <item x="695"/>
        <item x="927"/>
        <item x="498"/>
        <item x="829"/>
        <item x="633"/>
        <item x="801"/>
        <item x="620"/>
        <item x="919"/>
        <item x="479"/>
        <item x="703"/>
        <item x="842"/>
        <item x="618"/>
        <item x="701"/>
        <item x="765"/>
        <item x="794"/>
        <item x="685"/>
        <item x="923"/>
        <item x="914"/>
        <item x="710"/>
        <item x="693"/>
        <item x="771"/>
        <item x="681"/>
        <item x="807"/>
        <item x="663"/>
        <item x="782"/>
        <item x="656"/>
        <item x="538"/>
        <item x="805"/>
        <item x="897"/>
        <item x="758"/>
        <item x="809"/>
        <item x="427"/>
        <item x="851"/>
        <item x="680"/>
        <item x="408"/>
        <item x="580"/>
        <item x="912"/>
        <item x="591"/>
        <item x="882"/>
        <item x="500"/>
        <item x="568"/>
        <item x="871"/>
        <item x="841"/>
        <item x="769"/>
        <item x="863"/>
        <item x="828"/>
        <item x="860"/>
        <item x="615"/>
        <item x="654"/>
        <item x="578"/>
        <item x="532"/>
        <item x="713"/>
        <item x="881"/>
        <item x="727"/>
        <item x="694"/>
        <item x="511"/>
        <item x="763"/>
        <item x="624"/>
        <item x="524"/>
        <item x="517"/>
        <item x="454"/>
        <item x="793"/>
        <item x="530"/>
        <item x="786"/>
        <item x="684"/>
        <item x="818"/>
        <item x="816"/>
        <item x="725"/>
        <item x="467"/>
        <item x="431"/>
        <item x="833"/>
        <item x="483"/>
        <item x="679"/>
        <item x="657"/>
        <item x="865"/>
        <item x="439"/>
        <item x="485"/>
        <item x="606"/>
        <item x="630"/>
        <item x="614"/>
        <item x="621"/>
        <item x="634"/>
        <item x="432"/>
        <item x="766"/>
        <item x="683"/>
        <item x="534"/>
        <item x="436"/>
        <item x="437"/>
        <item x="596"/>
        <item x="716"/>
        <item x="822"/>
        <item x="529"/>
        <item x="797"/>
        <item x="837"/>
        <item x="631"/>
        <item x="619"/>
        <item x="407"/>
        <item x="638"/>
        <item x="574"/>
        <item x="470"/>
        <item x="691"/>
        <item x="753"/>
        <item x="499"/>
        <item x="582"/>
        <item x="514"/>
        <item x="539"/>
        <item x="744"/>
        <item x="665"/>
        <item x="567"/>
        <item x="583"/>
        <item x="548"/>
        <item x="590"/>
        <item x="399"/>
        <item x="486"/>
        <item x="455"/>
        <item x="460"/>
        <item x="388"/>
        <item x="735"/>
        <item x="779"/>
        <item x="480"/>
        <item x="378"/>
        <item x="586"/>
        <item x="785"/>
        <item x="579"/>
        <item x="721"/>
        <item x="392"/>
        <item x="666"/>
        <item x="401"/>
        <item x="464"/>
        <item x="584"/>
        <item x="647"/>
        <item x="415"/>
        <item x="543"/>
        <item x="522"/>
        <item x="482"/>
        <item x="442"/>
        <item x="559"/>
        <item x="561"/>
        <item x="418"/>
        <item x="346"/>
        <item x="646"/>
        <item x="598"/>
        <item x="686"/>
        <item x="625"/>
        <item x="456"/>
        <item x="531"/>
        <item x="566"/>
        <item x="414"/>
        <item x="673"/>
        <item x="405"/>
        <item x="476"/>
        <item x="728"/>
        <item x="730"/>
        <item x="370"/>
        <item x="348"/>
        <item x="536"/>
        <item x="406"/>
        <item x="384"/>
        <item x="714"/>
        <item x="635"/>
        <item x="489"/>
        <item x="652"/>
        <item x="468"/>
        <item x="597"/>
        <item x="649"/>
        <item x="518"/>
        <item x="706"/>
        <item x="594"/>
        <item x="403"/>
        <item x="661"/>
        <item x="570"/>
        <item x="581"/>
        <item x="410"/>
        <item x="382"/>
        <item x="430"/>
        <item x="461"/>
        <item x="421"/>
        <item x="651"/>
        <item x="573"/>
        <item x="417"/>
        <item x="667"/>
        <item x="692"/>
        <item x="571"/>
        <item x="350"/>
        <item x="385"/>
        <item x="540"/>
        <item x="504"/>
        <item x="632"/>
        <item x="528"/>
        <item x="676"/>
        <item x="433"/>
        <item x="491"/>
        <item x="509"/>
        <item x="551"/>
        <item x="664"/>
        <item x="595"/>
        <item x="565"/>
        <item x="541"/>
        <item x="492"/>
        <item x="533"/>
        <item x="629"/>
        <item x="506"/>
        <item x="537"/>
        <item x="459"/>
        <item x="502"/>
        <item x="603"/>
        <item x="653"/>
        <item x="519"/>
        <item x="644"/>
        <item x="474"/>
        <item x="497"/>
        <item x="377"/>
        <item x="640"/>
        <item x="542"/>
        <item x="508"/>
        <item x="383"/>
        <item x="465"/>
        <item x="400"/>
        <item x="556"/>
        <item x="562"/>
        <item x="306"/>
        <item x="345"/>
        <item x="452"/>
        <item x="473"/>
        <item x="546"/>
        <item x="544"/>
        <item x="472"/>
        <item x="552"/>
        <item x="390"/>
        <item x="588"/>
        <item x="577"/>
        <item x="343"/>
        <item x="363"/>
        <item x="369"/>
        <item x="428"/>
        <item x="342"/>
        <item x="554"/>
        <item x="475"/>
        <item x="429"/>
        <item x="463"/>
        <item x="438"/>
        <item x="347"/>
        <item x="379"/>
        <item x="572"/>
        <item x="515"/>
        <item x="295"/>
        <item x="495"/>
        <item x="487"/>
        <item x="527"/>
        <item x="307"/>
        <item x="315"/>
        <item x="330"/>
        <item x="609"/>
        <item x="416"/>
        <item x="413"/>
        <item x="445"/>
        <item x="425"/>
        <item x="516"/>
        <item x="512"/>
        <item x="322"/>
        <item x="284"/>
        <item x="604"/>
        <item x="484"/>
        <item x="600"/>
        <item x="443"/>
        <item x="558"/>
        <item x="564"/>
        <item x="344"/>
        <item x="587"/>
        <item x="563"/>
        <item x="288"/>
        <item x="359"/>
        <item x="327"/>
        <item x="333"/>
        <item x="366"/>
        <item x="354"/>
        <item x="503"/>
        <item x="550"/>
        <item x="440"/>
        <item x="402"/>
        <item x="520"/>
        <item x="349"/>
        <item x="397"/>
        <item x="435"/>
        <item x="280"/>
        <item x="523"/>
        <item x="251"/>
        <item x="444"/>
        <item x="525"/>
        <item x="358"/>
        <item x="373"/>
        <item x="328"/>
        <item x="469"/>
        <item x="362"/>
        <item x="386"/>
        <item x="422"/>
        <item x="457"/>
        <item x="450"/>
        <item x="243"/>
        <item x="281"/>
        <item x="311"/>
        <item x="466"/>
        <item x="481"/>
        <item x="351"/>
        <item x="271"/>
        <item x="471"/>
        <item x="393"/>
        <item x="259"/>
        <item x="300"/>
        <item x="374"/>
        <item x="411"/>
        <item x="365"/>
        <item x="507"/>
        <item x="241"/>
        <item x="404"/>
        <item x="419"/>
        <item x="291"/>
        <item x="424"/>
        <item x="496"/>
        <item x="277"/>
        <item x="420"/>
        <item x="381"/>
        <item x="375"/>
        <item x="290"/>
        <item x="352"/>
        <item x="488"/>
        <item x="449"/>
        <item x="478"/>
        <item x="310"/>
        <item x="493"/>
        <item x="501"/>
        <item x="323"/>
        <item x="316"/>
        <item x="462"/>
        <item x="228"/>
        <item x="494"/>
        <item x="220"/>
        <item x="394"/>
        <item x="334"/>
        <item x="451"/>
        <item x="318"/>
        <item x="458"/>
        <item x="391"/>
        <item x="321"/>
        <item x="389"/>
        <item x="245"/>
        <item x="426"/>
        <item x="367"/>
        <item x="287"/>
        <item x="380"/>
        <item x="252"/>
        <item x="226"/>
        <item x="441"/>
        <item x="270"/>
        <item x="434"/>
        <item x="364"/>
        <item x="398"/>
        <item x="453"/>
        <item x="337"/>
        <item x="357"/>
        <item x="331"/>
        <item x="297"/>
        <item x="446"/>
        <item x="423"/>
        <item x="314"/>
        <item x="203"/>
        <item x="338"/>
        <item x="395"/>
        <item x="371"/>
        <item x="447"/>
        <item x="218"/>
        <item x="353"/>
        <item x="412"/>
        <item x="266"/>
        <item x="247"/>
        <item x="233"/>
        <item x="272"/>
        <item x="332"/>
        <item x="335"/>
        <item x="409"/>
        <item x="276"/>
        <item x="205"/>
        <item x="301"/>
        <item x="217"/>
        <item x="339"/>
        <item x="341"/>
        <item x="376"/>
        <item x="372"/>
        <item x="302"/>
        <item x="285"/>
        <item x="336"/>
        <item x="356"/>
        <item x="232"/>
        <item x="264"/>
        <item x="298"/>
        <item x="192"/>
        <item x="396"/>
        <item x="317"/>
        <item x="274"/>
        <item x="212"/>
        <item x="361"/>
        <item x="387"/>
        <item x="286"/>
        <item x="304"/>
        <item x="368"/>
        <item x="308"/>
        <item x="360"/>
        <item x="329"/>
        <item x="309"/>
        <item x="242"/>
        <item x="319"/>
        <item x="296"/>
        <item x="273"/>
        <item x="225"/>
        <item x="246"/>
        <item x="292"/>
        <item x="194"/>
        <item x="312"/>
        <item x="188"/>
        <item x="253"/>
        <item x="293"/>
        <item x="313"/>
        <item x="229"/>
        <item x="355"/>
        <item x="260"/>
        <item x="195"/>
        <item x="325"/>
        <item x="249"/>
        <item x="183"/>
        <item x="275"/>
        <item x="207"/>
        <item x="187"/>
        <item x="237"/>
        <item x="340"/>
        <item x="324"/>
        <item x="254"/>
        <item x="278"/>
        <item x="185"/>
        <item x="250"/>
        <item x="167"/>
        <item x="279"/>
        <item x="326"/>
        <item x="265"/>
        <item x="294"/>
        <item x="236"/>
        <item x="305"/>
        <item x="171"/>
        <item x="261"/>
        <item x="234"/>
        <item x="289"/>
        <item x="320"/>
        <item x="144"/>
        <item x="299"/>
        <item x="211"/>
        <item x="168"/>
        <item x="191"/>
        <item x="186"/>
        <item x="303"/>
        <item x="244"/>
        <item x="283"/>
        <item x="216"/>
        <item x="263"/>
        <item x="268"/>
        <item x="267"/>
        <item x="193"/>
        <item x="282"/>
        <item x="204"/>
        <item x="199"/>
        <item x="153"/>
        <item x="269"/>
        <item x="240"/>
        <item x="150"/>
        <item x="256"/>
        <item x="223"/>
        <item x="262"/>
        <item x="161"/>
        <item x="257"/>
        <item x="255"/>
        <item x="238"/>
        <item x="177"/>
        <item x="179"/>
        <item x="222"/>
        <item x="248"/>
        <item x="169"/>
        <item x="219"/>
        <item x="182"/>
        <item x="258"/>
        <item x="196"/>
        <item x="141"/>
        <item x="145"/>
        <item x="214"/>
        <item x="130"/>
        <item x="198"/>
        <item x="200"/>
        <item x="121"/>
        <item x="221"/>
        <item x="231"/>
        <item x="170"/>
        <item x="208"/>
        <item x="174"/>
        <item x="224"/>
        <item x="159"/>
        <item x="235"/>
        <item x="128"/>
        <item x="209"/>
        <item x="136"/>
        <item x="189"/>
        <item x="227"/>
        <item x="202"/>
        <item x="239"/>
        <item x="215"/>
        <item x="158"/>
        <item x="176"/>
        <item x="201"/>
        <item x="230"/>
        <item x="213"/>
        <item x="156"/>
        <item x="181"/>
        <item x="178"/>
        <item x="197"/>
        <item x="210"/>
        <item x="147"/>
        <item x="206"/>
        <item x="95"/>
        <item x="101"/>
        <item x="97"/>
        <item x="114"/>
        <item x="142"/>
        <item x="163"/>
        <item x="184"/>
        <item x="115"/>
        <item x="166"/>
        <item x="157"/>
        <item x="190"/>
        <item x="111"/>
        <item x="164"/>
        <item x="160"/>
        <item x="180"/>
        <item x="162"/>
        <item x="110"/>
        <item x="88"/>
        <item x="175"/>
        <item x="116"/>
        <item x="125"/>
        <item x="146"/>
        <item x="165"/>
        <item x="148"/>
        <item x="80"/>
        <item x="173"/>
        <item x="172"/>
        <item x="120"/>
        <item x="104"/>
        <item x="149"/>
        <item x="152"/>
        <item x="77"/>
        <item x="154"/>
        <item x="129"/>
        <item x="85"/>
        <item x="124"/>
        <item x="122"/>
        <item x="155"/>
        <item x="139"/>
        <item x="138"/>
        <item x="79"/>
        <item x="135"/>
        <item x="112"/>
        <item x="143"/>
        <item x="140"/>
        <item x="151"/>
        <item x="82"/>
        <item x="87"/>
        <item x="72"/>
        <item x="127"/>
        <item x="126"/>
        <item x="132"/>
        <item x="102"/>
        <item x="133"/>
        <item x="81"/>
        <item x="123"/>
        <item x="105"/>
        <item x="137"/>
        <item x="119"/>
        <item x="76"/>
        <item x="134"/>
        <item x="118"/>
        <item x="113"/>
        <item x="75"/>
        <item x="103"/>
        <item x="131"/>
        <item x="108"/>
        <item x="92"/>
        <item x="98"/>
        <item x="65"/>
        <item x="109"/>
        <item x="74"/>
        <item x="83"/>
        <item x="117"/>
        <item x="60"/>
        <item x="84"/>
        <item x="107"/>
        <item x="90"/>
        <item x="96"/>
        <item x="100"/>
        <item x="53"/>
        <item x="73"/>
        <item x="94"/>
        <item x="99"/>
        <item x="106"/>
        <item x="68"/>
        <item x="86"/>
        <item x="91"/>
        <item x="67"/>
        <item x="93"/>
        <item x="70"/>
        <item x="50"/>
        <item x="48"/>
        <item x="61"/>
        <item x="57"/>
        <item x="64"/>
        <item x="89"/>
        <item x="71"/>
        <item x="42"/>
        <item x="66"/>
        <item x="51"/>
        <item x="78"/>
        <item x="56"/>
        <item x="62"/>
        <item x="69"/>
        <item x="32"/>
        <item x="49"/>
        <item x="58"/>
        <item x="63"/>
        <item x="30"/>
        <item x="43"/>
        <item x="59"/>
        <item x="36"/>
        <item x="44"/>
        <item x="40"/>
        <item x="55"/>
        <item x="38"/>
        <item x="37"/>
        <item x="46"/>
        <item x="52"/>
        <item x="45"/>
        <item x="54"/>
        <item x="25"/>
        <item x="41"/>
        <item x="26"/>
        <item x="35"/>
        <item x="47"/>
        <item x="31"/>
        <item x="39"/>
        <item x="23"/>
        <item x="33"/>
        <item x="21"/>
        <item x="34"/>
        <item x="19"/>
        <item x="24"/>
        <item x="20"/>
        <item x="18"/>
        <item x="15"/>
        <item x="29"/>
        <item x="28"/>
        <item x="14"/>
        <item x="27"/>
        <item x="22"/>
        <item x="16"/>
        <item x="12"/>
        <item x="10"/>
        <item x="9"/>
        <item x="17"/>
        <item x="8"/>
        <item x="13"/>
        <item x="5"/>
        <item x="11"/>
        <item x="6"/>
        <item x="4"/>
        <item x="7"/>
        <item x="2"/>
        <item x="3"/>
        <item x="1"/>
        <item x="0"/>
        <item t="default"/>
      </items>
    </pivotField>
    <pivotField showAll="0"/>
    <pivotField showAll="0"/>
    <pivotField showAll="0"/>
    <pivotField showAll="0"/>
    <pivotField numFmtId="164" showAll="0"/>
    <pivotField dataField="1" showAll="0"/>
    <pivotField showAll="0">
      <items count="5">
        <item x="3"/>
        <item x="1"/>
        <item x="0"/>
        <item x="2"/>
        <item t="default"/>
      </items>
    </pivotField>
  </pivotFields>
  <rowItems count="1">
    <i/>
  </rowItems>
  <colItems count="1">
    <i/>
  </colItems>
  <dataFields count="1">
    <dataField name="Average of enagement_score" fld="10" subtotal="average" baseField="0"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70AE5E-2411-4ED6-8821-2266726BDF6F}" sourceName="category">
  <pivotTables>
    <pivotTable tabId="16" name="PivotTable22"/>
    <pivotTable tabId="6" name="PivotTable1"/>
    <pivotTable tabId="6" name="PivotTable2"/>
    <pivotTable tabId="6" name="PivotTable3"/>
    <pivotTable tabId="6" name="PivotTable4"/>
    <pivotTable tabId="6" name="PivotTable5"/>
    <pivotTable tabId="5" name="PivotTable1"/>
    <pivotTable tabId="5" name="PivotTable2"/>
    <pivotTable tabId="5" name="PivotTable3"/>
    <pivotTable tabId="5" name="PivotTable4"/>
    <pivotTable tabId="5" name="PivotTable5"/>
    <pivotTable tabId="5" name="PivotTable6"/>
    <pivotTable tabId="16" name="PivotTable20"/>
    <pivotTable tabId="16" name="PivotTable21"/>
    <pivotTable tabId="16" name="PivotTable23"/>
    <pivotTable tabId="7" name="PivotTable10"/>
    <pivotTable tabId="7" name="PivotTable11"/>
    <pivotTable tabId="7" name="PivotTable6"/>
    <pivotTable tabId="7" name="PivotTable7"/>
    <pivotTable tabId="7" name="PivotTable8"/>
    <pivotTable tabId="7" name="PivotTable9"/>
    <pivotTable tabId="12" name="PivotTable12"/>
    <pivotTable tabId="12" name="PivotTable13"/>
    <pivotTable tabId="12" name="PivotTable14"/>
    <pivotTable tabId="12" name="PivotTable15"/>
    <pivotTable tabId="12" name="PivotTable16"/>
    <pivotTable tabId="12" name="PivotTable17"/>
    <pivotTable tabId="6" name="PivotTable7"/>
  </pivotTables>
  <data>
    <tabular pivotCacheId="1515765635">
      <items count="7">
        <i x="6" s="1"/>
        <i x="2" s="1"/>
        <i x="1" s="1"/>
        <i x="3" s="1"/>
        <i x="0"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market" xr10:uid="{8FCCFDA8-A1FD-43BC-A68C-A9CE8320B954}" sourceName="primary_market">
  <pivotTables>
    <pivotTable tabId="16" name="PivotTable22"/>
    <pivotTable tabId="6" name="PivotTable1"/>
    <pivotTable tabId="6" name="PivotTable2"/>
    <pivotTable tabId="6" name="PivotTable3"/>
    <pivotTable tabId="6" name="PivotTable4"/>
    <pivotTable tabId="6" name="PivotTable5"/>
    <pivotTable tabId="6" name="PivotTable7"/>
    <pivotTable tabId="5" name="PivotTable1"/>
    <pivotTable tabId="5" name="PivotTable2"/>
    <pivotTable tabId="5" name="PivotTable3"/>
    <pivotTable tabId="5" name="PivotTable4"/>
    <pivotTable tabId="5" name="PivotTable5"/>
    <pivotTable tabId="5" name="PivotTable6"/>
    <pivotTable tabId="16" name="PivotTable20"/>
    <pivotTable tabId="16" name="PivotTable21"/>
    <pivotTable tabId="16" name="PivotTable23"/>
    <pivotTable tabId="7" name="PivotTable10"/>
    <pivotTable tabId="7" name="PivotTable11"/>
    <pivotTable tabId="7" name="PivotTable6"/>
    <pivotTable tabId="7" name="PivotTable7"/>
    <pivotTable tabId="7" name="PivotTable8"/>
    <pivotTable tabId="7" name="PivotTable9"/>
    <pivotTable tabId="12" name="PivotTable12"/>
    <pivotTable tabId="12" name="PivotTable13"/>
    <pivotTable tabId="12" name="PivotTable14"/>
    <pivotTable tabId="12" name="PivotTable15"/>
    <pivotTable tabId="12" name="PivotTable16"/>
    <pivotTable tabId="12" name="PivotTable17"/>
  </pivotTables>
  <data>
    <tabular pivotCacheId="1515765635">
      <items count="6">
        <i x="2" s="1"/>
        <i x="0" s="1"/>
        <i x="3" s="1"/>
        <i x="1"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ffic_tier" xr10:uid="{AC7AB235-F73A-4201-8C88-172229C8504C}" sourceName="traffic_tier">
  <pivotTables>
    <pivotTable tabId="16" name="PivotTable22"/>
    <pivotTable tabId="6" name="PivotTable1"/>
    <pivotTable tabId="6" name="PivotTable2"/>
    <pivotTable tabId="6" name="PivotTable3"/>
    <pivotTable tabId="6" name="PivotTable4"/>
    <pivotTable tabId="6" name="PivotTable5"/>
    <pivotTable tabId="6" name="PivotTable7"/>
    <pivotTable tabId="5" name="PivotTable1"/>
    <pivotTable tabId="5" name="PivotTable2"/>
    <pivotTable tabId="5" name="PivotTable3"/>
    <pivotTable tabId="5" name="PivotTable4"/>
    <pivotTable tabId="5" name="PivotTable5"/>
    <pivotTable tabId="5" name="PivotTable6"/>
    <pivotTable tabId="16" name="PivotTable20"/>
    <pivotTable tabId="16" name="PivotTable21"/>
    <pivotTable tabId="16" name="PivotTable23"/>
    <pivotTable tabId="7" name="PivotTable10"/>
    <pivotTable tabId="7" name="PivotTable11"/>
    <pivotTable tabId="7" name="PivotTable6"/>
    <pivotTable tabId="7" name="PivotTable7"/>
    <pivotTable tabId="7" name="PivotTable8"/>
    <pivotTable tabId="7" name="PivotTable9"/>
    <pivotTable tabId="12" name="PivotTable12"/>
    <pivotTable tabId="12" name="PivotTable13"/>
    <pivotTable tabId="12" name="PivotTable14"/>
    <pivotTable tabId="12" name="PivotTable15"/>
    <pivotTable tabId="12" name="PivotTable16"/>
    <pivotTable tabId="12" name="PivotTable17"/>
  </pivotTables>
  <data>
    <tabular pivotCacheId="1515765635">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2C72191-5CEE-4B17-8928-E5B6D48F2EB3}" cache="Slicer_category" caption="category" rowHeight="241300"/>
  <slicer name="primary_market" xr10:uid="{ED4919E9-5F4E-4F3F-AD07-2326381D0F27}" cache="Slicer_primary_market" caption="primary_market" rowHeight="241300"/>
  <slicer name="traffic_tier" xr10:uid="{3A4C9A88-69D4-49BD-9735-15A96464A7EC}" cache="Slicer_traffic_tier" caption="traffic_ti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B3DBC26-304B-4A5E-BC54-777E607190A9}" cache="Slicer_category" caption="Filter By Category" columnCount="3" style="SlicerStyleLight4" rowHeight="241300"/>
  <slicer name="primary_market 1" xr10:uid="{759A2BBF-7917-4D64-BB8E-A6C2D5313D01}" cache="Slicer_primary_market" caption="Filter by Market" columnCount="2" rowHeight="241300"/>
  <slicer name="traffic_tier 1" xr10:uid="{7C6879CC-1004-490E-8B84-18E8B6D3510F}" cache="Slicer_traffic_tier" caption="Filter By Tier" columnCount="2"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0F75D66-B56D-49E9-900D-B41EAAF39A93}" name="Table8" displayName="Table8" ref="Y11:Z18" totalsRowShown="0">
  <autoFilter ref="Y11:Z18" xr:uid="{D0F75D66-B56D-49E9-900D-B41EAAF39A93}"/>
  <tableColumns count="2">
    <tableColumn id="1" xr3:uid="{6F63533A-5FCC-4381-A352-28C6DEF422D5}" name="Row Labels"/>
    <tableColumn id="2" xr3:uid="{67509AE3-3E8E-4DBA-ACB2-3DD75F8DB8CE}" name="Sum of monthly_visits"/>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75E967-9C67-40E0-8350-6D5EC0AFEBA3}" name="Table9" displayName="Table9" ref="Z6:AA12" totalsRowShown="0">
  <autoFilter ref="Z6:AA12" xr:uid="{AF75E967-9C67-40E0-8350-6D5EC0AFEBA3}"/>
  <tableColumns count="2">
    <tableColumn id="1" xr3:uid="{1B666283-A717-4A89-B189-3ED10D161C02}" name="Row Labels"/>
    <tableColumn id="2" xr3:uid="{2B1A512A-0652-4E7C-B9F7-D60E561F64E0}" name="Average of monthly_visits"/>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6049A34-62E6-4C06-BE7A-0686E7EA2227}" name="Table10" displayName="Table10" ref="Y4:Z8" totalsRowShown="0">
  <autoFilter ref="Y4:Z8" xr:uid="{26049A34-62E6-4C06-BE7A-0686E7EA2227}"/>
  <tableColumns count="2">
    <tableColumn id="1" xr3:uid="{0897E6A8-FB7D-42AE-A522-6548B3F7F745}" name="Row Labels"/>
    <tableColumn id="2" xr3:uid="{5E2E8A63-D084-4E8B-AD4D-DABA73BF2125}" name="Sum of monthly_visits"/>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9.xml"/><Relationship Id="rId7"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15.xml"/><Relationship Id="rId7" Type="http://schemas.openxmlformats.org/officeDocument/2006/relationships/drawing" Target="../drawings/drawing3.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6.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21.xml"/><Relationship Id="rId7" Type="http://schemas.openxmlformats.org/officeDocument/2006/relationships/drawing" Target="../drawings/drawing4.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5" Type="http://schemas.openxmlformats.org/officeDocument/2006/relationships/pivotTable" Target="../pivotTables/pivotTable23.xml"/><Relationship Id="rId4" Type="http://schemas.openxmlformats.org/officeDocument/2006/relationships/pivotTable" Target="../pivotTables/pivotTable2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27.xml"/><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microsoft.com/office/2007/relationships/slicer" Target="../slicers/slicer1.xml"/><Relationship Id="rId5" Type="http://schemas.openxmlformats.org/officeDocument/2006/relationships/drawing" Target="../drawings/drawing5.xml"/><Relationship Id="rId4" Type="http://schemas.openxmlformats.org/officeDocument/2006/relationships/pivotTable" Target="../pivotTables/pivotTable28.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BF7D0-B1B3-4F7F-A6EC-6A54CC1A4D3C}">
  <sheetPr>
    <tabColor rgb="FFFFFF00"/>
  </sheetPr>
  <dimension ref="A1:L1501"/>
  <sheetViews>
    <sheetView workbookViewId="0">
      <selection activeCell="C15" sqref="C15"/>
    </sheetView>
  </sheetViews>
  <sheetFormatPr defaultColWidth="25.140625" defaultRowHeight="15" x14ac:dyDescent="0.25"/>
  <cols>
    <col min="5" max="5" width="25.140625" style="4"/>
    <col min="10" max="10" width="25.140625" style="5"/>
  </cols>
  <sheetData>
    <row r="1" spans="1:12" x14ac:dyDescent="0.25">
      <c r="A1" t="s">
        <v>0</v>
      </c>
      <c r="B1" t="s">
        <v>1</v>
      </c>
      <c r="C1" t="s">
        <v>2</v>
      </c>
      <c r="D1" t="s">
        <v>3</v>
      </c>
      <c r="E1" s="4" t="s">
        <v>4</v>
      </c>
      <c r="F1" t="s">
        <v>5</v>
      </c>
      <c r="G1" t="s">
        <v>1528</v>
      </c>
      <c r="H1" t="s">
        <v>1531</v>
      </c>
      <c r="I1" t="s">
        <v>7</v>
      </c>
      <c r="J1" s="5" t="s">
        <v>8</v>
      </c>
      <c r="K1" t="s">
        <v>1529</v>
      </c>
      <c r="L1" t="s">
        <v>1530</v>
      </c>
    </row>
    <row r="2" spans="1:12" x14ac:dyDescent="0.25">
      <c r="A2">
        <v>1</v>
      </c>
      <c r="B2" t="s">
        <v>9</v>
      </c>
      <c r="C2" t="s">
        <v>10</v>
      </c>
      <c r="D2" t="s">
        <v>11</v>
      </c>
      <c r="E2" s="4">
        <v>996572612</v>
      </c>
      <c r="F2">
        <v>56.85</v>
      </c>
      <c r="G2">
        <v>8.3000000000000007</v>
      </c>
      <c r="H2">
        <v>497.97</v>
      </c>
      <c r="I2">
        <v>14.6</v>
      </c>
      <c r="J2" s="5">
        <v>46060</v>
      </c>
      <c r="K2">
        <f>ROUND((100-F2)*0.5 + I2*0.5,2)</f>
        <v>28.88</v>
      </c>
      <c r="L2" t="str" cm="1">
        <f t="array" ref="L2">_xlfn.IFS(E2&gt;=52000000,"Platinum",E2&gt;=37000000,"Gold",E2&gt;=30000000,"Sliver",E2&lt;30000000,"Bronze")</f>
        <v>Platinum</v>
      </c>
    </row>
    <row r="3" spans="1:12" x14ac:dyDescent="0.25">
      <c r="A3">
        <v>2</v>
      </c>
      <c r="B3" t="s">
        <v>12</v>
      </c>
      <c r="C3" t="s">
        <v>10</v>
      </c>
      <c r="D3" t="s">
        <v>13</v>
      </c>
      <c r="E3" s="4">
        <v>635529412</v>
      </c>
      <c r="F3">
        <v>40.19</v>
      </c>
      <c r="G3">
        <v>4.6900000000000004</v>
      </c>
      <c r="H3">
        <v>281.25</v>
      </c>
      <c r="I3">
        <v>11.66</v>
      </c>
      <c r="J3" s="5">
        <v>46060</v>
      </c>
      <c r="K3">
        <f t="shared" ref="K3:K66" si="0">ROUND((100-F3)*0.5 + I3*0.5,2)</f>
        <v>35.74</v>
      </c>
      <c r="L3" t="str" cm="1">
        <f t="array" ref="L3">_xlfn.IFS(E3&gt;=52000000,"Platinum",E3&gt;=37000000,"Gold",E3&gt;=30000000,"Sliver",E3&lt;30000000,"Bronze")</f>
        <v>Platinum</v>
      </c>
    </row>
    <row r="4" spans="1:12" x14ac:dyDescent="0.25">
      <c r="A4">
        <v>3</v>
      </c>
      <c r="B4" t="s">
        <v>14</v>
      </c>
      <c r="C4" t="s">
        <v>10</v>
      </c>
      <c r="D4" t="s">
        <v>13</v>
      </c>
      <c r="E4" s="4">
        <v>525892610</v>
      </c>
      <c r="F4">
        <v>59.96</v>
      </c>
      <c r="G4">
        <v>8.4499999999999993</v>
      </c>
      <c r="H4">
        <v>507.02</v>
      </c>
      <c r="I4">
        <v>14.09</v>
      </c>
      <c r="J4" s="5">
        <v>46060</v>
      </c>
      <c r="K4">
        <f t="shared" si="0"/>
        <v>27.07</v>
      </c>
      <c r="L4" t="str" cm="1">
        <f t="array" ref="L4">_xlfn.IFS(E4&gt;=52000000,"Platinum",E4&gt;=37000000,"Gold",E4&gt;=30000000,"Sliver",E4&lt;30000000,"Bronze")</f>
        <v>Platinum</v>
      </c>
    </row>
    <row r="5" spans="1:12" x14ac:dyDescent="0.25">
      <c r="A5">
        <v>4</v>
      </c>
      <c r="B5" t="s">
        <v>15</v>
      </c>
      <c r="C5" t="s">
        <v>16</v>
      </c>
      <c r="D5" t="s">
        <v>17</v>
      </c>
      <c r="E5" s="4">
        <v>589445551</v>
      </c>
      <c r="F5">
        <v>34.35</v>
      </c>
      <c r="G5">
        <v>3.23</v>
      </c>
      <c r="H5">
        <v>193.58</v>
      </c>
      <c r="I5">
        <v>9.39</v>
      </c>
      <c r="J5" s="5">
        <v>46060</v>
      </c>
      <c r="K5">
        <f t="shared" si="0"/>
        <v>37.520000000000003</v>
      </c>
      <c r="L5" t="str" cm="1">
        <f t="array" ref="L5">_xlfn.IFS(E5&gt;=52000000,"Platinum",E5&gt;=37000000,"Gold",E5&gt;=30000000,"Sliver",E5&lt;30000000,"Bronze")</f>
        <v>Platinum</v>
      </c>
    </row>
    <row r="6" spans="1:12" x14ac:dyDescent="0.25">
      <c r="A6">
        <v>5</v>
      </c>
      <c r="B6" t="s">
        <v>18</v>
      </c>
      <c r="C6" t="s">
        <v>19</v>
      </c>
      <c r="D6" t="s">
        <v>17</v>
      </c>
      <c r="E6" s="4">
        <v>402317681</v>
      </c>
      <c r="F6">
        <v>42.3</v>
      </c>
      <c r="G6">
        <v>5.0199999999999996</v>
      </c>
      <c r="H6">
        <v>300.91000000000003</v>
      </c>
      <c r="I6">
        <v>11.86</v>
      </c>
      <c r="J6" s="5">
        <v>46060</v>
      </c>
      <c r="K6">
        <f t="shared" si="0"/>
        <v>34.78</v>
      </c>
      <c r="L6" t="str" cm="1">
        <f t="array" ref="L6">_xlfn.IFS(E6&gt;=52000000,"Platinum",E6&gt;=37000000,"Gold",E6&gt;=30000000,"Sliver",E6&lt;30000000,"Bronze")</f>
        <v>Platinum</v>
      </c>
    </row>
    <row r="7" spans="1:12" x14ac:dyDescent="0.25">
      <c r="A7">
        <v>6</v>
      </c>
      <c r="B7" t="s">
        <v>20</v>
      </c>
      <c r="C7" t="s">
        <v>21</v>
      </c>
      <c r="D7" t="s">
        <v>22</v>
      </c>
      <c r="E7" s="4">
        <v>334143655</v>
      </c>
      <c r="F7">
        <v>49.34</v>
      </c>
      <c r="G7">
        <v>1.25</v>
      </c>
      <c r="H7">
        <v>74.709999999999994</v>
      </c>
      <c r="I7">
        <v>2.52</v>
      </c>
      <c r="J7" s="5">
        <v>46060</v>
      </c>
      <c r="K7">
        <f t="shared" si="0"/>
        <v>26.59</v>
      </c>
      <c r="L7" t="str" cm="1">
        <f t="array" ref="L7">_xlfn.IFS(E7&gt;=52000000,"Platinum",E7&gt;=37000000,"Gold",E7&gt;=30000000,"Sliver",E7&lt;30000000,"Bronze")</f>
        <v>Platinum</v>
      </c>
    </row>
    <row r="8" spans="1:12" x14ac:dyDescent="0.25">
      <c r="A8">
        <v>7</v>
      </c>
      <c r="B8" t="s">
        <v>23</v>
      </c>
      <c r="C8" t="s">
        <v>10</v>
      </c>
      <c r="D8" t="s">
        <v>22</v>
      </c>
      <c r="E8" s="4">
        <v>376941229</v>
      </c>
      <c r="F8">
        <v>55.65</v>
      </c>
      <c r="G8">
        <v>6.49</v>
      </c>
      <c r="H8">
        <v>389.54</v>
      </c>
      <c r="I8">
        <v>11.67</v>
      </c>
      <c r="J8" s="5">
        <v>46060</v>
      </c>
      <c r="K8">
        <f t="shared" si="0"/>
        <v>28.01</v>
      </c>
      <c r="L8" t="str" cm="1">
        <f t="array" ref="L8">_xlfn.IFS(E8&gt;=52000000,"Platinum",E8&gt;=37000000,"Gold",E8&gt;=30000000,"Sliver",E8&lt;30000000,"Bronze")</f>
        <v>Platinum</v>
      </c>
    </row>
    <row r="9" spans="1:12" x14ac:dyDescent="0.25">
      <c r="A9">
        <v>8</v>
      </c>
      <c r="B9" t="s">
        <v>24</v>
      </c>
      <c r="C9" t="s">
        <v>10</v>
      </c>
      <c r="D9" t="s">
        <v>25</v>
      </c>
      <c r="E9" s="4">
        <v>415012900</v>
      </c>
      <c r="F9">
        <v>39.04</v>
      </c>
      <c r="G9">
        <v>5.0599999999999996</v>
      </c>
      <c r="H9">
        <v>303.73</v>
      </c>
      <c r="I9">
        <v>12.97</v>
      </c>
      <c r="J9" s="5">
        <v>46060</v>
      </c>
      <c r="K9">
        <f t="shared" si="0"/>
        <v>36.97</v>
      </c>
      <c r="L9" t="str" cm="1">
        <f t="array" ref="L9">_xlfn.IFS(E9&gt;=52000000,"Platinum",E9&gt;=37000000,"Gold",E9&gt;=30000000,"Sliver",E9&lt;30000000,"Bronze")</f>
        <v>Platinum</v>
      </c>
    </row>
    <row r="10" spans="1:12" x14ac:dyDescent="0.25">
      <c r="A10">
        <v>9</v>
      </c>
      <c r="B10" t="s">
        <v>26</v>
      </c>
      <c r="C10" t="s">
        <v>27</v>
      </c>
      <c r="D10" t="s">
        <v>17</v>
      </c>
      <c r="E10" s="4">
        <v>296821826</v>
      </c>
      <c r="F10">
        <v>29.58</v>
      </c>
      <c r="G10">
        <v>28.58</v>
      </c>
      <c r="H10">
        <v>1715.01</v>
      </c>
      <c r="I10">
        <v>96.63</v>
      </c>
      <c r="J10" s="5">
        <v>46060</v>
      </c>
      <c r="K10">
        <f t="shared" si="0"/>
        <v>83.53</v>
      </c>
      <c r="L10" t="str" cm="1">
        <f t="array" ref="L10">_xlfn.IFS(E10&gt;=52000000,"Platinum",E10&gt;=37000000,"Gold",E10&gt;=30000000,"Sliver",E10&lt;30000000,"Bronze")</f>
        <v>Platinum</v>
      </c>
    </row>
    <row r="11" spans="1:12" x14ac:dyDescent="0.25">
      <c r="A11">
        <v>10</v>
      </c>
      <c r="B11" t="s">
        <v>28</v>
      </c>
      <c r="C11" t="s">
        <v>29</v>
      </c>
      <c r="D11" t="s">
        <v>11</v>
      </c>
      <c r="E11" s="4">
        <v>263102204</v>
      </c>
      <c r="F11">
        <v>38.340000000000003</v>
      </c>
      <c r="G11">
        <v>2.63</v>
      </c>
      <c r="H11">
        <v>157.76</v>
      </c>
      <c r="I11">
        <v>6.86</v>
      </c>
      <c r="J11" s="5">
        <v>46060</v>
      </c>
      <c r="K11">
        <f t="shared" si="0"/>
        <v>34.26</v>
      </c>
      <c r="L11" t="str" cm="1">
        <f t="array" ref="L11">_xlfn.IFS(E11&gt;=52000000,"Platinum",E11&gt;=37000000,"Gold",E11&gt;=30000000,"Sliver",E11&lt;30000000,"Bronze")</f>
        <v>Platinum</v>
      </c>
    </row>
    <row r="12" spans="1:12" x14ac:dyDescent="0.25">
      <c r="A12">
        <v>11</v>
      </c>
      <c r="B12" t="s">
        <v>30</v>
      </c>
      <c r="C12" t="s">
        <v>19</v>
      </c>
      <c r="D12" t="s">
        <v>11</v>
      </c>
      <c r="E12" s="4">
        <v>252270262</v>
      </c>
      <c r="F12">
        <v>52.58</v>
      </c>
      <c r="G12">
        <v>7.73</v>
      </c>
      <c r="H12">
        <v>464</v>
      </c>
      <c r="I12">
        <v>14.71</v>
      </c>
      <c r="J12" s="5">
        <v>46060</v>
      </c>
      <c r="K12">
        <f t="shared" si="0"/>
        <v>31.07</v>
      </c>
      <c r="L12" t="str" cm="1">
        <f t="array" ref="L12">_xlfn.IFS(E12&gt;=52000000,"Platinum",E12&gt;=37000000,"Gold",E12&gt;=30000000,"Sliver",E12&lt;30000000,"Bronze")</f>
        <v>Platinum</v>
      </c>
    </row>
    <row r="13" spans="1:12" x14ac:dyDescent="0.25">
      <c r="A13">
        <v>12</v>
      </c>
      <c r="B13" t="s">
        <v>31</v>
      </c>
      <c r="C13" t="s">
        <v>16</v>
      </c>
      <c r="D13" t="s">
        <v>32</v>
      </c>
      <c r="E13" s="4">
        <v>346164172</v>
      </c>
      <c r="F13">
        <v>55.04</v>
      </c>
      <c r="G13">
        <v>8.06</v>
      </c>
      <c r="H13">
        <v>483.48</v>
      </c>
      <c r="I13">
        <v>14.64</v>
      </c>
      <c r="J13" s="5">
        <v>46060</v>
      </c>
      <c r="K13">
        <f t="shared" si="0"/>
        <v>29.8</v>
      </c>
      <c r="L13" t="str" cm="1">
        <f t="array" ref="L13">_xlfn.IFS(E13&gt;=52000000,"Platinum",E13&gt;=37000000,"Gold",E13&gt;=30000000,"Sliver",E13&lt;30000000,"Bronze")</f>
        <v>Platinum</v>
      </c>
    </row>
    <row r="14" spans="1:12" x14ac:dyDescent="0.25">
      <c r="A14">
        <v>13</v>
      </c>
      <c r="B14" t="s">
        <v>33</v>
      </c>
      <c r="C14" t="s">
        <v>19</v>
      </c>
      <c r="D14" t="s">
        <v>11</v>
      </c>
      <c r="E14" s="4">
        <v>249773462</v>
      </c>
      <c r="F14">
        <v>32</v>
      </c>
      <c r="G14">
        <v>2.09</v>
      </c>
      <c r="H14">
        <v>125.61</v>
      </c>
      <c r="I14">
        <v>6.54</v>
      </c>
      <c r="J14" s="5">
        <v>46060</v>
      </c>
      <c r="K14">
        <f t="shared" si="0"/>
        <v>37.270000000000003</v>
      </c>
      <c r="L14" t="str" cm="1">
        <f t="array" ref="L14">_xlfn.IFS(E14&gt;=52000000,"Platinum",E14&gt;=37000000,"Gold",E14&gt;=30000000,"Sliver",E14&lt;30000000,"Bronze")</f>
        <v>Platinum</v>
      </c>
    </row>
    <row r="15" spans="1:12" x14ac:dyDescent="0.25">
      <c r="A15">
        <v>14</v>
      </c>
      <c r="B15" t="s">
        <v>34</v>
      </c>
      <c r="C15" t="s">
        <v>10</v>
      </c>
      <c r="D15" s="1" t="s">
        <v>32</v>
      </c>
      <c r="E15" s="4">
        <v>307122589</v>
      </c>
      <c r="F15">
        <v>47.51</v>
      </c>
      <c r="G15">
        <v>5.68</v>
      </c>
      <c r="H15">
        <v>341.08</v>
      </c>
      <c r="I15">
        <v>11.97</v>
      </c>
      <c r="J15" s="5">
        <v>46060</v>
      </c>
      <c r="K15">
        <f t="shared" si="0"/>
        <v>32.229999999999997</v>
      </c>
      <c r="L15" t="str" cm="1">
        <f t="array" ref="L15">_xlfn.IFS(E15&gt;=52000000,"Platinum",E15&gt;=37000000,"Gold",E15&gt;=30000000,"Sliver",E15&lt;30000000,"Bronze")</f>
        <v>Platinum</v>
      </c>
    </row>
    <row r="16" spans="1:12" x14ac:dyDescent="0.25">
      <c r="A16">
        <v>15</v>
      </c>
      <c r="B16" t="s">
        <v>35</v>
      </c>
      <c r="C16" t="s">
        <v>21</v>
      </c>
      <c r="D16" t="s">
        <v>13</v>
      </c>
      <c r="E16" s="4">
        <v>216739182</v>
      </c>
      <c r="F16">
        <v>47.19</v>
      </c>
      <c r="G16">
        <v>5.72</v>
      </c>
      <c r="H16" s="1">
        <f>CALCULATION!$D$11</f>
        <v>343.315</v>
      </c>
      <c r="I16">
        <v>3.89</v>
      </c>
      <c r="J16" s="5">
        <v>46060</v>
      </c>
      <c r="K16">
        <f t="shared" si="0"/>
        <v>28.35</v>
      </c>
      <c r="L16" t="str" cm="1">
        <f t="array" ref="L16">_xlfn.IFS(E16&gt;=52000000,"Platinum",E16&gt;=37000000,"Gold",E16&gt;=30000000,"Sliver",E16&lt;30000000,"Bronze")</f>
        <v>Platinum</v>
      </c>
    </row>
    <row r="17" spans="1:12" x14ac:dyDescent="0.25">
      <c r="A17">
        <v>16</v>
      </c>
      <c r="B17" t="s">
        <v>36</v>
      </c>
      <c r="C17" t="s">
        <v>27</v>
      </c>
      <c r="D17" t="s">
        <v>17</v>
      </c>
      <c r="E17" s="4">
        <v>211271952</v>
      </c>
      <c r="F17">
        <v>19.510000000000002</v>
      </c>
      <c r="G17">
        <v>30.77</v>
      </c>
      <c r="H17">
        <v>1845.97</v>
      </c>
      <c r="I17">
        <v>157.69</v>
      </c>
      <c r="J17" s="5">
        <v>46060</v>
      </c>
      <c r="K17">
        <f t="shared" si="0"/>
        <v>119.09</v>
      </c>
      <c r="L17" t="str" cm="1">
        <f t="array" ref="L17">_xlfn.IFS(E17&gt;=52000000,"Platinum",E17&gt;=37000000,"Gold",E17&gt;=30000000,"Sliver",E17&lt;30000000,"Bronze")</f>
        <v>Platinum</v>
      </c>
    </row>
    <row r="18" spans="1:12" x14ac:dyDescent="0.25">
      <c r="A18">
        <v>17</v>
      </c>
      <c r="B18" t="s">
        <v>37</v>
      </c>
      <c r="C18" t="s">
        <v>27</v>
      </c>
      <c r="D18" t="s">
        <v>25</v>
      </c>
      <c r="E18" s="4">
        <v>236317374</v>
      </c>
      <c r="F18">
        <v>22.06</v>
      </c>
      <c r="G18">
        <v>39.15</v>
      </c>
      <c r="H18">
        <v>2348.96</v>
      </c>
      <c r="I18">
        <v>177.47</v>
      </c>
      <c r="J18" s="5">
        <v>46060</v>
      </c>
      <c r="K18">
        <f t="shared" si="0"/>
        <v>127.71</v>
      </c>
      <c r="L18" t="str" cm="1">
        <f t="array" ref="L18">_xlfn.IFS(E18&gt;=52000000,"Platinum",E18&gt;=37000000,"Gold",E18&gt;=30000000,"Sliver",E18&lt;30000000,"Bronze")</f>
        <v>Platinum</v>
      </c>
    </row>
    <row r="19" spans="1:12" x14ac:dyDescent="0.25">
      <c r="A19">
        <v>18</v>
      </c>
      <c r="B19" t="s">
        <v>38</v>
      </c>
      <c r="C19" t="s">
        <v>27</v>
      </c>
      <c r="D19" t="s">
        <v>13</v>
      </c>
      <c r="E19" s="4">
        <v>273843355</v>
      </c>
      <c r="F19">
        <v>28.29</v>
      </c>
      <c r="G19">
        <v>14.76</v>
      </c>
      <c r="H19">
        <v>885.83</v>
      </c>
      <c r="I19">
        <v>52.19</v>
      </c>
      <c r="J19" s="5">
        <v>46060</v>
      </c>
      <c r="K19">
        <f t="shared" si="0"/>
        <v>61.95</v>
      </c>
      <c r="L19" t="str" cm="1">
        <f t="array" ref="L19">_xlfn.IFS(E19&gt;=52000000,"Platinum",E19&gt;=37000000,"Gold",E19&gt;=30000000,"Sliver",E19&lt;30000000,"Bronze")</f>
        <v>Platinum</v>
      </c>
    </row>
    <row r="20" spans="1:12" x14ac:dyDescent="0.25">
      <c r="A20">
        <v>19</v>
      </c>
      <c r="B20" t="s">
        <v>39</v>
      </c>
      <c r="C20" t="s">
        <v>10</v>
      </c>
      <c r="D20" t="s">
        <v>32</v>
      </c>
      <c r="E20" s="4">
        <v>207815027</v>
      </c>
      <c r="F20">
        <v>46.04</v>
      </c>
      <c r="G20">
        <v>3.45</v>
      </c>
      <c r="H20">
        <v>206.72</v>
      </c>
      <c r="I20">
        <v>7.48</v>
      </c>
      <c r="J20" s="5">
        <v>46060</v>
      </c>
      <c r="K20">
        <f t="shared" si="0"/>
        <v>30.72</v>
      </c>
      <c r="L20" t="str" cm="1">
        <f t="array" ref="L20">_xlfn.IFS(E20&gt;=52000000,"Platinum",E20&gt;=37000000,"Gold",E20&gt;=30000000,"Sliver",E20&lt;30000000,"Bronze")</f>
        <v>Platinum</v>
      </c>
    </row>
    <row r="21" spans="1:12" x14ac:dyDescent="0.25">
      <c r="A21">
        <v>20</v>
      </c>
      <c r="B21" t="s">
        <v>40</v>
      </c>
      <c r="C21" t="s">
        <v>27</v>
      </c>
      <c r="D21" t="s">
        <v>13</v>
      </c>
      <c r="E21" s="4">
        <v>191331971</v>
      </c>
      <c r="F21">
        <v>23.77</v>
      </c>
      <c r="G21">
        <v>31.48</v>
      </c>
      <c r="H21">
        <v>1888.92</v>
      </c>
      <c r="I21">
        <v>132.44</v>
      </c>
      <c r="J21" s="5">
        <v>46060</v>
      </c>
      <c r="K21">
        <f t="shared" si="0"/>
        <v>104.34</v>
      </c>
      <c r="L21" t="str" cm="1">
        <f t="array" ref="L21">_xlfn.IFS(E21&gt;=52000000,"Platinum",E21&gt;=37000000,"Gold",E21&gt;=30000000,"Sliver",E21&lt;30000000,"Bronze")</f>
        <v>Platinum</v>
      </c>
    </row>
    <row r="22" spans="1:12" x14ac:dyDescent="0.25">
      <c r="A22">
        <v>21</v>
      </c>
      <c r="B22" t="s">
        <v>41</v>
      </c>
      <c r="C22" t="s">
        <v>16</v>
      </c>
      <c r="D22" t="s">
        <v>11</v>
      </c>
      <c r="E22" s="4">
        <v>202396575</v>
      </c>
      <c r="F22">
        <v>42.42</v>
      </c>
      <c r="G22">
        <v>8.9700000000000006</v>
      </c>
      <c r="H22">
        <v>538.04999999999995</v>
      </c>
      <c r="I22">
        <v>21.14</v>
      </c>
      <c r="J22" s="5">
        <v>46060</v>
      </c>
      <c r="K22">
        <f t="shared" si="0"/>
        <v>39.36</v>
      </c>
      <c r="L22" t="str" cm="1">
        <f t="array" ref="L22">_xlfn.IFS(E22&gt;=52000000,"Platinum",E22&gt;=37000000,"Gold",E22&gt;=30000000,"Sliver",E22&lt;30000000,"Bronze")</f>
        <v>Platinum</v>
      </c>
    </row>
    <row r="23" spans="1:12" x14ac:dyDescent="0.25">
      <c r="A23">
        <v>22</v>
      </c>
      <c r="B23" t="s">
        <v>42</v>
      </c>
      <c r="C23" t="s">
        <v>21</v>
      </c>
      <c r="D23" t="s">
        <v>32</v>
      </c>
      <c r="E23" s="4">
        <v>185606465</v>
      </c>
      <c r="F23">
        <v>36.090000000000003</v>
      </c>
      <c r="G23">
        <v>2.42</v>
      </c>
      <c r="H23">
        <v>145.4</v>
      </c>
      <c r="I23">
        <v>6.71</v>
      </c>
      <c r="J23" s="5">
        <v>46060</v>
      </c>
      <c r="K23">
        <f t="shared" si="0"/>
        <v>35.31</v>
      </c>
      <c r="L23" t="str" cm="1">
        <f t="array" ref="L23">_xlfn.IFS(E23&gt;=52000000,"Platinum",E23&gt;=37000000,"Gold",E23&gt;=30000000,"Sliver",E23&lt;30000000,"Bronze")</f>
        <v>Platinum</v>
      </c>
    </row>
    <row r="24" spans="1:12" x14ac:dyDescent="0.25">
      <c r="A24">
        <v>23</v>
      </c>
      <c r="B24" t="s">
        <v>43</v>
      </c>
      <c r="C24" t="s">
        <v>21</v>
      </c>
      <c r="D24" t="s">
        <v>13</v>
      </c>
      <c r="E24" s="4">
        <v>222002758</v>
      </c>
      <c r="F24">
        <v>44.2</v>
      </c>
      <c r="G24">
        <v>1.66</v>
      </c>
      <c r="H24">
        <v>99.63</v>
      </c>
      <c r="I24">
        <v>3.76</v>
      </c>
      <c r="J24" s="5">
        <v>46060</v>
      </c>
      <c r="K24">
        <f t="shared" si="0"/>
        <v>29.78</v>
      </c>
      <c r="L24" t="str" cm="1">
        <f t="array" ref="L24">_xlfn.IFS(E24&gt;=52000000,"Platinum",E24&gt;=37000000,"Gold",E24&gt;=30000000,"Sliver",E24&lt;30000000,"Bronze")</f>
        <v>Platinum</v>
      </c>
    </row>
    <row r="25" spans="1:12" x14ac:dyDescent="0.25">
      <c r="A25">
        <v>24</v>
      </c>
      <c r="B25" t="s">
        <v>44</v>
      </c>
      <c r="C25" s="1" t="s">
        <v>21</v>
      </c>
      <c r="D25" t="s">
        <v>13</v>
      </c>
      <c r="E25" s="4">
        <v>176310109</v>
      </c>
      <c r="F25">
        <v>18.670000000000002</v>
      </c>
      <c r="G25">
        <v>14.19</v>
      </c>
      <c r="H25">
        <v>851.62</v>
      </c>
      <c r="I25">
        <v>76.02</v>
      </c>
      <c r="J25" s="5">
        <v>46060</v>
      </c>
      <c r="K25">
        <f t="shared" si="0"/>
        <v>78.680000000000007</v>
      </c>
      <c r="L25" t="str" cm="1">
        <f t="array" ref="L25">_xlfn.IFS(E25&gt;=52000000,"Platinum",E25&gt;=37000000,"Gold",E25&gt;=30000000,"Sliver",E25&lt;30000000,"Bronze")</f>
        <v>Platinum</v>
      </c>
    </row>
    <row r="26" spans="1:12" x14ac:dyDescent="0.25">
      <c r="A26">
        <v>25</v>
      </c>
      <c r="B26" t="s">
        <v>45</v>
      </c>
      <c r="C26" t="s">
        <v>46</v>
      </c>
      <c r="D26" t="s">
        <v>17</v>
      </c>
      <c r="E26" s="4">
        <v>200157336</v>
      </c>
      <c r="F26">
        <v>36.229999999999997</v>
      </c>
      <c r="G26">
        <v>2.19</v>
      </c>
      <c r="H26">
        <v>131.35</v>
      </c>
      <c r="I26">
        <v>6.04</v>
      </c>
      <c r="J26" s="5">
        <v>46060</v>
      </c>
      <c r="K26">
        <f t="shared" si="0"/>
        <v>34.909999999999997</v>
      </c>
      <c r="L26" t="str" cm="1">
        <f t="array" ref="L26">_xlfn.IFS(E26&gt;=52000000,"Platinum",E26&gt;=37000000,"Gold",E26&gt;=30000000,"Sliver",E26&lt;30000000,"Bronze")</f>
        <v>Platinum</v>
      </c>
    </row>
    <row r="27" spans="1:12" x14ac:dyDescent="0.25">
      <c r="A27">
        <v>26</v>
      </c>
      <c r="B27" t="s">
        <v>47</v>
      </c>
      <c r="C27" t="s">
        <v>16</v>
      </c>
      <c r="D27" t="s">
        <v>22</v>
      </c>
      <c r="E27" s="4">
        <v>161153089</v>
      </c>
      <c r="F27">
        <v>40.06</v>
      </c>
      <c r="G27">
        <v>3.04</v>
      </c>
      <c r="H27">
        <v>182.28</v>
      </c>
      <c r="I27">
        <v>7.58</v>
      </c>
      <c r="J27" s="5">
        <v>46060</v>
      </c>
      <c r="K27">
        <f t="shared" si="0"/>
        <v>33.76</v>
      </c>
      <c r="L27" t="str" cm="1">
        <f t="array" ref="L27">_xlfn.IFS(E27&gt;=52000000,"Platinum",E27&gt;=37000000,"Gold",E27&gt;=30000000,"Sliver",E27&lt;30000000,"Bronze")</f>
        <v>Platinum</v>
      </c>
    </row>
    <row r="28" spans="1:12" x14ac:dyDescent="0.25">
      <c r="A28">
        <v>27</v>
      </c>
      <c r="B28" t="s">
        <v>48</v>
      </c>
      <c r="C28" t="s">
        <v>19</v>
      </c>
      <c r="D28" t="s">
        <v>25</v>
      </c>
      <c r="E28" s="4">
        <v>167022433</v>
      </c>
      <c r="F28">
        <v>58.03</v>
      </c>
      <c r="G28">
        <v>9.3699999999999992</v>
      </c>
      <c r="H28">
        <v>562.12</v>
      </c>
      <c r="I28">
        <v>16.14</v>
      </c>
      <c r="J28" s="5">
        <v>46060</v>
      </c>
      <c r="K28">
        <f t="shared" si="0"/>
        <v>29.06</v>
      </c>
      <c r="L28" t="str" cm="1">
        <f t="array" ref="L28">_xlfn.IFS(E28&gt;=52000000,"Platinum",E28&gt;=37000000,"Gold",E28&gt;=30000000,"Sliver",E28&lt;30000000,"Bronze")</f>
        <v>Platinum</v>
      </c>
    </row>
    <row r="29" spans="1:12" x14ac:dyDescent="0.25">
      <c r="A29">
        <v>28</v>
      </c>
      <c r="B29" t="s">
        <v>49</v>
      </c>
      <c r="C29" t="s">
        <v>21</v>
      </c>
      <c r="D29" t="s">
        <v>17</v>
      </c>
      <c r="E29" s="4">
        <v>221506499</v>
      </c>
      <c r="F29">
        <v>40.54</v>
      </c>
      <c r="G29">
        <v>2.87</v>
      </c>
      <c r="H29">
        <v>172.34</v>
      </c>
      <c r="I29">
        <v>7.09</v>
      </c>
      <c r="J29" s="5">
        <v>46060</v>
      </c>
      <c r="K29">
        <f t="shared" si="0"/>
        <v>33.28</v>
      </c>
      <c r="L29" t="str" cm="1">
        <f t="array" ref="L29">_xlfn.IFS(E29&gt;=52000000,"Platinum",E29&gt;=37000000,"Gold",E29&gt;=30000000,"Sliver",E29&lt;30000000,"Bronze")</f>
        <v>Platinum</v>
      </c>
    </row>
    <row r="30" spans="1:12" x14ac:dyDescent="0.25">
      <c r="A30">
        <v>29</v>
      </c>
      <c r="B30" t="s">
        <v>50</v>
      </c>
      <c r="C30" t="s">
        <v>10</v>
      </c>
      <c r="D30" t="s">
        <v>22</v>
      </c>
      <c r="E30" s="4">
        <v>213194289</v>
      </c>
      <c r="F30">
        <v>43.27</v>
      </c>
      <c r="G30">
        <v>7.48</v>
      </c>
      <c r="H30">
        <v>448.64</v>
      </c>
      <c r="I30">
        <v>17.28</v>
      </c>
      <c r="J30" s="5">
        <v>46060</v>
      </c>
      <c r="K30">
        <f t="shared" si="0"/>
        <v>37.01</v>
      </c>
      <c r="L30" t="str" cm="1">
        <f t="array" ref="L30">_xlfn.IFS(E30&gt;=52000000,"Platinum",E30&gt;=37000000,"Gold",E30&gt;=30000000,"Sliver",E30&lt;30000000,"Bronze")</f>
        <v>Platinum</v>
      </c>
    </row>
    <row r="31" spans="1:12" x14ac:dyDescent="0.25">
      <c r="A31">
        <v>30</v>
      </c>
      <c r="B31" t="s">
        <v>51</v>
      </c>
      <c r="C31" t="s">
        <v>27</v>
      </c>
      <c r="D31" t="s">
        <v>22</v>
      </c>
      <c r="E31" s="4">
        <v>212804436</v>
      </c>
      <c r="F31">
        <v>25.5</v>
      </c>
      <c r="G31">
        <v>14.11</v>
      </c>
      <c r="H31">
        <v>846.58</v>
      </c>
      <c r="I31">
        <v>55.33</v>
      </c>
      <c r="J31" s="5">
        <v>46060</v>
      </c>
      <c r="K31">
        <f t="shared" si="0"/>
        <v>64.92</v>
      </c>
      <c r="L31" t="str" cm="1">
        <f t="array" ref="L31">_xlfn.IFS(E31&gt;=52000000,"Platinum",E31&gt;=37000000,"Gold",E31&gt;=30000000,"Sliver",E31&lt;30000000,"Bronze")</f>
        <v>Platinum</v>
      </c>
    </row>
    <row r="32" spans="1:12" x14ac:dyDescent="0.25">
      <c r="A32">
        <v>31</v>
      </c>
      <c r="B32" t="s">
        <v>52</v>
      </c>
      <c r="C32" t="s">
        <v>19</v>
      </c>
      <c r="D32" t="s">
        <v>32</v>
      </c>
      <c r="E32" s="4">
        <v>145412192</v>
      </c>
      <c r="F32">
        <v>54.44</v>
      </c>
      <c r="G32">
        <v>9.94</v>
      </c>
      <c r="H32">
        <v>596.33000000000004</v>
      </c>
      <c r="I32">
        <v>18.260000000000002</v>
      </c>
      <c r="J32" s="5">
        <v>46060</v>
      </c>
      <c r="K32">
        <f t="shared" si="0"/>
        <v>31.91</v>
      </c>
      <c r="L32" t="str" cm="1">
        <f t="array" ref="L32">_xlfn.IFS(E32&gt;=52000000,"Platinum",E32&gt;=37000000,"Gold",E32&gt;=30000000,"Sliver",E32&lt;30000000,"Bronze")</f>
        <v>Platinum</v>
      </c>
    </row>
    <row r="33" spans="1:12" x14ac:dyDescent="0.25">
      <c r="A33">
        <v>32</v>
      </c>
      <c r="B33" t="s">
        <v>53</v>
      </c>
      <c r="C33" t="s">
        <v>10</v>
      </c>
      <c r="D33" t="s">
        <v>22</v>
      </c>
      <c r="E33" s="4">
        <v>175832912</v>
      </c>
      <c r="F33">
        <v>38.299999999999997</v>
      </c>
      <c r="G33">
        <v>8.9</v>
      </c>
      <c r="H33">
        <v>534.14</v>
      </c>
      <c r="I33">
        <v>23.24</v>
      </c>
      <c r="J33" s="5">
        <v>46060</v>
      </c>
      <c r="K33">
        <f t="shared" si="0"/>
        <v>42.47</v>
      </c>
      <c r="L33" t="str" cm="1">
        <f t="array" ref="L33">_xlfn.IFS(E33&gt;=52000000,"Platinum",E33&gt;=37000000,"Gold",E33&gt;=30000000,"Sliver",E33&lt;30000000,"Bronze")</f>
        <v>Platinum</v>
      </c>
    </row>
    <row r="34" spans="1:12" x14ac:dyDescent="0.25">
      <c r="A34">
        <v>33</v>
      </c>
      <c r="B34" t="s">
        <v>54</v>
      </c>
      <c r="C34" t="s">
        <v>16</v>
      </c>
      <c r="D34" t="s">
        <v>32</v>
      </c>
      <c r="E34" s="4">
        <v>142085880</v>
      </c>
      <c r="F34">
        <v>33.56</v>
      </c>
      <c r="G34">
        <v>4.63</v>
      </c>
      <c r="H34">
        <v>277.79000000000002</v>
      </c>
      <c r="I34">
        <v>13.8</v>
      </c>
      <c r="J34" s="5">
        <v>46060</v>
      </c>
      <c r="K34">
        <f t="shared" si="0"/>
        <v>40.119999999999997</v>
      </c>
      <c r="L34" t="str" cm="1">
        <f t="array" ref="L34">_xlfn.IFS(E34&gt;=52000000,"Platinum",E34&gt;=37000000,"Gold",E34&gt;=30000000,"Sliver",E34&lt;30000000,"Bronze")</f>
        <v>Platinum</v>
      </c>
    </row>
    <row r="35" spans="1:12" x14ac:dyDescent="0.25">
      <c r="A35">
        <v>34</v>
      </c>
      <c r="B35" t="s">
        <v>55</v>
      </c>
      <c r="C35" t="s">
        <v>46</v>
      </c>
      <c r="D35" t="s">
        <v>22</v>
      </c>
      <c r="E35" s="4">
        <v>180366796</v>
      </c>
      <c r="F35">
        <v>53.39</v>
      </c>
      <c r="G35">
        <v>9.7799999999999994</v>
      </c>
      <c r="H35">
        <v>586.67999999999995</v>
      </c>
      <c r="I35">
        <v>18.309999999999999</v>
      </c>
      <c r="J35" s="5">
        <v>46060</v>
      </c>
      <c r="K35">
        <f t="shared" si="0"/>
        <v>32.46</v>
      </c>
      <c r="L35" t="str" cm="1">
        <f t="array" ref="L35">_xlfn.IFS(E35&gt;=52000000,"Platinum",E35&gt;=37000000,"Gold",E35&gt;=30000000,"Sliver",E35&lt;30000000,"Bronze")</f>
        <v>Platinum</v>
      </c>
    </row>
    <row r="36" spans="1:12" x14ac:dyDescent="0.25">
      <c r="A36">
        <v>35</v>
      </c>
      <c r="B36" t="s">
        <v>56</v>
      </c>
      <c r="C36" t="s">
        <v>29</v>
      </c>
      <c r="D36" t="s">
        <v>11</v>
      </c>
      <c r="E36" s="4">
        <v>191275221</v>
      </c>
      <c r="F36">
        <v>53.98</v>
      </c>
      <c r="G36">
        <v>2.83</v>
      </c>
      <c r="H36">
        <v>169.63</v>
      </c>
      <c r="I36">
        <v>5.24</v>
      </c>
      <c r="J36" s="5">
        <v>46060</v>
      </c>
      <c r="K36">
        <f t="shared" si="0"/>
        <v>25.63</v>
      </c>
      <c r="L36" t="str" cm="1">
        <f t="array" ref="L36">_xlfn.IFS(E36&gt;=52000000,"Platinum",E36&gt;=37000000,"Gold",E36&gt;=30000000,"Sliver",E36&lt;30000000,"Bronze")</f>
        <v>Platinum</v>
      </c>
    </row>
    <row r="37" spans="1:12" x14ac:dyDescent="0.25">
      <c r="A37">
        <v>36</v>
      </c>
      <c r="B37" t="s">
        <v>57</v>
      </c>
      <c r="C37" t="s">
        <v>19</v>
      </c>
      <c r="D37" t="s">
        <v>11</v>
      </c>
      <c r="E37" s="4">
        <v>169077552</v>
      </c>
      <c r="F37">
        <v>33.68</v>
      </c>
      <c r="G37">
        <v>3.92</v>
      </c>
      <c r="H37">
        <v>234.94</v>
      </c>
      <c r="I37">
        <v>11.63</v>
      </c>
      <c r="J37" s="5">
        <v>46060</v>
      </c>
      <c r="K37">
        <f t="shared" si="0"/>
        <v>38.979999999999997</v>
      </c>
      <c r="L37" t="str" cm="1">
        <f t="array" ref="L37">_xlfn.IFS(E37&gt;=52000000,"Platinum",E37&gt;=37000000,"Gold",E37&gt;=30000000,"Sliver",E37&lt;30000000,"Bronze")</f>
        <v>Platinum</v>
      </c>
    </row>
    <row r="38" spans="1:12" x14ac:dyDescent="0.25">
      <c r="A38">
        <v>37</v>
      </c>
      <c r="B38" t="s">
        <v>58</v>
      </c>
      <c r="C38" t="s">
        <v>27</v>
      </c>
      <c r="D38" s="1" t="s">
        <v>32</v>
      </c>
      <c r="E38" s="4">
        <v>147029001</v>
      </c>
      <c r="F38">
        <v>26.09</v>
      </c>
      <c r="G38">
        <v>24.82</v>
      </c>
      <c r="H38">
        <v>1489.32</v>
      </c>
      <c r="I38">
        <v>95.14</v>
      </c>
      <c r="J38" s="5">
        <v>46060</v>
      </c>
      <c r="K38">
        <f t="shared" si="0"/>
        <v>84.53</v>
      </c>
      <c r="L38" t="str" cm="1">
        <f t="array" ref="L38">_xlfn.IFS(E38&gt;=52000000,"Platinum",E38&gt;=37000000,"Gold",E38&gt;=30000000,"Sliver",E38&lt;30000000,"Bronze")</f>
        <v>Platinum</v>
      </c>
    </row>
    <row r="39" spans="1:12" x14ac:dyDescent="0.25">
      <c r="A39">
        <v>38</v>
      </c>
      <c r="B39" t="s">
        <v>59</v>
      </c>
      <c r="C39" t="s">
        <v>16</v>
      </c>
      <c r="D39" t="s">
        <v>13</v>
      </c>
      <c r="E39" s="4">
        <v>149957155</v>
      </c>
      <c r="F39">
        <v>37.24</v>
      </c>
      <c r="G39">
        <v>3.42</v>
      </c>
      <c r="H39">
        <v>204.92</v>
      </c>
      <c r="I39">
        <v>9.17</v>
      </c>
      <c r="J39" s="5">
        <v>46060</v>
      </c>
      <c r="K39">
        <f t="shared" si="0"/>
        <v>35.97</v>
      </c>
      <c r="L39" t="str" cm="1">
        <f t="array" ref="L39">_xlfn.IFS(E39&gt;=52000000,"Platinum",E39&gt;=37000000,"Gold",E39&gt;=30000000,"Sliver",E39&lt;30000000,"Bronze")</f>
        <v>Platinum</v>
      </c>
    </row>
    <row r="40" spans="1:12" x14ac:dyDescent="0.25">
      <c r="A40">
        <v>39</v>
      </c>
      <c r="B40" t="s">
        <v>60</v>
      </c>
      <c r="C40" t="s">
        <v>10</v>
      </c>
      <c r="D40" t="s">
        <v>32</v>
      </c>
      <c r="E40" s="4">
        <v>149874320</v>
      </c>
      <c r="F40">
        <v>41.19</v>
      </c>
      <c r="G40">
        <v>8.5399999999999991</v>
      </c>
      <c r="H40">
        <v>512.13</v>
      </c>
      <c r="I40">
        <v>20.72</v>
      </c>
      <c r="J40" s="5">
        <v>46060</v>
      </c>
      <c r="K40">
        <f t="shared" si="0"/>
        <v>39.770000000000003</v>
      </c>
      <c r="L40" t="str" cm="1">
        <f t="array" ref="L40">_xlfn.IFS(E40&gt;=52000000,"Platinum",E40&gt;=37000000,"Gold",E40&gt;=30000000,"Sliver",E40&lt;30000000,"Bronze")</f>
        <v>Platinum</v>
      </c>
    </row>
    <row r="41" spans="1:12" x14ac:dyDescent="0.25">
      <c r="A41">
        <v>40</v>
      </c>
      <c r="B41" t="s">
        <v>61</v>
      </c>
      <c r="C41" t="s">
        <v>16</v>
      </c>
      <c r="D41" t="s">
        <v>25</v>
      </c>
      <c r="E41" s="4">
        <v>176300048</v>
      </c>
      <c r="F41">
        <v>54.95</v>
      </c>
      <c r="G41">
        <v>6.67</v>
      </c>
      <c r="H41">
        <v>400.08</v>
      </c>
      <c r="I41">
        <v>12.13</v>
      </c>
      <c r="J41" s="5">
        <v>46060</v>
      </c>
      <c r="K41">
        <f t="shared" si="0"/>
        <v>28.59</v>
      </c>
      <c r="L41" t="str" cm="1">
        <f t="array" ref="L41">_xlfn.IFS(E41&gt;=52000000,"Platinum",E41&gt;=37000000,"Gold",E41&gt;=30000000,"Sliver",E41&lt;30000000,"Bronze")</f>
        <v>Platinum</v>
      </c>
    </row>
    <row r="42" spans="1:12" x14ac:dyDescent="0.25">
      <c r="A42">
        <v>41</v>
      </c>
      <c r="B42" t="s">
        <v>62</v>
      </c>
      <c r="C42" t="s">
        <v>46</v>
      </c>
      <c r="D42" t="s">
        <v>32</v>
      </c>
      <c r="E42" s="4">
        <v>148082499</v>
      </c>
      <c r="F42">
        <v>48.82</v>
      </c>
      <c r="G42">
        <v>9.1</v>
      </c>
      <c r="H42">
        <v>545.92999999999995</v>
      </c>
      <c r="I42">
        <v>18.64</v>
      </c>
      <c r="J42" s="5">
        <v>46060</v>
      </c>
      <c r="K42">
        <f t="shared" si="0"/>
        <v>34.909999999999997</v>
      </c>
      <c r="L42" t="str" cm="1">
        <f t="array" ref="L42">_xlfn.IFS(E42&gt;=52000000,"Platinum",E42&gt;=37000000,"Gold",E42&gt;=30000000,"Sliver",E42&lt;30000000,"Bronze")</f>
        <v>Platinum</v>
      </c>
    </row>
    <row r="43" spans="1:12" x14ac:dyDescent="0.25">
      <c r="A43">
        <v>42</v>
      </c>
      <c r="B43" t="s">
        <v>63</v>
      </c>
      <c r="C43" s="1" t="s">
        <v>21</v>
      </c>
      <c r="D43" t="s">
        <v>11</v>
      </c>
      <c r="E43" s="4">
        <v>166316178</v>
      </c>
      <c r="F43">
        <v>59.09</v>
      </c>
      <c r="G43">
        <v>3.47</v>
      </c>
      <c r="H43">
        <v>208.11</v>
      </c>
      <c r="I43">
        <v>5.87</v>
      </c>
      <c r="J43" s="5">
        <v>46060</v>
      </c>
      <c r="K43">
        <f t="shared" si="0"/>
        <v>23.39</v>
      </c>
      <c r="L43" t="str" cm="1">
        <f t="array" ref="L43">_xlfn.IFS(E43&gt;=52000000,"Platinum",E43&gt;=37000000,"Gold",E43&gt;=30000000,"Sliver",E43&lt;30000000,"Bronze")</f>
        <v>Platinum</v>
      </c>
    </row>
    <row r="44" spans="1:12" x14ac:dyDescent="0.25">
      <c r="A44">
        <v>43</v>
      </c>
      <c r="B44" t="s">
        <v>64</v>
      </c>
      <c r="C44" t="s">
        <v>46</v>
      </c>
      <c r="D44" t="s">
        <v>22</v>
      </c>
      <c r="E44" s="4">
        <v>132167875</v>
      </c>
      <c r="F44">
        <v>45.35</v>
      </c>
      <c r="G44">
        <v>8.9</v>
      </c>
      <c r="H44">
        <v>534.04</v>
      </c>
      <c r="I44">
        <v>19.63</v>
      </c>
      <c r="J44" s="5">
        <v>46060</v>
      </c>
      <c r="K44">
        <f t="shared" si="0"/>
        <v>37.14</v>
      </c>
      <c r="L44" t="str" cm="1">
        <f t="array" ref="L44">_xlfn.IFS(E44&gt;=52000000,"Platinum",E44&gt;=37000000,"Gold",E44&gt;=30000000,"Sliver",E44&lt;30000000,"Bronze")</f>
        <v>Platinum</v>
      </c>
    </row>
    <row r="45" spans="1:12" x14ac:dyDescent="0.25">
      <c r="A45">
        <v>44</v>
      </c>
      <c r="B45" t="s">
        <v>65</v>
      </c>
      <c r="C45" t="s">
        <v>10</v>
      </c>
      <c r="D45" t="s">
        <v>22</v>
      </c>
      <c r="E45" s="4">
        <v>145597942</v>
      </c>
      <c r="F45">
        <v>34.43</v>
      </c>
      <c r="G45">
        <v>7.91</v>
      </c>
      <c r="H45">
        <v>474.65</v>
      </c>
      <c r="I45">
        <v>22.98</v>
      </c>
      <c r="J45" s="5">
        <v>46060</v>
      </c>
      <c r="K45">
        <f t="shared" si="0"/>
        <v>44.28</v>
      </c>
      <c r="L45" t="str" cm="1">
        <f t="array" ref="L45">_xlfn.IFS(E45&gt;=52000000,"Platinum",E45&gt;=37000000,"Gold",E45&gt;=30000000,"Sliver",E45&lt;30000000,"Bronze")</f>
        <v>Platinum</v>
      </c>
    </row>
    <row r="46" spans="1:12" x14ac:dyDescent="0.25">
      <c r="A46">
        <v>45</v>
      </c>
      <c r="B46" t="s">
        <v>66</v>
      </c>
      <c r="C46" t="s">
        <v>16</v>
      </c>
      <c r="D46" t="s">
        <v>13</v>
      </c>
      <c r="E46" s="4">
        <v>147816685</v>
      </c>
      <c r="F46">
        <v>39.64</v>
      </c>
      <c r="G46">
        <v>5.72</v>
      </c>
      <c r="H46" s="1">
        <f>CALCULATION!$D$11</f>
        <v>343.315</v>
      </c>
      <c r="I46">
        <v>18.309999999999999</v>
      </c>
      <c r="J46" s="5">
        <v>46060</v>
      </c>
      <c r="K46">
        <f t="shared" si="0"/>
        <v>39.340000000000003</v>
      </c>
      <c r="L46" t="str" cm="1">
        <f t="array" ref="L46">_xlfn.IFS(E46&gt;=52000000,"Platinum",E46&gt;=37000000,"Gold",E46&gt;=30000000,"Sliver",E46&lt;30000000,"Bronze")</f>
        <v>Platinum</v>
      </c>
    </row>
    <row r="47" spans="1:12" x14ac:dyDescent="0.25">
      <c r="A47">
        <v>46</v>
      </c>
      <c r="B47" t="s">
        <v>67</v>
      </c>
      <c r="C47" t="s">
        <v>21</v>
      </c>
      <c r="D47" t="s">
        <v>17</v>
      </c>
      <c r="E47" s="4">
        <v>159710170</v>
      </c>
      <c r="F47">
        <v>39.79</v>
      </c>
      <c r="G47">
        <v>2.2999999999999998</v>
      </c>
      <c r="H47">
        <v>138</v>
      </c>
      <c r="I47">
        <v>5.78</v>
      </c>
      <c r="J47" s="5">
        <v>46060</v>
      </c>
      <c r="K47">
        <f t="shared" si="0"/>
        <v>33</v>
      </c>
      <c r="L47" t="str" cm="1">
        <f t="array" ref="L47">_xlfn.IFS(E47&gt;=52000000,"Platinum",E47&gt;=37000000,"Gold",E47&gt;=30000000,"Sliver",E47&lt;30000000,"Bronze")</f>
        <v>Platinum</v>
      </c>
    </row>
    <row r="48" spans="1:12" x14ac:dyDescent="0.25">
      <c r="A48">
        <v>47</v>
      </c>
      <c r="B48" t="s">
        <v>68</v>
      </c>
      <c r="C48" t="s">
        <v>21</v>
      </c>
      <c r="D48" t="s">
        <v>11</v>
      </c>
      <c r="E48" s="4">
        <v>151090731</v>
      </c>
      <c r="F48">
        <v>49.66</v>
      </c>
      <c r="G48">
        <v>2.2400000000000002</v>
      </c>
      <c r="H48">
        <v>134.57</v>
      </c>
      <c r="I48">
        <v>4.5199999999999996</v>
      </c>
      <c r="J48" s="5">
        <v>46060</v>
      </c>
      <c r="K48">
        <f t="shared" si="0"/>
        <v>27.43</v>
      </c>
      <c r="L48" t="str" cm="1">
        <f t="array" ref="L48">_xlfn.IFS(E48&gt;=52000000,"Platinum",E48&gt;=37000000,"Gold",E48&gt;=30000000,"Sliver",E48&lt;30000000,"Bronze")</f>
        <v>Platinum</v>
      </c>
    </row>
    <row r="49" spans="1:12" x14ac:dyDescent="0.25">
      <c r="A49">
        <v>48</v>
      </c>
      <c r="B49" t="s">
        <v>69</v>
      </c>
      <c r="C49" t="s">
        <v>19</v>
      </c>
      <c r="D49" t="s">
        <v>11</v>
      </c>
      <c r="E49" s="4">
        <v>172362276</v>
      </c>
      <c r="F49">
        <v>57.55</v>
      </c>
      <c r="G49">
        <v>6.76</v>
      </c>
      <c r="H49">
        <v>405.68</v>
      </c>
      <c r="I49">
        <v>11.75</v>
      </c>
      <c r="J49" s="5">
        <v>46060</v>
      </c>
      <c r="K49">
        <f t="shared" si="0"/>
        <v>27.1</v>
      </c>
      <c r="L49" t="str" cm="1">
        <f t="array" ref="L49">_xlfn.IFS(E49&gt;=52000000,"Platinum",E49&gt;=37000000,"Gold",E49&gt;=30000000,"Sliver",E49&lt;30000000,"Bronze")</f>
        <v>Platinum</v>
      </c>
    </row>
    <row r="50" spans="1:12" x14ac:dyDescent="0.25">
      <c r="A50">
        <v>49</v>
      </c>
      <c r="B50" t="s">
        <v>70</v>
      </c>
      <c r="C50" t="s">
        <v>46</v>
      </c>
      <c r="D50" s="1" t="s">
        <v>32</v>
      </c>
      <c r="E50" s="4">
        <v>123203308</v>
      </c>
      <c r="F50">
        <v>46.02</v>
      </c>
      <c r="G50">
        <v>7.61</v>
      </c>
      <c r="H50">
        <v>456.76</v>
      </c>
      <c r="I50">
        <v>16.54</v>
      </c>
      <c r="J50" s="5">
        <v>46060</v>
      </c>
      <c r="K50">
        <f t="shared" si="0"/>
        <v>35.26</v>
      </c>
      <c r="L50" t="str" cm="1">
        <f t="array" ref="L50">_xlfn.IFS(E50&gt;=52000000,"Platinum",E50&gt;=37000000,"Gold",E50&gt;=30000000,"Sliver",E50&lt;30000000,"Bronze")</f>
        <v>Platinum</v>
      </c>
    </row>
    <row r="51" spans="1:12" x14ac:dyDescent="0.25">
      <c r="A51">
        <v>50</v>
      </c>
      <c r="B51" t="s">
        <v>71</v>
      </c>
      <c r="C51" t="s">
        <v>19</v>
      </c>
      <c r="D51" t="s">
        <v>17</v>
      </c>
      <c r="E51" s="4">
        <v>143340973</v>
      </c>
      <c r="F51" s="1">
        <f>CALCULATION!$C$11</f>
        <v>42.81</v>
      </c>
      <c r="G51" s="1">
        <v>4.42</v>
      </c>
      <c r="H51">
        <v>265.42</v>
      </c>
      <c r="I51">
        <v>8.7100000000000009</v>
      </c>
      <c r="J51" s="5">
        <v>46060</v>
      </c>
      <c r="K51">
        <f t="shared" si="0"/>
        <v>32.950000000000003</v>
      </c>
      <c r="L51" t="str" cm="1">
        <f t="array" ref="L51">_xlfn.IFS(E51&gt;=52000000,"Platinum",E51&gt;=37000000,"Gold",E51&gt;=30000000,"Sliver",E51&lt;30000000,"Bronze")</f>
        <v>Platinum</v>
      </c>
    </row>
    <row r="52" spans="1:12" x14ac:dyDescent="0.25">
      <c r="A52">
        <v>51</v>
      </c>
      <c r="B52" t="s">
        <v>72</v>
      </c>
      <c r="C52" t="s">
        <v>10</v>
      </c>
      <c r="D52" t="s">
        <v>25</v>
      </c>
      <c r="E52" s="4">
        <v>121938978</v>
      </c>
      <c r="F52">
        <v>49.63</v>
      </c>
      <c r="G52">
        <v>2.41</v>
      </c>
      <c r="H52">
        <v>144.54</v>
      </c>
      <c r="I52">
        <v>4.8499999999999996</v>
      </c>
      <c r="J52" s="5">
        <v>46060</v>
      </c>
      <c r="K52">
        <f t="shared" si="0"/>
        <v>27.61</v>
      </c>
      <c r="L52" t="str" cm="1">
        <f t="array" ref="L52">_xlfn.IFS(E52&gt;=52000000,"Platinum",E52&gt;=37000000,"Gold",E52&gt;=30000000,"Sliver",E52&lt;30000000,"Bronze")</f>
        <v>Platinum</v>
      </c>
    </row>
    <row r="53" spans="1:12" x14ac:dyDescent="0.25">
      <c r="A53">
        <v>52</v>
      </c>
      <c r="B53" t="s">
        <v>73</v>
      </c>
      <c r="C53" t="s">
        <v>16</v>
      </c>
      <c r="D53" t="s">
        <v>17</v>
      </c>
      <c r="E53" s="4">
        <v>134085268</v>
      </c>
      <c r="F53" s="1">
        <f>CALCULATION!$C$11</f>
        <v>42.81</v>
      </c>
      <c r="G53" s="1">
        <v>6.29</v>
      </c>
      <c r="H53">
        <v>377.63</v>
      </c>
      <c r="I53">
        <v>12.09</v>
      </c>
      <c r="J53" s="5">
        <v>46060</v>
      </c>
      <c r="K53">
        <f t="shared" si="0"/>
        <v>34.64</v>
      </c>
      <c r="L53" t="str" cm="1">
        <f t="array" ref="L53">_xlfn.IFS(E53&gt;=52000000,"Platinum",E53&gt;=37000000,"Gold",E53&gt;=30000000,"Sliver",E53&lt;30000000,"Bronze")</f>
        <v>Platinum</v>
      </c>
    </row>
    <row r="54" spans="1:12" x14ac:dyDescent="0.25">
      <c r="A54">
        <v>53</v>
      </c>
      <c r="B54" t="s">
        <v>74</v>
      </c>
      <c r="C54" t="s">
        <v>19</v>
      </c>
      <c r="D54" t="s">
        <v>25</v>
      </c>
      <c r="E54" s="4">
        <v>158009610</v>
      </c>
      <c r="F54">
        <v>56.85</v>
      </c>
      <c r="G54">
        <v>5.72</v>
      </c>
      <c r="H54" s="1">
        <f>CALCULATION!$D$11</f>
        <v>343.315</v>
      </c>
      <c r="I54">
        <v>10.14</v>
      </c>
      <c r="J54" s="5">
        <v>46060</v>
      </c>
      <c r="K54">
        <f t="shared" si="0"/>
        <v>26.65</v>
      </c>
      <c r="L54" t="str" cm="1">
        <f t="array" ref="L54">_xlfn.IFS(E54&gt;=52000000,"Platinum",E54&gt;=37000000,"Gold",E54&gt;=30000000,"Sliver",E54&lt;30000000,"Bronze")</f>
        <v>Platinum</v>
      </c>
    </row>
    <row r="55" spans="1:12" x14ac:dyDescent="0.25">
      <c r="A55">
        <v>54</v>
      </c>
      <c r="B55" t="s">
        <v>75</v>
      </c>
      <c r="C55" t="s">
        <v>46</v>
      </c>
      <c r="D55" t="s">
        <v>32</v>
      </c>
      <c r="E55" s="4">
        <v>109356676</v>
      </c>
      <c r="F55">
        <v>47.32</v>
      </c>
      <c r="G55">
        <v>4.68</v>
      </c>
      <c r="H55">
        <v>280.79000000000002</v>
      </c>
      <c r="I55">
        <v>9.89</v>
      </c>
      <c r="J55" s="5">
        <v>46060</v>
      </c>
      <c r="K55">
        <f t="shared" si="0"/>
        <v>31.29</v>
      </c>
      <c r="L55" t="str" cm="1">
        <f t="array" ref="L55">_xlfn.IFS(E55&gt;=52000000,"Platinum",E55&gt;=37000000,"Gold",E55&gt;=30000000,"Sliver",E55&lt;30000000,"Bronze")</f>
        <v>Platinum</v>
      </c>
    </row>
    <row r="56" spans="1:12" x14ac:dyDescent="0.25">
      <c r="A56">
        <v>55</v>
      </c>
      <c r="B56" t="s">
        <v>76</v>
      </c>
      <c r="C56" t="s">
        <v>21</v>
      </c>
      <c r="D56" t="s">
        <v>25</v>
      </c>
      <c r="E56" s="4">
        <v>159796890</v>
      </c>
      <c r="F56">
        <v>46.18</v>
      </c>
      <c r="G56">
        <v>1.84</v>
      </c>
      <c r="H56">
        <v>110.44</v>
      </c>
      <c r="I56">
        <v>3.99</v>
      </c>
      <c r="J56" s="5">
        <v>46060</v>
      </c>
      <c r="K56">
        <f t="shared" si="0"/>
        <v>28.91</v>
      </c>
      <c r="L56" t="str" cm="1">
        <f t="array" ref="L56">_xlfn.IFS(E56&gt;=52000000,"Platinum",E56&gt;=37000000,"Gold",E56&gt;=30000000,"Sliver",E56&lt;30000000,"Bronze")</f>
        <v>Platinum</v>
      </c>
    </row>
    <row r="57" spans="1:12" x14ac:dyDescent="0.25">
      <c r="A57">
        <v>56</v>
      </c>
      <c r="B57" t="s">
        <v>77</v>
      </c>
      <c r="C57" t="s">
        <v>19</v>
      </c>
      <c r="D57" t="s">
        <v>32</v>
      </c>
      <c r="E57" s="4">
        <v>149796748</v>
      </c>
      <c r="F57">
        <v>33.909999999999997</v>
      </c>
      <c r="G57">
        <v>7.2</v>
      </c>
      <c r="H57">
        <v>431.92</v>
      </c>
      <c r="I57">
        <v>21.23</v>
      </c>
      <c r="J57" s="5">
        <v>46060</v>
      </c>
      <c r="K57">
        <f t="shared" si="0"/>
        <v>43.66</v>
      </c>
      <c r="L57" t="str" cm="1">
        <f t="array" ref="L57">_xlfn.IFS(E57&gt;=52000000,"Platinum",E57&gt;=37000000,"Gold",E57&gt;=30000000,"Sliver",E57&lt;30000000,"Bronze")</f>
        <v>Platinum</v>
      </c>
    </row>
    <row r="58" spans="1:12" x14ac:dyDescent="0.25">
      <c r="A58">
        <v>57</v>
      </c>
      <c r="B58" t="s">
        <v>78</v>
      </c>
      <c r="C58" t="s">
        <v>27</v>
      </c>
      <c r="D58" t="s">
        <v>25</v>
      </c>
      <c r="E58" s="4">
        <v>136821594</v>
      </c>
      <c r="F58">
        <v>15.38</v>
      </c>
      <c r="G58">
        <v>27.89</v>
      </c>
      <c r="H58">
        <v>1673.56</v>
      </c>
      <c r="I58">
        <v>181.36</v>
      </c>
      <c r="J58" s="5">
        <v>46060</v>
      </c>
      <c r="K58">
        <f t="shared" si="0"/>
        <v>132.99</v>
      </c>
      <c r="L58" t="str" cm="1">
        <f t="array" ref="L58">_xlfn.IFS(E58&gt;=52000000,"Platinum",E58&gt;=37000000,"Gold",E58&gt;=30000000,"Sliver",E58&lt;30000000,"Bronze")</f>
        <v>Platinum</v>
      </c>
    </row>
    <row r="59" spans="1:12" x14ac:dyDescent="0.25">
      <c r="A59">
        <v>58</v>
      </c>
      <c r="B59" t="s">
        <v>79</v>
      </c>
      <c r="C59" t="s">
        <v>16</v>
      </c>
      <c r="D59" t="s">
        <v>13</v>
      </c>
      <c r="E59" s="4">
        <v>124554412</v>
      </c>
      <c r="F59">
        <v>45.43</v>
      </c>
      <c r="G59">
        <v>4.93</v>
      </c>
      <c r="H59">
        <v>296.04000000000002</v>
      </c>
      <c r="I59">
        <v>10.86</v>
      </c>
      <c r="J59" s="5">
        <v>46060</v>
      </c>
      <c r="K59">
        <f t="shared" si="0"/>
        <v>32.72</v>
      </c>
      <c r="L59" t="str" cm="1">
        <f t="array" ref="L59">_xlfn.IFS(E59&gt;=52000000,"Platinum",E59&gt;=37000000,"Gold",E59&gt;=30000000,"Sliver",E59&lt;30000000,"Bronze")</f>
        <v>Platinum</v>
      </c>
    </row>
    <row r="60" spans="1:12" x14ac:dyDescent="0.25">
      <c r="A60">
        <v>59</v>
      </c>
      <c r="B60" t="s">
        <v>80</v>
      </c>
      <c r="C60" t="s">
        <v>27</v>
      </c>
      <c r="D60" t="s">
        <v>25</v>
      </c>
      <c r="E60" s="4">
        <v>143715077</v>
      </c>
      <c r="F60">
        <v>21.64</v>
      </c>
      <c r="G60">
        <v>22.49</v>
      </c>
      <c r="H60">
        <v>1349.21</v>
      </c>
      <c r="I60">
        <v>103.91</v>
      </c>
      <c r="J60" s="5">
        <v>46060</v>
      </c>
      <c r="K60">
        <f t="shared" si="0"/>
        <v>91.14</v>
      </c>
      <c r="L60" t="str" cm="1">
        <f t="array" ref="L60">_xlfn.IFS(E60&gt;=52000000,"Platinum",E60&gt;=37000000,"Gold",E60&gt;=30000000,"Sliver",E60&lt;30000000,"Bronze")</f>
        <v>Platinum</v>
      </c>
    </row>
    <row r="61" spans="1:12" x14ac:dyDescent="0.25">
      <c r="A61">
        <v>60</v>
      </c>
      <c r="B61" t="s">
        <v>81</v>
      </c>
      <c r="C61" s="1" t="s">
        <v>21</v>
      </c>
      <c r="D61" t="s">
        <v>22</v>
      </c>
      <c r="E61" s="4">
        <v>146979299</v>
      </c>
      <c r="F61">
        <v>38.69</v>
      </c>
      <c r="G61">
        <v>9.11</v>
      </c>
      <c r="H61">
        <v>546.54999999999995</v>
      </c>
      <c r="I61">
        <v>23.54</v>
      </c>
      <c r="J61" s="5">
        <v>46060</v>
      </c>
      <c r="K61">
        <f t="shared" si="0"/>
        <v>42.43</v>
      </c>
      <c r="L61" t="str" cm="1">
        <f t="array" ref="L61">_xlfn.IFS(E61&gt;=52000000,"Platinum",E61&gt;=37000000,"Gold",E61&gt;=30000000,"Sliver",E61&lt;30000000,"Bronze")</f>
        <v>Platinum</v>
      </c>
    </row>
    <row r="62" spans="1:12" x14ac:dyDescent="0.25">
      <c r="A62">
        <v>61</v>
      </c>
      <c r="B62" t="s">
        <v>82</v>
      </c>
      <c r="C62" t="s">
        <v>46</v>
      </c>
      <c r="D62" t="s">
        <v>22</v>
      </c>
      <c r="E62" s="4">
        <v>106910304</v>
      </c>
      <c r="F62">
        <v>35.200000000000003</v>
      </c>
      <c r="G62">
        <v>3.81</v>
      </c>
      <c r="H62">
        <v>228.58</v>
      </c>
      <c r="I62">
        <v>10.82</v>
      </c>
      <c r="J62" s="5">
        <v>46060</v>
      </c>
      <c r="K62">
        <f t="shared" si="0"/>
        <v>37.81</v>
      </c>
      <c r="L62" t="str" cm="1">
        <f t="array" ref="L62">_xlfn.IFS(E62&gt;=52000000,"Platinum",E62&gt;=37000000,"Gold",E62&gt;=30000000,"Sliver",E62&lt;30000000,"Bronze")</f>
        <v>Platinum</v>
      </c>
    </row>
    <row r="63" spans="1:12" x14ac:dyDescent="0.25">
      <c r="A63">
        <v>62</v>
      </c>
      <c r="B63" t="s">
        <v>83</v>
      </c>
      <c r="C63" t="s">
        <v>19</v>
      </c>
      <c r="D63" t="s">
        <v>13</v>
      </c>
      <c r="E63" s="4">
        <v>123518820</v>
      </c>
      <c r="F63">
        <v>45.21</v>
      </c>
      <c r="G63">
        <v>8.0399999999999991</v>
      </c>
      <c r="H63">
        <v>482.38</v>
      </c>
      <c r="I63">
        <v>17.78</v>
      </c>
      <c r="J63" s="5">
        <v>46060</v>
      </c>
      <c r="K63">
        <f t="shared" si="0"/>
        <v>36.29</v>
      </c>
      <c r="L63" t="str" cm="1">
        <f t="array" ref="L63">_xlfn.IFS(E63&gt;=52000000,"Platinum",E63&gt;=37000000,"Gold",E63&gt;=30000000,"Sliver",E63&lt;30000000,"Bronze")</f>
        <v>Platinum</v>
      </c>
    </row>
    <row r="64" spans="1:12" x14ac:dyDescent="0.25">
      <c r="A64">
        <v>63</v>
      </c>
      <c r="B64" t="s">
        <v>84</v>
      </c>
      <c r="C64" t="s">
        <v>29</v>
      </c>
      <c r="D64" t="s">
        <v>13</v>
      </c>
      <c r="E64" s="4">
        <v>137657450</v>
      </c>
      <c r="F64">
        <v>30.03</v>
      </c>
      <c r="G64">
        <v>2.85</v>
      </c>
      <c r="H64">
        <v>171.03</v>
      </c>
      <c r="I64">
        <v>9.49</v>
      </c>
      <c r="J64" s="5">
        <v>46060</v>
      </c>
      <c r="K64">
        <f t="shared" si="0"/>
        <v>39.729999999999997</v>
      </c>
      <c r="L64" t="str" cm="1">
        <f t="array" ref="L64">_xlfn.IFS(E64&gt;=52000000,"Platinum",E64&gt;=37000000,"Gold",E64&gt;=30000000,"Sliver",E64&lt;30000000,"Bronze")</f>
        <v>Platinum</v>
      </c>
    </row>
    <row r="65" spans="1:12" x14ac:dyDescent="0.25">
      <c r="A65">
        <v>64</v>
      </c>
      <c r="B65" t="s">
        <v>85</v>
      </c>
      <c r="C65" t="s">
        <v>29</v>
      </c>
      <c r="D65" t="s">
        <v>17</v>
      </c>
      <c r="E65" s="4">
        <v>144269671</v>
      </c>
      <c r="F65">
        <v>50.87</v>
      </c>
      <c r="G65">
        <v>5.72</v>
      </c>
      <c r="H65" s="1">
        <f>CALCULATION!$D$11</f>
        <v>343.315</v>
      </c>
      <c r="I65">
        <v>9.8000000000000007</v>
      </c>
      <c r="J65" s="5">
        <v>46060</v>
      </c>
      <c r="K65">
        <f t="shared" si="0"/>
        <v>29.47</v>
      </c>
      <c r="L65" t="str" cm="1">
        <f t="array" ref="L65">_xlfn.IFS(E65&gt;=52000000,"Platinum",E65&gt;=37000000,"Gold",E65&gt;=30000000,"Sliver",E65&lt;30000000,"Bronze")</f>
        <v>Platinum</v>
      </c>
    </row>
    <row r="66" spans="1:12" x14ac:dyDescent="0.25">
      <c r="A66">
        <v>65</v>
      </c>
      <c r="B66" t="s">
        <v>86</v>
      </c>
      <c r="C66" t="s">
        <v>27</v>
      </c>
      <c r="D66" t="s">
        <v>17</v>
      </c>
      <c r="E66" s="4">
        <v>125382903</v>
      </c>
      <c r="F66">
        <v>24.27</v>
      </c>
      <c r="G66">
        <v>38.380000000000003</v>
      </c>
      <c r="H66">
        <v>2302.81</v>
      </c>
      <c r="I66">
        <v>158.13999999999999</v>
      </c>
      <c r="J66" s="5">
        <v>46060</v>
      </c>
      <c r="K66">
        <f t="shared" si="0"/>
        <v>116.94</v>
      </c>
      <c r="L66" t="str" cm="1">
        <f t="array" ref="L66">_xlfn.IFS(E66&gt;=52000000,"Platinum",E66&gt;=37000000,"Gold",E66&gt;=30000000,"Sliver",E66&lt;30000000,"Bronze")</f>
        <v>Platinum</v>
      </c>
    </row>
    <row r="67" spans="1:12" x14ac:dyDescent="0.25">
      <c r="A67">
        <v>66</v>
      </c>
      <c r="B67" t="s">
        <v>87</v>
      </c>
      <c r="C67" t="s">
        <v>16</v>
      </c>
      <c r="D67" t="s">
        <v>32</v>
      </c>
      <c r="E67" s="4">
        <v>104760228</v>
      </c>
      <c r="F67">
        <v>52.55</v>
      </c>
      <c r="G67">
        <v>8.09</v>
      </c>
      <c r="H67">
        <v>485.37</v>
      </c>
      <c r="I67">
        <v>15.39</v>
      </c>
      <c r="J67" s="5">
        <v>46060</v>
      </c>
      <c r="K67">
        <f t="shared" ref="K67:K130" si="1">ROUND((100-F67)*0.5 + I67*0.5,2)</f>
        <v>31.42</v>
      </c>
      <c r="L67" t="str" cm="1">
        <f t="array" ref="L67">_xlfn.IFS(E67&gt;=52000000,"Platinum",E67&gt;=37000000,"Gold",E67&gt;=30000000,"Sliver",E67&lt;30000000,"Bronze")</f>
        <v>Platinum</v>
      </c>
    </row>
    <row r="68" spans="1:12" x14ac:dyDescent="0.25">
      <c r="A68">
        <v>67</v>
      </c>
      <c r="B68" t="s">
        <v>88</v>
      </c>
      <c r="C68" t="s">
        <v>46</v>
      </c>
      <c r="D68" t="s">
        <v>17</v>
      </c>
      <c r="E68" s="4">
        <v>133067330</v>
      </c>
      <c r="F68">
        <v>49.68</v>
      </c>
      <c r="G68">
        <v>5.34</v>
      </c>
      <c r="H68">
        <v>320.69</v>
      </c>
      <c r="I68">
        <v>10.76</v>
      </c>
      <c r="J68" s="5">
        <v>46060</v>
      </c>
      <c r="K68">
        <f t="shared" si="1"/>
        <v>30.54</v>
      </c>
      <c r="L68" t="str" cm="1">
        <f t="array" ref="L68">_xlfn.IFS(E68&gt;=52000000,"Platinum",E68&gt;=37000000,"Gold",E68&gt;=30000000,"Sliver",E68&lt;30000000,"Bronze")</f>
        <v>Platinum</v>
      </c>
    </row>
    <row r="69" spans="1:12" x14ac:dyDescent="0.25">
      <c r="A69">
        <v>68</v>
      </c>
      <c r="B69" t="s">
        <v>89</v>
      </c>
      <c r="C69" t="s">
        <v>27</v>
      </c>
      <c r="D69" t="s">
        <v>25</v>
      </c>
      <c r="E69" s="4">
        <v>116553823</v>
      </c>
      <c r="F69" s="1">
        <f>CALCULATION!$C$11</f>
        <v>42.81</v>
      </c>
      <c r="G69" s="1">
        <v>28.75</v>
      </c>
      <c r="H69">
        <v>1724.93</v>
      </c>
      <c r="I69">
        <v>120.19</v>
      </c>
      <c r="J69" s="5">
        <v>46060</v>
      </c>
      <c r="K69">
        <f t="shared" si="1"/>
        <v>88.69</v>
      </c>
      <c r="L69" t="str" cm="1">
        <f t="array" ref="L69">_xlfn.IFS(E69&gt;=52000000,"Platinum",E69&gt;=37000000,"Gold",E69&gt;=30000000,"Sliver",E69&lt;30000000,"Bronze")</f>
        <v>Platinum</v>
      </c>
    </row>
    <row r="70" spans="1:12" x14ac:dyDescent="0.25">
      <c r="A70">
        <v>69</v>
      </c>
      <c r="B70" t="s">
        <v>90</v>
      </c>
      <c r="C70" t="s">
        <v>10</v>
      </c>
      <c r="D70" t="s">
        <v>17</v>
      </c>
      <c r="E70" s="4">
        <v>114127938</v>
      </c>
      <c r="F70">
        <v>46.8</v>
      </c>
      <c r="G70">
        <v>5.5</v>
      </c>
      <c r="H70">
        <v>330.23</v>
      </c>
      <c r="I70">
        <v>11.76</v>
      </c>
      <c r="J70" s="5">
        <v>46060</v>
      </c>
      <c r="K70">
        <f t="shared" si="1"/>
        <v>32.479999999999997</v>
      </c>
      <c r="L70" t="str" cm="1">
        <f t="array" ref="L70">_xlfn.IFS(E70&gt;=52000000,"Platinum",E70&gt;=37000000,"Gold",E70&gt;=30000000,"Sliver",E70&lt;30000000,"Bronze")</f>
        <v>Platinum</v>
      </c>
    </row>
    <row r="71" spans="1:12" x14ac:dyDescent="0.25">
      <c r="A71">
        <v>70</v>
      </c>
      <c r="B71" t="s">
        <v>91</v>
      </c>
      <c r="C71" t="s">
        <v>21</v>
      </c>
      <c r="D71" t="s">
        <v>17</v>
      </c>
      <c r="E71" s="4">
        <v>138014671</v>
      </c>
      <c r="F71">
        <v>43.66</v>
      </c>
      <c r="G71">
        <v>2.16</v>
      </c>
      <c r="H71">
        <v>129.82</v>
      </c>
      <c r="I71">
        <v>4.96</v>
      </c>
      <c r="J71" s="5">
        <v>46060</v>
      </c>
      <c r="K71">
        <f t="shared" si="1"/>
        <v>30.65</v>
      </c>
      <c r="L71" t="str" cm="1">
        <f t="array" ref="L71">_xlfn.IFS(E71&gt;=52000000,"Platinum",E71&gt;=37000000,"Gold",E71&gt;=30000000,"Sliver",E71&lt;30000000,"Bronze")</f>
        <v>Platinum</v>
      </c>
    </row>
    <row r="72" spans="1:12" x14ac:dyDescent="0.25">
      <c r="A72">
        <v>71</v>
      </c>
      <c r="B72" t="s">
        <v>92</v>
      </c>
      <c r="C72" t="s">
        <v>21</v>
      </c>
      <c r="D72" t="s">
        <v>13</v>
      </c>
      <c r="E72" s="4">
        <v>119251379</v>
      </c>
      <c r="F72" s="1">
        <f>CALCULATION!$C$11</f>
        <v>42.81</v>
      </c>
      <c r="G72" s="1">
        <v>2.4700000000000002</v>
      </c>
      <c r="H72">
        <v>148.43</v>
      </c>
      <c r="I72">
        <v>6.09</v>
      </c>
      <c r="J72" s="5">
        <v>46060</v>
      </c>
      <c r="K72">
        <f t="shared" si="1"/>
        <v>31.64</v>
      </c>
      <c r="L72" t="str" cm="1">
        <f t="array" ref="L72">_xlfn.IFS(E72&gt;=52000000,"Platinum",E72&gt;=37000000,"Gold",E72&gt;=30000000,"Sliver",E72&lt;30000000,"Bronze")</f>
        <v>Platinum</v>
      </c>
    </row>
    <row r="73" spans="1:12" x14ac:dyDescent="0.25">
      <c r="A73">
        <v>72</v>
      </c>
      <c r="B73" t="s">
        <v>93</v>
      </c>
      <c r="C73" t="s">
        <v>21</v>
      </c>
      <c r="D73" t="s">
        <v>32</v>
      </c>
      <c r="E73" s="4">
        <v>127396807</v>
      </c>
      <c r="F73">
        <v>46.75</v>
      </c>
      <c r="G73">
        <v>2.98</v>
      </c>
      <c r="H73">
        <v>178.92</v>
      </c>
      <c r="I73">
        <v>6.38</v>
      </c>
      <c r="J73" s="5">
        <v>46060</v>
      </c>
      <c r="K73">
        <f t="shared" si="1"/>
        <v>29.82</v>
      </c>
      <c r="L73" t="str" cm="1">
        <f t="array" ref="L73">_xlfn.IFS(E73&gt;=52000000,"Platinum",E73&gt;=37000000,"Gold",E73&gt;=30000000,"Sliver",E73&lt;30000000,"Bronze")</f>
        <v>Platinum</v>
      </c>
    </row>
    <row r="74" spans="1:12" x14ac:dyDescent="0.25">
      <c r="A74">
        <v>73</v>
      </c>
      <c r="B74" t="s">
        <v>94</v>
      </c>
      <c r="C74" t="s">
        <v>21</v>
      </c>
      <c r="D74" t="s">
        <v>32</v>
      </c>
      <c r="E74" s="4">
        <v>96865454</v>
      </c>
      <c r="F74">
        <v>36.909999999999997</v>
      </c>
      <c r="G74">
        <v>2.91</v>
      </c>
      <c r="H74">
        <v>174.56</v>
      </c>
      <c r="I74">
        <v>7.88</v>
      </c>
      <c r="J74" s="5">
        <v>46060</v>
      </c>
      <c r="K74">
        <f t="shared" si="1"/>
        <v>35.49</v>
      </c>
      <c r="L74" t="str" cm="1">
        <f t="array" ref="L74">_xlfn.IFS(E74&gt;=52000000,"Platinum",E74&gt;=37000000,"Gold",E74&gt;=30000000,"Sliver",E74&lt;30000000,"Bronze")</f>
        <v>Platinum</v>
      </c>
    </row>
    <row r="75" spans="1:12" x14ac:dyDescent="0.25">
      <c r="A75">
        <v>74</v>
      </c>
      <c r="B75" t="s">
        <v>95</v>
      </c>
      <c r="C75" t="s">
        <v>21</v>
      </c>
      <c r="D75" t="s">
        <v>25</v>
      </c>
      <c r="E75" s="4">
        <v>110007516</v>
      </c>
      <c r="F75">
        <v>40.97</v>
      </c>
      <c r="G75">
        <v>2.0299999999999998</v>
      </c>
      <c r="H75">
        <v>121.7</v>
      </c>
      <c r="I75">
        <v>4.95</v>
      </c>
      <c r="J75" s="5">
        <v>46060</v>
      </c>
      <c r="K75">
        <f t="shared" si="1"/>
        <v>31.99</v>
      </c>
      <c r="L75" t="str" cm="1">
        <f t="array" ref="L75">_xlfn.IFS(E75&gt;=52000000,"Platinum",E75&gt;=37000000,"Gold",E75&gt;=30000000,"Sliver",E75&lt;30000000,"Bronze")</f>
        <v>Platinum</v>
      </c>
    </row>
    <row r="76" spans="1:12" x14ac:dyDescent="0.25">
      <c r="A76">
        <v>75</v>
      </c>
      <c r="B76" t="s">
        <v>96</v>
      </c>
      <c r="C76" t="s">
        <v>19</v>
      </c>
      <c r="D76" t="s">
        <v>13</v>
      </c>
      <c r="E76" s="4">
        <v>105210092</v>
      </c>
      <c r="F76">
        <v>53.32</v>
      </c>
      <c r="G76">
        <v>3.77</v>
      </c>
      <c r="H76">
        <v>226.41</v>
      </c>
      <c r="I76">
        <v>7.08</v>
      </c>
      <c r="J76" s="5">
        <v>46060</v>
      </c>
      <c r="K76">
        <f t="shared" si="1"/>
        <v>26.88</v>
      </c>
      <c r="L76" t="str" cm="1">
        <f t="array" ref="L76">_xlfn.IFS(E76&gt;=52000000,"Platinum",E76&gt;=37000000,"Gold",E76&gt;=30000000,"Sliver",E76&lt;30000000,"Bronze")</f>
        <v>Platinum</v>
      </c>
    </row>
    <row r="77" spans="1:12" x14ac:dyDescent="0.25">
      <c r="A77">
        <v>76</v>
      </c>
      <c r="B77" t="s">
        <v>97</v>
      </c>
      <c r="C77" t="s">
        <v>10</v>
      </c>
      <c r="D77" t="s">
        <v>25</v>
      </c>
      <c r="E77" s="4">
        <v>102276655</v>
      </c>
      <c r="F77">
        <v>51.04</v>
      </c>
      <c r="G77">
        <v>8.42</v>
      </c>
      <c r="H77">
        <v>505.15</v>
      </c>
      <c r="I77">
        <v>16.5</v>
      </c>
      <c r="J77" s="5">
        <v>46060</v>
      </c>
      <c r="K77">
        <f t="shared" si="1"/>
        <v>32.729999999999997</v>
      </c>
      <c r="L77" t="str" cm="1">
        <f t="array" ref="L77">_xlfn.IFS(E77&gt;=52000000,"Platinum",E77&gt;=37000000,"Gold",E77&gt;=30000000,"Sliver",E77&lt;30000000,"Bronze")</f>
        <v>Platinum</v>
      </c>
    </row>
    <row r="78" spans="1:12" x14ac:dyDescent="0.25">
      <c r="A78">
        <v>77</v>
      </c>
      <c r="B78" t="s">
        <v>98</v>
      </c>
      <c r="C78" t="s">
        <v>16</v>
      </c>
      <c r="D78" t="s">
        <v>11</v>
      </c>
      <c r="E78" s="4">
        <v>101068570</v>
      </c>
      <c r="F78" s="1">
        <f>CALCULATION!$C$11</f>
        <v>42.81</v>
      </c>
      <c r="G78" s="1">
        <v>5.22</v>
      </c>
      <c r="H78">
        <v>313.01</v>
      </c>
      <c r="I78">
        <v>14.3</v>
      </c>
      <c r="J78" s="5">
        <v>46060</v>
      </c>
      <c r="K78">
        <f t="shared" si="1"/>
        <v>35.75</v>
      </c>
      <c r="L78" t="str" cm="1">
        <f t="array" ref="L78">_xlfn.IFS(E78&gt;=52000000,"Platinum",E78&gt;=37000000,"Gold",E78&gt;=30000000,"Sliver",E78&lt;30000000,"Bronze")</f>
        <v>Platinum</v>
      </c>
    </row>
    <row r="79" spans="1:12" x14ac:dyDescent="0.25">
      <c r="A79">
        <v>78</v>
      </c>
      <c r="B79" t="s">
        <v>99</v>
      </c>
      <c r="C79" t="s">
        <v>19</v>
      </c>
      <c r="D79" t="s">
        <v>13</v>
      </c>
      <c r="E79" s="4">
        <v>92099550</v>
      </c>
      <c r="F79">
        <v>57.7</v>
      </c>
      <c r="G79">
        <v>9.41</v>
      </c>
      <c r="H79">
        <v>564.57000000000005</v>
      </c>
      <c r="I79">
        <v>16.309999999999999</v>
      </c>
      <c r="J79" s="5">
        <v>46060</v>
      </c>
      <c r="K79">
        <f t="shared" si="1"/>
        <v>29.31</v>
      </c>
      <c r="L79" t="str" cm="1">
        <f t="array" ref="L79">_xlfn.IFS(E79&gt;=52000000,"Platinum",E79&gt;=37000000,"Gold",E79&gt;=30000000,"Sliver",E79&lt;30000000,"Bronze")</f>
        <v>Platinum</v>
      </c>
    </row>
    <row r="80" spans="1:12" x14ac:dyDescent="0.25">
      <c r="A80">
        <v>79</v>
      </c>
      <c r="B80" t="s">
        <v>100</v>
      </c>
      <c r="C80" t="s">
        <v>21</v>
      </c>
      <c r="D80" t="s">
        <v>32</v>
      </c>
      <c r="E80" s="4">
        <v>134286769</v>
      </c>
      <c r="F80">
        <v>37.380000000000003</v>
      </c>
      <c r="G80">
        <v>2.2000000000000002</v>
      </c>
      <c r="H80">
        <v>132.16</v>
      </c>
      <c r="I80">
        <v>5.89</v>
      </c>
      <c r="J80" s="5">
        <v>46060</v>
      </c>
      <c r="K80">
        <f t="shared" si="1"/>
        <v>34.26</v>
      </c>
      <c r="L80" t="str" cm="1">
        <f t="array" ref="L80">_xlfn.IFS(E80&gt;=52000000,"Platinum",E80&gt;=37000000,"Gold",E80&gt;=30000000,"Sliver",E80&lt;30000000,"Bronze")</f>
        <v>Platinum</v>
      </c>
    </row>
    <row r="81" spans="1:12" x14ac:dyDescent="0.25">
      <c r="A81">
        <v>80</v>
      </c>
      <c r="B81" t="s">
        <v>101</v>
      </c>
      <c r="C81" t="s">
        <v>46</v>
      </c>
      <c r="D81" t="s">
        <v>13</v>
      </c>
      <c r="E81" s="4">
        <v>93811453</v>
      </c>
      <c r="F81">
        <v>46.2</v>
      </c>
      <c r="G81">
        <v>9.5399999999999991</v>
      </c>
      <c r="H81">
        <v>572.61</v>
      </c>
      <c r="I81">
        <v>20.66</v>
      </c>
      <c r="J81" s="5">
        <v>46060</v>
      </c>
      <c r="K81">
        <f t="shared" si="1"/>
        <v>37.229999999999997</v>
      </c>
      <c r="L81" t="str" cm="1">
        <f t="array" ref="L81">_xlfn.IFS(E81&gt;=52000000,"Platinum",E81&gt;=37000000,"Gold",E81&gt;=30000000,"Sliver",E81&lt;30000000,"Bronze")</f>
        <v>Platinum</v>
      </c>
    </row>
    <row r="82" spans="1:12" x14ac:dyDescent="0.25">
      <c r="A82">
        <v>81</v>
      </c>
      <c r="B82" t="s">
        <v>102</v>
      </c>
      <c r="C82" t="s">
        <v>27</v>
      </c>
      <c r="D82" t="s">
        <v>25</v>
      </c>
      <c r="E82" s="4">
        <v>89571837</v>
      </c>
      <c r="F82">
        <v>28.61</v>
      </c>
      <c r="G82">
        <v>18.510000000000002</v>
      </c>
      <c r="H82">
        <v>1110.6300000000001</v>
      </c>
      <c r="I82">
        <v>64.7</v>
      </c>
      <c r="J82" s="5">
        <v>46060</v>
      </c>
      <c r="K82">
        <f t="shared" si="1"/>
        <v>68.05</v>
      </c>
      <c r="L82" t="str" cm="1">
        <f t="array" ref="L82">_xlfn.IFS(E82&gt;=52000000,"Platinum",E82&gt;=37000000,"Gold",E82&gt;=30000000,"Sliver",E82&lt;30000000,"Bronze")</f>
        <v>Platinum</v>
      </c>
    </row>
    <row r="83" spans="1:12" x14ac:dyDescent="0.25">
      <c r="A83">
        <v>82</v>
      </c>
      <c r="B83" t="s">
        <v>103</v>
      </c>
      <c r="C83" t="s">
        <v>10</v>
      </c>
      <c r="D83" t="s">
        <v>25</v>
      </c>
      <c r="E83" s="4">
        <v>99022170</v>
      </c>
      <c r="F83">
        <v>39.380000000000003</v>
      </c>
      <c r="G83">
        <v>5.09</v>
      </c>
      <c r="H83">
        <v>305.37</v>
      </c>
      <c r="I83">
        <v>12.92</v>
      </c>
      <c r="J83" s="5">
        <v>46060</v>
      </c>
      <c r="K83">
        <f t="shared" si="1"/>
        <v>36.770000000000003</v>
      </c>
      <c r="L83" t="str" cm="1">
        <f t="array" ref="L83">_xlfn.IFS(E83&gt;=52000000,"Platinum",E83&gt;=37000000,"Gold",E83&gt;=30000000,"Sliver",E83&lt;30000000,"Bronze")</f>
        <v>Platinum</v>
      </c>
    </row>
    <row r="84" spans="1:12" x14ac:dyDescent="0.25">
      <c r="A84">
        <v>83</v>
      </c>
      <c r="B84" t="s">
        <v>104</v>
      </c>
      <c r="C84" t="s">
        <v>27</v>
      </c>
      <c r="D84" t="s">
        <v>22</v>
      </c>
      <c r="E84" s="4">
        <v>94714232</v>
      </c>
      <c r="F84">
        <v>23.43</v>
      </c>
      <c r="G84">
        <v>22.58</v>
      </c>
      <c r="H84">
        <v>1354.54</v>
      </c>
      <c r="I84">
        <v>96.35</v>
      </c>
      <c r="J84" s="5">
        <v>46060</v>
      </c>
      <c r="K84">
        <f t="shared" si="1"/>
        <v>86.46</v>
      </c>
      <c r="L84" t="str" cm="1">
        <f t="array" ref="L84">_xlfn.IFS(E84&gt;=52000000,"Platinum",E84&gt;=37000000,"Gold",E84&gt;=30000000,"Sliver",E84&lt;30000000,"Bronze")</f>
        <v>Platinum</v>
      </c>
    </row>
    <row r="85" spans="1:12" x14ac:dyDescent="0.25">
      <c r="A85">
        <v>84</v>
      </c>
      <c r="B85" t="s">
        <v>105</v>
      </c>
      <c r="C85" t="s">
        <v>27</v>
      </c>
      <c r="D85" t="s">
        <v>22</v>
      </c>
      <c r="E85" s="4">
        <v>105263198</v>
      </c>
      <c r="F85">
        <v>27.55</v>
      </c>
      <c r="G85">
        <v>20.9</v>
      </c>
      <c r="H85">
        <v>1253.81</v>
      </c>
      <c r="I85">
        <v>75.849999999999994</v>
      </c>
      <c r="J85" s="5">
        <v>46060</v>
      </c>
      <c r="K85">
        <f t="shared" si="1"/>
        <v>74.150000000000006</v>
      </c>
      <c r="L85" t="str" cm="1">
        <f t="array" ref="L85">_xlfn.IFS(E85&gt;=52000000,"Platinum",E85&gt;=37000000,"Gold",E85&gt;=30000000,"Sliver",E85&lt;30000000,"Bronze")</f>
        <v>Platinum</v>
      </c>
    </row>
    <row r="86" spans="1:12" x14ac:dyDescent="0.25">
      <c r="A86">
        <v>85</v>
      </c>
      <c r="B86" t="s">
        <v>106</v>
      </c>
      <c r="C86" t="s">
        <v>46</v>
      </c>
      <c r="D86" t="s">
        <v>32</v>
      </c>
      <c r="E86" s="4">
        <v>107720659</v>
      </c>
      <c r="F86">
        <v>30.51</v>
      </c>
      <c r="G86">
        <v>5.61</v>
      </c>
      <c r="H86">
        <v>336.79</v>
      </c>
      <c r="I86">
        <v>18.399999999999999</v>
      </c>
      <c r="J86" s="5">
        <v>46060</v>
      </c>
      <c r="K86">
        <f t="shared" si="1"/>
        <v>43.95</v>
      </c>
      <c r="L86" t="str" cm="1">
        <f t="array" ref="L86">_xlfn.IFS(E86&gt;=52000000,"Platinum",E86&gt;=37000000,"Gold",E86&gt;=30000000,"Sliver",E86&lt;30000000,"Bronze")</f>
        <v>Platinum</v>
      </c>
    </row>
    <row r="87" spans="1:12" x14ac:dyDescent="0.25">
      <c r="A87">
        <v>86</v>
      </c>
      <c r="B87" t="s">
        <v>107</v>
      </c>
      <c r="C87" t="s">
        <v>19</v>
      </c>
      <c r="D87" t="s">
        <v>17</v>
      </c>
      <c r="E87" s="4">
        <v>93228957</v>
      </c>
      <c r="F87">
        <v>52.39</v>
      </c>
      <c r="G87">
        <v>4.43</v>
      </c>
      <c r="H87">
        <v>265.77999999999997</v>
      </c>
      <c r="I87">
        <v>8.4600000000000009</v>
      </c>
      <c r="J87" s="5">
        <v>46060</v>
      </c>
      <c r="K87">
        <f t="shared" si="1"/>
        <v>28.04</v>
      </c>
      <c r="L87" t="str" cm="1">
        <f t="array" ref="L87">_xlfn.IFS(E87&gt;=52000000,"Platinum",E87&gt;=37000000,"Gold",E87&gt;=30000000,"Sliver",E87&lt;30000000,"Bronze")</f>
        <v>Platinum</v>
      </c>
    </row>
    <row r="88" spans="1:12" x14ac:dyDescent="0.25">
      <c r="A88">
        <v>87</v>
      </c>
      <c r="B88" t="s">
        <v>108</v>
      </c>
      <c r="C88" t="s">
        <v>29</v>
      </c>
      <c r="D88" t="s">
        <v>13</v>
      </c>
      <c r="E88" s="4">
        <v>114905672</v>
      </c>
      <c r="F88">
        <v>51.25</v>
      </c>
      <c r="G88">
        <v>8.3699999999999992</v>
      </c>
      <c r="H88">
        <v>502.04</v>
      </c>
      <c r="I88">
        <v>16.329999999999998</v>
      </c>
      <c r="J88" s="5">
        <v>46060</v>
      </c>
      <c r="K88">
        <f t="shared" si="1"/>
        <v>32.54</v>
      </c>
      <c r="L88" t="str" cm="1">
        <f t="array" ref="L88">_xlfn.IFS(E88&gt;=52000000,"Platinum",E88&gt;=37000000,"Gold",E88&gt;=30000000,"Sliver",E88&lt;30000000,"Bronze")</f>
        <v>Platinum</v>
      </c>
    </row>
    <row r="89" spans="1:12" x14ac:dyDescent="0.25">
      <c r="A89">
        <v>88</v>
      </c>
      <c r="B89" t="s">
        <v>109</v>
      </c>
      <c r="C89" t="s">
        <v>10</v>
      </c>
      <c r="D89" t="s">
        <v>25</v>
      </c>
      <c r="E89" s="4">
        <v>96115886</v>
      </c>
      <c r="F89">
        <v>31.53</v>
      </c>
      <c r="G89">
        <v>8.6199999999999992</v>
      </c>
      <c r="H89">
        <v>517.16999999999996</v>
      </c>
      <c r="I89">
        <v>27.34</v>
      </c>
      <c r="J89" s="5">
        <v>46060</v>
      </c>
      <c r="K89">
        <f t="shared" si="1"/>
        <v>47.91</v>
      </c>
      <c r="L89" t="str" cm="1">
        <f t="array" ref="L89">_xlfn.IFS(E89&gt;=52000000,"Platinum",E89&gt;=37000000,"Gold",E89&gt;=30000000,"Sliver",E89&lt;30000000,"Bronze")</f>
        <v>Platinum</v>
      </c>
    </row>
    <row r="90" spans="1:12" x14ac:dyDescent="0.25">
      <c r="A90">
        <v>89</v>
      </c>
      <c r="B90" t="s">
        <v>110</v>
      </c>
      <c r="C90" t="s">
        <v>16</v>
      </c>
      <c r="D90" t="s">
        <v>13</v>
      </c>
      <c r="E90" s="4">
        <v>87374725</v>
      </c>
      <c r="F90">
        <v>37.56</v>
      </c>
      <c r="G90">
        <v>7.51</v>
      </c>
      <c r="H90">
        <v>450.89</v>
      </c>
      <c r="I90">
        <v>20.010000000000002</v>
      </c>
      <c r="J90" s="5">
        <v>46060</v>
      </c>
      <c r="K90">
        <f t="shared" si="1"/>
        <v>41.23</v>
      </c>
      <c r="L90" t="str" cm="1">
        <f t="array" ref="L90">_xlfn.IFS(E90&gt;=52000000,"Platinum",E90&gt;=37000000,"Gold",E90&gt;=30000000,"Sliver",E90&lt;30000000,"Bronze")</f>
        <v>Platinum</v>
      </c>
    </row>
    <row r="91" spans="1:12" x14ac:dyDescent="0.25">
      <c r="A91">
        <v>90</v>
      </c>
      <c r="B91" t="s">
        <v>111</v>
      </c>
      <c r="C91" t="s">
        <v>29</v>
      </c>
      <c r="D91" t="s">
        <v>32</v>
      </c>
      <c r="E91" s="4">
        <v>126027496</v>
      </c>
      <c r="F91">
        <v>55.39</v>
      </c>
      <c r="G91">
        <v>9.8800000000000008</v>
      </c>
      <c r="H91">
        <v>592.64</v>
      </c>
      <c r="I91">
        <v>17.829999999999998</v>
      </c>
      <c r="J91" s="5">
        <v>46060</v>
      </c>
      <c r="K91">
        <f t="shared" si="1"/>
        <v>31.22</v>
      </c>
      <c r="L91" t="str" cm="1">
        <f t="array" ref="L91">_xlfn.IFS(E91&gt;=52000000,"Platinum",E91&gt;=37000000,"Gold",E91&gt;=30000000,"Sliver",E91&lt;30000000,"Bronze")</f>
        <v>Platinum</v>
      </c>
    </row>
    <row r="92" spans="1:12" x14ac:dyDescent="0.25">
      <c r="A92">
        <v>91</v>
      </c>
      <c r="B92" t="s">
        <v>112</v>
      </c>
      <c r="C92" t="s">
        <v>29</v>
      </c>
      <c r="D92" t="s">
        <v>17</v>
      </c>
      <c r="E92" s="4">
        <v>107839816</v>
      </c>
      <c r="F92">
        <v>44.19</v>
      </c>
      <c r="G92">
        <v>5.72</v>
      </c>
      <c r="H92" s="1">
        <f>CALCULATION!$D$11</f>
        <v>343.315</v>
      </c>
      <c r="I92">
        <v>22.02</v>
      </c>
      <c r="J92" s="5">
        <v>46060</v>
      </c>
      <c r="K92">
        <f t="shared" si="1"/>
        <v>38.92</v>
      </c>
      <c r="L92" t="str" cm="1">
        <f t="array" ref="L92">_xlfn.IFS(E92&gt;=52000000,"Platinum",E92&gt;=37000000,"Gold",E92&gt;=30000000,"Sliver",E92&lt;30000000,"Bronze")</f>
        <v>Platinum</v>
      </c>
    </row>
    <row r="93" spans="1:12" x14ac:dyDescent="0.25">
      <c r="A93">
        <v>92</v>
      </c>
      <c r="B93" t="s">
        <v>113</v>
      </c>
      <c r="C93" t="s">
        <v>19</v>
      </c>
      <c r="D93" t="s">
        <v>17</v>
      </c>
      <c r="E93" s="4">
        <v>115517550</v>
      </c>
      <c r="F93">
        <v>32.81</v>
      </c>
      <c r="G93">
        <v>3.45</v>
      </c>
      <c r="H93">
        <v>206.89</v>
      </c>
      <c r="I93">
        <v>10.51</v>
      </c>
      <c r="J93" s="5">
        <v>46060</v>
      </c>
      <c r="K93">
        <f t="shared" si="1"/>
        <v>38.85</v>
      </c>
      <c r="L93" t="str" cm="1">
        <f t="array" ref="L93">_xlfn.IFS(E93&gt;=52000000,"Platinum",E93&gt;=37000000,"Gold",E93&gt;=30000000,"Sliver",E93&lt;30000000,"Bronze")</f>
        <v>Platinum</v>
      </c>
    </row>
    <row r="94" spans="1:12" x14ac:dyDescent="0.25">
      <c r="A94">
        <v>93</v>
      </c>
      <c r="B94" t="s">
        <v>114</v>
      </c>
      <c r="C94" t="s">
        <v>16</v>
      </c>
      <c r="D94" t="s">
        <v>17</v>
      </c>
      <c r="E94" s="4">
        <v>103071215</v>
      </c>
      <c r="F94">
        <v>47.94</v>
      </c>
      <c r="G94">
        <v>8.68</v>
      </c>
      <c r="H94">
        <v>520.98</v>
      </c>
      <c r="I94">
        <v>18.11</v>
      </c>
      <c r="J94" s="5">
        <v>46060</v>
      </c>
      <c r="K94">
        <f t="shared" si="1"/>
        <v>35.090000000000003</v>
      </c>
      <c r="L94" t="str" cm="1">
        <f t="array" ref="L94">_xlfn.IFS(E94&gt;=52000000,"Platinum",E94&gt;=37000000,"Gold",E94&gt;=30000000,"Sliver",E94&lt;30000000,"Bronze")</f>
        <v>Platinum</v>
      </c>
    </row>
    <row r="95" spans="1:12" x14ac:dyDescent="0.25">
      <c r="A95">
        <v>94</v>
      </c>
      <c r="B95" t="s">
        <v>115</v>
      </c>
      <c r="C95" t="s">
        <v>21</v>
      </c>
      <c r="D95" t="s">
        <v>13</v>
      </c>
      <c r="E95" s="4">
        <v>116860451</v>
      </c>
      <c r="F95">
        <v>49.79</v>
      </c>
      <c r="G95">
        <v>2.38</v>
      </c>
      <c r="H95">
        <v>142.56</v>
      </c>
      <c r="I95">
        <v>4.7699999999999996</v>
      </c>
      <c r="J95" s="5">
        <v>46060</v>
      </c>
      <c r="K95">
        <f t="shared" si="1"/>
        <v>27.49</v>
      </c>
      <c r="L95" t="str" cm="1">
        <f t="array" ref="L95">_xlfn.IFS(E95&gt;=52000000,"Platinum",E95&gt;=37000000,"Gold",E95&gt;=30000000,"Sliver",E95&lt;30000000,"Bronze")</f>
        <v>Platinum</v>
      </c>
    </row>
    <row r="96" spans="1:12" x14ac:dyDescent="0.25">
      <c r="A96">
        <v>95</v>
      </c>
      <c r="B96" t="s">
        <v>116</v>
      </c>
      <c r="C96" t="s">
        <v>27</v>
      </c>
      <c r="D96" t="s">
        <v>17</v>
      </c>
      <c r="E96" s="4">
        <v>110731363</v>
      </c>
      <c r="F96">
        <v>17.59</v>
      </c>
      <c r="G96">
        <v>13.29</v>
      </c>
      <c r="H96">
        <v>797.37</v>
      </c>
      <c r="I96">
        <v>75.55</v>
      </c>
      <c r="J96" s="5">
        <v>46060</v>
      </c>
      <c r="K96">
        <f t="shared" si="1"/>
        <v>78.98</v>
      </c>
      <c r="L96" t="str" cm="1">
        <f t="array" ref="L96">_xlfn.IFS(E96&gt;=52000000,"Platinum",E96&gt;=37000000,"Gold",E96&gt;=30000000,"Sliver",E96&lt;30000000,"Bronze")</f>
        <v>Platinum</v>
      </c>
    </row>
    <row r="97" spans="1:12" x14ac:dyDescent="0.25">
      <c r="A97">
        <v>96</v>
      </c>
      <c r="B97" t="s">
        <v>117</v>
      </c>
      <c r="C97" t="s">
        <v>10</v>
      </c>
      <c r="D97" t="s">
        <v>22</v>
      </c>
      <c r="E97" s="4">
        <v>81730122</v>
      </c>
      <c r="F97">
        <v>34.770000000000003</v>
      </c>
      <c r="G97">
        <v>5.72</v>
      </c>
      <c r="H97" s="1">
        <f>CALCULATION!$D$11</f>
        <v>343.315</v>
      </c>
      <c r="I97">
        <v>9.61</v>
      </c>
      <c r="J97" s="5">
        <v>46060</v>
      </c>
      <c r="K97">
        <f t="shared" si="1"/>
        <v>37.42</v>
      </c>
      <c r="L97" t="str" cm="1">
        <f t="array" ref="L97">_xlfn.IFS(E97&gt;=52000000,"Platinum",E97&gt;=37000000,"Gold",E97&gt;=30000000,"Sliver",E97&lt;30000000,"Bronze")</f>
        <v>Platinum</v>
      </c>
    </row>
    <row r="98" spans="1:12" x14ac:dyDescent="0.25">
      <c r="A98">
        <v>97</v>
      </c>
      <c r="B98" t="s">
        <v>118</v>
      </c>
      <c r="C98" t="s">
        <v>46</v>
      </c>
      <c r="D98" t="s">
        <v>32</v>
      </c>
      <c r="E98" s="4">
        <v>108152824</v>
      </c>
      <c r="F98">
        <v>42.64</v>
      </c>
      <c r="G98">
        <v>6.94</v>
      </c>
      <c r="H98">
        <v>416.24</v>
      </c>
      <c r="I98">
        <v>16.27</v>
      </c>
      <c r="J98" s="5">
        <v>46060</v>
      </c>
      <c r="K98">
        <f t="shared" si="1"/>
        <v>36.82</v>
      </c>
      <c r="L98" t="str" cm="1">
        <f t="array" ref="L98">_xlfn.IFS(E98&gt;=52000000,"Platinum",E98&gt;=37000000,"Gold",E98&gt;=30000000,"Sliver",E98&lt;30000000,"Bronze")</f>
        <v>Platinum</v>
      </c>
    </row>
    <row r="99" spans="1:12" x14ac:dyDescent="0.25">
      <c r="A99">
        <v>98</v>
      </c>
      <c r="B99" t="s">
        <v>119</v>
      </c>
      <c r="C99" t="s">
        <v>29</v>
      </c>
      <c r="D99" t="s">
        <v>17</v>
      </c>
      <c r="E99" s="4">
        <v>82010552</v>
      </c>
      <c r="F99">
        <v>33.18</v>
      </c>
      <c r="G99">
        <v>2.0699999999999998</v>
      </c>
      <c r="H99">
        <v>124.17</v>
      </c>
      <c r="I99">
        <v>6.24</v>
      </c>
      <c r="J99" s="5">
        <v>46060</v>
      </c>
      <c r="K99">
        <f t="shared" si="1"/>
        <v>36.53</v>
      </c>
      <c r="L99" t="str" cm="1">
        <f t="array" ref="L99">_xlfn.IFS(E99&gt;=52000000,"Platinum",E99&gt;=37000000,"Gold",E99&gt;=30000000,"Sliver",E99&lt;30000000,"Bronze")</f>
        <v>Platinum</v>
      </c>
    </row>
    <row r="100" spans="1:12" x14ac:dyDescent="0.25">
      <c r="A100">
        <v>99</v>
      </c>
      <c r="B100" t="s">
        <v>120</v>
      </c>
      <c r="C100" t="s">
        <v>27</v>
      </c>
      <c r="D100" t="s">
        <v>17</v>
      </c>
      <c r="E100" s="4">
        <v>104101893</v>
      </c>
      <c r="F100">
        <v>16.57</v>
      </c>
      <c r="G100">
        <v>34.25</v>
      </c>
      <c r="H100">
        <v>2054.85</v>
      </c>
      <c r="I100">
        <v>206.68</v>
      </c>
      <c r="J100" s="5">
        <v>46060</v>
      </c>
      <c r="K100">
        <f t="shared" si="1"/>
        <v>145.06</v>
      </c>
      <c r="L100" t="str" cm="1">
        <f t="array" ref="L100">_xlfn.IFS(E100&gt;=52000000,"Platinum",E100&gt;=37000000,"Gold",E100&gt;=30000000,"Sliver",E100&lt;30000000,"Bronze")</f>
        <v>Platinum</v>
      </c>
    </row>
    <row r="101" spans="1:12" x14ac:dyDescent="0.25">
      <c r="A101">
        <v>100</v>
      </c>
      <c r="B101" t="s">
        <v>121</v>
      </c>
      <c r="C101" t="s">
        <v>21</v>
      </c>
      <c r="D101" t="s">
        <v>22</v>
      </c>
      <c r="E101" s="4">
        <v>111540216</v>
      </c>
      <c r="F101">
        <v>36.97</v>
      </c>
      <c r="G101">
        <v>2.2400000000000002</v>
      </c>
      <c r="H101">
        <v>134.58000000000001</v>
      </c>
      <c r="I101">
        <v>6.07</v>
      </c>
      <c r="J101" s="5">
        <v>46060</v>
      </c>
      <c r="K101">
        <f t="shared" si="1"/>
        <v>34.549999999999997</v>
      </c>
      <c r="L101" t="str" cm="1">
        <f t="array" ref="L101">_xlfn.IFS(E101&gt;=52000000,"Platinum",E101&gt;=37000000,"Gold",E101&gt;=30000000,"Sliver",E101&lt;30000000,"Bronze")</f>
        <v>Platinum</v>
      </c>
    </row>
    <row r="102" spans="1:12" x14ac:dyDescent="0.25">
      <c r="A102">
        <v>101</v>
      </c>
      <c r="B102" t="s">
        <v>122</v>
      </c>
      <c r="C102" t="s">
        <v>29</v>
      </c>
      <c r="D102" t="s">
        <v>17</v>
      </c>
      <c r="E102" s="4">
        <v>108946965</v>
      </c>
      <c r="F102">
        <v>30.56</v>
      </c>
      <c r="G102">
        <v>8.23</v>
      </c>
      <c r="H102">
        <v>493.74</v>
      </c>
      <c r="I102">
        <v>26.93</v>
      </c>
      <c r="J102" s="5">
        <v>46060</v>
      </c>
      <c r="K102">
        <f t="shared" si="1"/>
        <v>48.19</v>
      </c>
      <c r="L102" t="str" cm="1">
        <f t="array" ref="L102">_xlfn.IFS(E102&gt;=52000000,"Platinum",E102&gt;=37000000,"Gold",E102&gt;=30000000,"Sliver",E102&lt;30000000,"Bronze")</f>
        <v>Platinum</v>
      </c>
    </row>
    <row r="103" spans="1:12" x14ac:dyDescent="0.25">
      <c r="A103">
        <v>102</v>
      </c>
      <c r="B103" t="s">
        <v>123</v>
      </c>
      <c r="C103" t="s">
        <v>19</v>
      </c>
      <c r="D103" t="s">
        <v>11</v>
      </c>
      <c r="E103" s="4">
        <v>81766226</v>
      </c>
      <c r="F103">
        <v>33.26</v>
      </c>
      <c r="G103">
        <v>7.32</v>
      </c>
      <c r="H103">
        <v>438.97</v>
      </c>
      <c r="I103">
        <v>22</v>
      </c>
      <c r="J103" s="5">
        <v>46060</v>
      </c>
      <c r="K103">
        <f t="shared" si="1"/>
        <v>44.37</v>
      </c>
      <c r="L103" t="str" cm="1">
        <f t="array" ref="L103">_xlfn.IFS(E103&gt;=52000000,"Platinum",E103&gt;=37000000,"Gold",E103&gt;=30000000,"Sliver",E103&lt;30000000,"Bronze")</f>
        <v>Platinum</v>
      </c>
    </row>
    <row r="104" spans="1:12" x14ac:dyDescent="0.25">
      <c r="A104">
        <v>103</v>
      </c>
      <c r="B104" t="s">
        <v>124</v>
      </c>
      <c r="C104" t="s">
        <v>29</v>
      </c>
      <c r="D104" t="s">
        <v>13</v>
      </c>
      <c r="E104" s="4">
        <v>98260992</v>
      </c>
      <c r="F104">
        <v>52.6</v>
      </c>
      <c r="G104">
        <v>9.89</v>
      </c>
      <c r="H104">
        <v>593.37</v>
      </c>
      <c r="I104">
        <v>18.8</v>
      </c>
      <c r="J104" s="5">
        <v>46060</v>
      </c>
      <c r="K104">
        <f t="shared" si="1"/>
        <v>33.1</v>
      </c>
      <c r="L104" t="str" cm="1">
        <f t="array" ref="L104">_xlfn.IFS(E104&gt;=52000000,"Platinum",E104&gt;=37000000,"Gold",E104&gt;=30000000,"Sliver",E104&lt;30000000,"Bronze")</f>
        <v>Platinum</v>
      </c>
    </row>
    <row r="105" spans="1:12" x14ac:dyDescent="0.25">
      <c r="A105">
        <v>104</v>
      </c>
      <c r="B105" t="s">
        <v>125</v>
      </c>
      <c r="C105" t="s">
        <v>27</v>
      </c>
      <c r="D105" t="s">
        <v>11</v>
      </c>
      <c r="E105" s="4">
        <v>102300667</v>
      </c>
      <c r="F105">
        <v>16.399999999999999</v>
      </c>
      <c r="G105">
        <v>14.74</v>
      </c>
      <c r="H105">
        <v>884.62</v>
      </c>
      <c r="I105">
        <v>89.9</v>
      </c>
      <c r="J105" s="5">
        <v>46060</v>
      </c>
      <c r="K105">
        <f t="shared" si="1"/>
        <v>86.75</v>
      </c>
      <c r="L105" t="str" cm="1">
        <f t="array" ref="L105">_xlfn.IFS(E105&gt;=52000000,"Platinum",E105&gt;=37000000,"Gold",E105&gt;=30000000,"Sliver",E105&lt;30000000,"Bronze")</f>
        <v>Platinum</v>
      </c>
    </row>
    <row r="106" spans="1:12" x14ac:dyDescent="0.25">
      <c r="A106">
        <v>105</v>
      </c>
      <c r="B106" t="s">
        <v>126</v>
      </c>
      <c r="C106" t="s">
        <v>27</v>
      </c>
      <c r="D106" t="s">
        <v>22</v>
      </c>
      <c r="E106" s="4">
        <v>90806819</v>
      </c>
      <c r="F106">
        <v>19.48</v>
      </c>
      <c r="G106">
        <v>11.02</v>
      </c>
      <c r="H106">
        <v>660.99</v>
      </c>
      <c r="I106">
        <v>56.55</v>
      </c>
      <c r="J106" s="5">
        <v>46060</v>
      </c>
      <c r="K106">
        <f t="shared" si="1"/>
        <v>68.540000000000006</v>
      </c>
      <c r="L106" t="str" cm="1">
        <f t="array" ref="L106">_xlfn.IFS(E106&gt;=52000000,"Platinum",E106&gt;=37000000,"Gold",E106&gt;=30000000,"Sliver",E106&lt;30000000,"Bronze")</f>
        <v>Platinum</v>
      </c>
    </row>
    <row r="107" spans="1:12" x14ac:dyDescent="0.25">
      <c r="A107">
        <v>106</v>
      </c>
      <c r="B107" t="s">
        <v>127</v>
      </c>
      <c r="C107" t="s">
        <v>46</v>
      </c>
      <c r="D107" t="s">
        <v>32</v>
      </c>
      <c r="E107" s="4">
        <v>100469582</v>
      </c>
      <c r="F107">
        <v>36.229999999999997</v>
      </c>
      <c r="G107">
        <v>8</v>
      </c>
      <c r="H107">
        <v>480.1</v>
      </c>
      <c r="I107">
        <v>22.09</v>
      </c>
      <c r="J107" s="5">
        <v>46060</v>
      </c>
      <c r="K107">
        <f t="shared" si="1"/>
        <v>42.93</v>
      </c>
      <c r="L107" t="str" cm="1">
        <f t="array" ref="L107">_xlfn.IFS(E107&gt;=52000000,"Platinum",E107&gt;=37000000,"Gold",E107&gt;=30000000,"Sliver",E107&lt;30000000,"Bronze")</f>
        <v>Platinum</v>
      </c>
    </row>
    <row r="108" spans="1:12" x14ac:dyDescent="0.25">
      <c r="A108">
        <v>107</v>
      </c>
      <c r="B108" t="s">
        <v>128</v>
      </c>
      <c r="C108" t="s">
        <v>16</v>
      </c>
      <c r="D108" t="s">
        <v>32</v>
      </c>
      <c r="E108" s="4">
        <v>113740398</v>
      </c>
      <c r="F108">
        <v>49.48</v>
      </c>
      <c r="G108">
        <v>7.37</v>
      </c>
      <c r="H108">
        <v>442.36</v>
      </c>
      <c r="I108">
        <v>14.9</v>
      </c>
      <c r="J108" s="5">
        <v>46060</v>
      </c>
      <c r="K108">
        <f t="shared" si="1"/>
        <v>32.71</v>
      </c>
      <c r="L108" t="str" cm="1">
        <f t="array" ref="L108">_xlfn.IFS(E108&gt;=52000000,"Platinum",E108&gt;=37000000,"Gold",E108&gt;=30000000,"Sliver",E108&lt;30000000,"Bronze")</f>
        <v>Platinum</v>
      </c>
    </row>
    <row r="109" spans="1:12" x14ac:dyDescent="0.25">
      <c r="A109">
        <v>108</v>
      </c>
      <c r="B109" t="s">
        <v>129</v>
      </c>
      <c r="C109" t="s">
        <v>21</v>
      </c>
      <c r="D109" t="s">
        <v>11</v>
      </c>
      <c r="E109" s="4">
        <v>107737440</v>
      </c>
      <c r="F109">
        <v>36.340000000000003</v>
      </c>
      <c r="G109">
        <v>1.25</v>
      </c>
      <c r="H109">
        <v>74.95</v>
      </c>
      <c r="I109">
        <v>3.44</v>
      </c>
      <c r="J109" s="5">
        <v>46060</v>
      </c>
      <c r="K109">
        <f t="shared" si="1"/>
        <v>33.549999999999997</v>
      </c>
      <c r="L109" t="str" cm="1">
        <f t="array" ref="L109">_xlfn.IFS(E109&gt;=52000000,"Platinum",E109&gt;=37000000,"Gold",E109&gt;=30000000,"Sliver",E109&lt;30000000,"Bronze")</f>
        <v>Platinum</v>
      </c>
    </row>
    <row r="110" spans="1:12" x14ac:dyDescent="0.25">
      <c r="A110">
        <v>109</v>
      </c>
      <c r="B110" t="s">
        <v>130</v>
      </c>
      <c r="C110" t="s">
        <v>46</v>
      </c>
      <c r="D110" t="s">
        <v>25</v>
      </c>
      <c r="E110" s="4">
        <v>102811924</v>
      </c>
      <c r="F110">
        <v>44.15</v>
      </c>
      <c r="G110">
        <v>6.58</v>
      </c>
      <c r="H110">
        <v>394.86</v>
      </c>
      <c r="I110">
        <v>14.91</v>
      </c>
      <c r="J110" s="5">
        <v>46060</v>
      </c>
      <c r="K110">
        <f t="shared" si="1"/>
        <v>35.380000000000003</v>
      </c>
      <c r="L110" t="str" cm="1">
        <f t="array" ref="L110">_xlfn.IFS(E110&gt;=52000000,"Platinum",E110&gt;=37000000,"Gold",E110&gt;=30000000,"Sliver",E110&lt;30000000,"Bronze")</f>
        <v>Platinum</v>
      </c>
    </row>
    <row r="111" spans="1:12" x14ac:dyDescent="0.25">
      <c r="A111">
        <v>110</v>
      </c>
      <c r="B111" t="s">
        <v>131</v>
      </c>
      <c r="C111" t="s">
        <v>10</v>
      </c>
      <c r="D111" t="s">
        <v>32</v>
      </c>
      <c r="E111" s="4">
        <v>105076413</v>
      </c>
      <c r="F111">
        <v>57.54</v>
      </c>
      <c r="G111">
        <v>5.26</v>
      </c>
      <c r="H111">
        <v>315.52</v>
      </c>
      <c r="I111">
        <v>9.14</v>
      </c>
      <c r="J111" s="5">
        <v>46060</v>
      </c>
      <c r="K111">
        <f t="shared" si="1"/>
        <v>25.8</v>
      </c>
      <c r="L111" t="str" cm="1">
        <f t="array" ref="L111">_xlfn.IFS(E111&gt;=52000000,"Platinum",E111&gt;=37000000,"Gold",E111&gt;=30000000,"Sliver",E111&lt;30000000,"Bronze")</f>
        <v>Platinum</v>
      </c>
    </row>
    <row r="112" spans="1:12" x14ac:dyDescent="0.25">
      <c r="A112">
        <v>111</v>
      </c>
      <c r="B112" t="s">
        <v>132</v>
      </c>
      <c r="C112" t="s">
        <v>21</v>
      </c>
      <c r="D112" t="s">
        <v>25</v>
      </c>
      <c r="E112" s="4">
        <v>87350610</v>
      </c>
      <c r="F112">
        <v>41.82</v>
      </c>
      <c r="G112">
        <v>2.68</v>
      </c>
      <c r="H112">
        <v>160.69</v>
      </c>
      <c r="I112">
        <v>6.4</v>
      </c>
      <c r="J112" s="5">
        <v>46060</v>
      </c>
      <c r="K112">
        <f t="shared" si="1"/>
        <v>32.29</v>
      </c>
      <c r="L112" t="str" cm="1">
        <f t="array" ref="L112">_xlfn.IFS(E112&gt;=52000000,"Platinum",E112&gt;=37000000,"Gold",E112&gt;=30000000,"Sliver",E112&lt;30000000,"Bronze")</f>
        <v>Platinum</v>
      </c>
    </row>
    <row r="113" spans="1:12" x14ac:dyDescent="0.25">
      <c r="A113">
        <v>112</v>
      </c>
      <c r="B113" t="s">
        <v>133</v>
      </c>
      <c r="C113" t="s">
        <v>29</v>
      </c>
      <c r="D113" t="s">
        <v>25</v>
      </c>
      <c r="E113" s="4">
        <v>85164945</v>
      </c>
      <c r="F113">
        <v>40.729999999999997</v>
      </c>
      <c r="G113">
        <v>4.4400000000000004</v>
      </c>
      <c r="H113">
        <v>266.57</v>
      </c>
      <c r="I113">
        <v>10.91</v>
      </c>
      <c r="J113" s="5">
        <v>46060</v>
      </c>
      <c r="K113">
        <f t="shared" si="1"/>
        <v>35.090000000000003</v>
      </c>
      <c r="L113" t="str" cm="1">
        <f t="array" ref="L113">_xlfn.IFS(E113&gt;=52000000,"Platinum",E113&gt;=37000000,"Gold",E113&gt;=30000000,"Sliver",E113&lt;30000000,"Bronze")</f>
        <v>Platinum</v>
      </c>
    </row>
    <row r="114" spans="1:12" x14ac:dyDescent="0.25">
      <c r="A114">
        <v>113</v>
      </c>
      <c r="B114" t="s">
        <v>134</v>
      </c>
      <c r="C114" t="s">
        <v>19</v>
      </c>
      <c r="D114" t="s">
        <v>17</v>
      </c>
      <c r="E114" s="4">
        <v>94196062</v>
      </c>
      <c r="F114">
        <v>50.59</v>
      </c>
      <c r="G114">
        <v>5.47</v>
      </c>
      <c r="H114">
        <v>328.1</v>
      </c>
      <c r="I114">
        <v>10.81</v>
      </c>
      <c r="J114" s="5">
        <v>46060</v>
      </c>
      <c r="K114">
        <f t="shared" si="1"/>
        <v>30.11</v>
      </c>
      <c r="L114" t="str" cm="1">
        <f t="array" ref="L114">_xlfn.IFS(E114&gt;=52000000,"Platinum",E114&gt;=37000000,"Gold",E114&gt;=30000000,"Sliver",E114&lt;30000000,"Bronze")</f>
        <v>Platinum</v>
      </c>
    </row>
    <row r="115" spans="1:12" x14ac:dyDescent="0.25">
      <c r="A115">
        <v>114</v>
      </c>
      <c r="B115" t="s">
        <v>135</v>
      </c>
      <c r="C115" t="s">
        <v>27</v>
      </c>
      <c r="D115" t="s">
        <v>17</v>
      </c>
      <c r="E115" s="4">
        <v>102229724</v>
      </c>
      <c r="F115">
        <v>23.22</v>
      </c>
      <c r="G115">
        <v>22.4</v>
      </c>
      <c r="H115">
        <v>1344.13</v>
      </c>
      <c r="I115">
        <v>96.48</v>
      </c>
      <c r="J115" s="5">
        <v>46060</v>
      </c>
      <c r="K115">
        <f t="shared" si="1"/>
        <v>86.63</v>
      </c>
      <c r="L115" t="str" cm="1">
        <f t="array" ref="L115">_xlfn.IFS(E115&gt;=52000000,"Platinum",E115&gt;=37000000,"Gold",E115&gt;=30000000,"Sliver",E115&lt;30000000,"Bronze")</f>
        <v>Platinum</v>
      </c>
    </row>
    <row r="116" spans="1:12" x14ac:dyDescent="0.25">
      <c r="A116">
        <v>115</v>
      </c>
      <c r="B116" t="s">
        <v>136</v>
      </c>
      <c r="C116" t="s">
        <v>19</v>
      </c>
      <c r="D116" t="s">
        <v>22</v>
      </c>
      <c r="E116" s="4">
        <v>82562944</v>
      </c>
      <c r="F116">
        <v>32.65</v>
      </c>
      <c r="G116">
        <v>9.7799999999999994</v>
      </c>
      <c r="H116">
        <v>586.57000000000005</v>
      </c>
      <c r="I116">
        <v>29.94</v>
      </c>
      <c r="J116" s="5">
        <v>46060</v>
      </c>
      <c r="K116">
        <f t="shared" si="1"/>
        <v>48.65</v>
      </c>
      <c r="L116" t="str" cm="1">
        <f t="array" ref="L116">_xlfn.IFS(E116&gt;=52000000,"Platinum",E116&gt;=37000000,"Gold",E116&gt;=30000000,"Sliver",E116&lt;30000000,"Bronze")</f>
        <v>Platinum</v>
      </c>
    </row>
    <row r="117" spans="1:12" x14ac:dyDescent="0.25">
      <c r="A117">
        <v>116</v>
      </c>
      <c r="B117" t="s">
        <v>137</v>
      </c>
      <c r="C117" t="s">
        <v>16</v>
      </c>
      <c r="D117" t="s">
        <v>13</v>
      </c>
      <c r="E117" s="4">
        <v>84036980</v>
      </c>
      <c r="F117">
        <v>44.09</v>
      </c>
      <c r="G117">
        <v>8.9</v>
      </c>
      <c r="H117">
        <v>534.14</v>
      </c>
      <c r="I117">
        <v>20.190000000000001</v>
      </c>
      <c r="J117" s="5">
        <v>46060</v>
      </c>
      <c r="K117">
        <f t="shared" si="1"/>
        <v>38.049999999999997</v>
      </c>
      <c r="L117" t="str" cm="1">
        <f t="array" ref="L117">_xlfn.IFS(E117&gt;=52000000,"Platinum",E117&gt;=37000000,"Gold",E117&gt;=30000000,"Sliver",E117&lt;30000000,"Bronze")</f>
        <v>Platinum</v>
      </c>
    </row>
    <row r="118" spans="1:12" x14ac:dyDescent="0.25">
      <c r="A118">
        <v>117</v>
      </c>
      <c r="B118" t="s">
        <v>138</v>
      </c>
      <c r="C118" t="s">
        <v>29</v>
      </c>
      <c r="D118" t="s">
        <v>32</v>
      </c>
      <c r="E118" s="4">
        <v>87732685</v>
      </c>
      <c r="F118">
        <v>54.26</v>
      </c>
      <c r="G118">
        <v>4.33</v>
      </c>
      <c r="H118">
        <v>259.79000000000002</v>
      </c>
      <c r="I118">
        <v>7.98</v>
      </c>
      <c r="J118" s="5">
        <v>46060</v>
      </c>
      <c r="K118">
        <f t="shared" si="1"/>
        <v>26.86</v>
      </c>
      <c r="L118" t="str" cm="1">
        <f t="array" ref="L118">_xlfn.IFS(E118&gt;=52000000,"Platinum",E118&gt;=37000000,"Gold",E118&gt;=30000000,"Sliver",E118&lt;30000000,"Bronze")</f>
        <v>Platinum</v>
      </c>
    </row>
    <row r="119" spans="1:12" x14ac:dyDescent="0.25">
      <c r="A119">
        <v>118</v>
      </c>
      <c r="B119" t="s">
        <v>139</v>
      </c>
      <c r="C119" t="s">
        <v>46</v>
      </c>
      <c r="D119" t="s">
        <v>11</v>
      </c>
      <c r="E119" s="4">
        <v>106855334</v>
      </c>
      <c r="F119">
        <v>52.24</v>
      </c>
      <c r="G119">
        <v>3.95</v>
      </c>
      <c r="H119">
        <v>237.07</v>
      </c>
      <c r="I119">
        <v>7.56</v>
      </c>
      <c r="J119" s="5">
        <v>46060</v>
      </c>
      <c r="K119">
        <f t="shared" si="1"/>
        <v>27.66</v>
      </c>
      <c r="L119" t="str" cm="1">
        <f t="array" ref="L119">_xlfn.IFS(E119&gt;=52000000,"Platinum",E119&gt;=37000000,"Gold",E119&gt;=30000000,"Sliver",E119&lt;30000000,"Bronze")</f>
        <v>Platinum</v>
      </c>
    </row>
    <row r="120" spans="1:12" x14ac:dyDescent="0.25">
      <c r="A120">
        <v>119</v>
      </c>
      <c r="B120" t="s">
        <v>140</v>
      </c>
      <c r="C120" t="s">
        <v>16</v>
      </c>
      <c r="D120" t="s">
        <v>32</v>
      </c>
      <c r="E120" s="4">
        <v>102010416</v>
      </c>
      <c r="F120">
        <v>54.44</v>
      </c>
      <c r="G120">
        <v>3.2</v>
      </c>
      <c r="H120">
        <v>191.8</v>
      </c>
      <c r="I120">
        <v>5.87</v>
      </c>
      <c r="J120" s="5">
        <v>46060</v>
      </c>
      <c r="K120">
        <f t="shared" si="1"/>
        <v>25.72</v>
      </c>
      <c r="L120" t="str" cm="1">
        <f t="array" ref="L120">_xlfn.IFS(E120&gt;=52000000,"Platinum",E120&gt;=37000000,"Gold",E120&gt;=30000000,"Sliver",E120&lt;30000000,"Bronze")</f>
        <v>Platinum</v>
      </c>
    </row>
    <row r="121" spans="1:12" x14ac:dyDescent="0.25">
      <c r="A121">
        <v>120</v>
      </c>
      <c r="B121" t="s">
        <v>141</v>
      </c>
      <c r="C121" s="1" t="s">
        <v>21</v>
      </c>
      <c r="D121" t="s">
        <v>25</v>
      </c>
      <c r="E121" s="4">
        <v>100874702</v>
      </c>
      <c r="F121">
        <v>21.07</v>
      </c>
      <c r="G121">
        <v>38.22</v>
      </c>
      <c r="H121">
        <v>2293.23</v>
      </c>
      <c r="I121">
        <v>181.4</v>
      </c>
      <c r="J121" s="5">
        <v>46060</v>
      </c>
      <c r="K121">
        <f t="shared" si="1"/>
        <v>130.16999999999999</v>
      </c>
      <c r="L121" t="str" cm="1">
        <f t="array" ref="L121">_xlfn.IFS(E121&gt;=52000000,"Platinum",E121&gt;=37000000,"Gold",E121&gt;=30000000,"Sliver",E121&lt;30000000,"Bronze")</f>
        <v>Platinum</v>
      </c>
    </row>
    <row r="122" spans="1:12" x14ac:dyDescent="0.25">
      <c r="A122">
        <v>121</v>
      </c>
      <c r="B122" t="s">
        <v>142</v>
      </c>
      <c r="C122" t="s">
        <v>16</v>
      </c>
      <c r="D122" t="s">
        <v>25</v>
      </c>
      <c r="E122" s="4">
        <v>90685661</v>
      </c>
      <c r="F122">
        <v>30.32</v>
      </c>
      <c r="G122">
        <v>8.61</v>
      </c>
      <c r="H122">
        <v>516.33000000000004</v>
      </c>
      <c r="I122">
        <v>28.38</v>
      </c>
      <c r="J122" s="5">
        <v>46060</v>
      </c>
      <c r="K122">
        <f t="shared" si="1"/>
        <v>49.03</v>
      </c>
      <c r="L122" t="str" cm="1">
        <f t="array" ref="L122">_xlfn.IFS(E122&gt;=52000000,"Platinum",E122&gt;=37000000,"Gold",E122&gt;=30000000,"Sliver",E122&lt;30000000,"Bronze")</f>
        <v>Platinum</v>
      </c>
    </row>
    <row r="123" spans="1:12" x14ac:dyDescent="0.25">
      <c r="A123">
        <v>122</v>
      </c>
      <c r="B123" t="s">
        <v>143</v>
      </c>
      <c r="C123" t="s">
        <v>10</v>
      </c>
      <c r="D123" t="s">
        <v>32</v>
      </c>
      <c r="E123" s="4">
        <v>74131049</v>
      </c>
      <c r="F123">
        <v>52.02</v>
      </c>
      <c r="G123">
        <v>8.6300000000000008</v>
      </c>
      <c r="H123">
        <v>518.05999999999995</v>
      </c>
      <c r="I123">
        <v>16.600000000000001</v>
      </c>
      <c r="J123" s="5">
        <v>46060</v>
      </c>
      <c r="K123">
        <f t="shared" si="1"/>
        <v>32.29</v>
      </c>
      <c r="L123" t="str" cm="1">
        <f t="array" ref="L123">_xlfn.IFS(E123&gt;=52000000,"Platinum",E123&gt;=37000000,"Gold",E123&gt;=30000000,"Sliver",E123&lt;30000000,"Bronze")</f>
        <v>Platinum</v>
      </c>
    </row>
    <row r="124" spans="1:12" x14ac:dyDescent="0.25">
      <c r="A124">
        <v>123</v>
      </c>
      <c r="B124" t="s">
        <v>144</v>
      </c>
      <c r="C124" t="s">
        <v>29</v>
      </c>
      <c r="D124" t="s">
        <v>22</v>
      </c>
      <c r="E124" s="4">
        <v>93353171</v>
      </c>
      <c r="F124">
        <v>54.46</v>
      </c>
      <c r="G124">
        <v>8.27</v>
      </c>
      <c r="H124">
        <v>496.48</v>
      </c>
      <c r="I124">
        <v>15.19</v>
      </c>
      <c r="J124" s="5">
        <v>46060</v>
      </c>
      <c r="K124">
        <f t="shared" si="1"/>
        <v>30.37</v>
      </c>
      <c r="L124" t="str" cm="1">
        <f t="array" ref="L124">_xlfn.IFS(E124&gt;=52000000,"Platinum",E124&gt;=37000000,"Gold",E124&gt;=30000000,"Sliver",E124&lt;30000000,"Bronze")</f>
        <v>Platinum</v>
      </c>
    </row>
    <row r="125" spans="1:12" x14ac:dyDescent="0.25">
      <c r="A125">
        <v>124</v>
      </c>
      <c r="B125" t="s">
        <v>145</v>
      </c>
      <c r="C125" t="s">
        <v>19</v>
      </c>
      <c r="D125" t="s">
        <v>32</v>
      </c>
      <c r="E125" s="4">
        <v>99289937</v>
      </c>
      <c r="F125">
        <v>49.68</v>
      </c>
      <c r="G125">
        <v>8.69</v>
      </c>
      <c r="H125">
        <v>521.41</v>
      </c>
      <c r="I125">
        <v>17.489999999999998</v>
      </c>
      <c r="J125" s="5">
        <v>46060</v>
      </c>
      <c r="K125">
        <f t="shared" si="1"/>
        <v>33.909999999999997</v>
      </c>
      <c r="L125" t="str" cm="1">
        <f t="array" ref="L125">_xlfn.IFS(E125&gt;=52000000,"Platinum",E125&gt;=37000000,"Gold",E125&gt;=30000000,"Sliver",E125&lt;30000000,"Bronze")</f>
        <v>Platinum</v>
      </c>
    </row>
    <row r="126" spans="1:12" x14ac:dyDescent="0.25">
      <c r="A126">
        <v>125</v>
      </c>
      <c r="B126" t="s">
        <v>146</v>
      </c>
      <c r="C126" t="s">
        <v>10</v>
      </c>
      <c r="D126" t="s">
        <v>17</v>
      </c>
      <c r="E126" s="4">
        <v>93268540</v>
      </c>
      <c r="F126">
        <v>30.96</v>
      </c>
      <c r="G126">
        <v>9.9</v>
      </c>
      <c r="H126">
        <v>593.73</v>
      </c>
      <c r="I126">
        <v>31.96</v>
      </c>
      <c r="J126" s="5">
        <v>46060</v>
      </c>
      <c r="K126">
        <f t="shared" si="1"/>
        <v>50.5</v>
      </c>
      <c r="L126" t="str" cm="1">
        <f t="array" ref="L126">_xlfn.IFS(E126&gt;=52000000,"Platinum",E126&gt;=37000000,"Gold",E126&gt;=30000000,"Sliver",E126&lt;30000000,"Bronze")</f>
        <v>Platinum</v>
      </c>
    </row>
    <row r="127" spans="1:12" x14ac:dyDescent="0.25">
      <c r="A127">
        <v>126</v>
      </c>
      <c r="B127" t="s">
        <v>147</v>
      </c>
      <c r="C127" t="s">
        <v>19</v>
      </c>
      <c r="D127" t="s">
        <v>13</v>
      </c>
      <c r="E127" s="4">
        <v>87832371</v>
      </c>
      <c r="F127">
        <v>46.34</v>
      </c>
      <c r="G127">
        <v>8.25</v>
      </c>
      <c r="H127">
        <v>494.84</v>
      </c>
      <c r="I127">
        <v>17.8</v>
      </c>
      <c r="J127" s="5">
        <v>46060</v>
      </c>
      <c r="K127">
        <f t="shared" si="1"/>
        <v>35.729999999999997</v>
      </c>
      <c r="L127" t="str" cm="1">
        <f t="array" ref="L127">_xlfn.IFS(E127&gt;=52000000,"Platinum",E127&gt;=37000000,"Gold",E127&gt;=30000000,"Sliver",E127&lt;30000000,"Bronze")</f>
        <v>Platinum</v>
      </c>
    </row>
    <row r="128" spans="1:12" x14ac:dyDescent="0.25">
      <c r="A128">
        <v>127</v>
      </c>
      <c r="B128" t="s">
        <v>148</v>
      </c>
      <c r="C128" t="s">
        <v>46</v>
      </c>
      <c r="D128" t="s">
        <v>13</v>
      </c>
      <c r="E128" s="4">
        <v>97097740</v>
      </c>
      <c r="F128">
        <v>46.63</v>
      </c>
      <c r="G128">
        <v>5.27</v>
      </c>
      <c r="H128">
        <v>316.16000000000003</v>
      </c>
      <c r="I128">
        <v>11.3</v>
      </c>
      <c r="J128" s="5">
        <v>46060</v>
      </c>
      <c r="K128">
        <f t="shared" si="1"/>
        <v>32.340000000000003</v>
      </c>
      <c r="L128" t="str" cm="1">
        <f t="array" ref="L128">_xlfn.IFS(E128&gt;=52000000,"Platinum",E128&gt;=37000000,"Gold",E128&gt;=30000000,"Sliver",E128&lt;30000000,"Bronze")</f>
        <v>Platinum</v>
      </c>
    </row>
    <row r="129" spans="1:12" x14ac:dyDescent="0.25">
      <c r="A129">
        <v>128</v>
      </c>
      <c r="B129" t="s">
        <v>149</v>
      </c>
      <c r="C129" t="s">
        <v>21</v>
      </c>
      <c r="D129" t="s">
        <v>11</v>
      </c>
      <c r="E129" s="4">
        <v>96974937</v>
      </c>
      <c r="F129">
        <v>44.17</v>
      </c>
      <c r="G129">
        <v>2.02</v>
      </c>
      <c r="H129">
        <v>121.27</v>
      </c>
      <c r="I129">
        <v>4.58</v>
      </c>
      <c r="J129" s="5">
        <v>46060</v>
      </c>
      <c r="K129">
        <f t="shared" si="1"/>
        <v>30.21</v>
      </c>
      <c r="L129" t="str" cm="1">
        <f t="array" ref="L129">_xlfn.IFS(E129&gt;=52000000,"Platinum",E129&gt;=37000000,"Gold",E129&gt;=30000000,"Sliver",E129&lt;30000000,"Bronze")</f>
        <v>Platinum</v>
      </c>
    </row>
    <row r="130" spans="1:12" x14ac:dyDescent="0.25">
      <c r="A130">
        <v>129</v>
      </c>
      <c r="B130" t="s">
        <v>150</v>
      </c>
      <c r="C130" t="s">
        <v>46</v>
      </c>
      <c r="D130" t="s">
        <v>13</v>
      </c>
      <c r="E130" s="4">
        <v>75095541</v>
      </c>
      <c r="F130">
        <v>35.85</v>
      </c>
      <c r="G130">
        <v>2.33</v>
      </c>
      <c r="H130">
        <v>139.83000000000001</v>
      </c>
      <c r="I130">
        <v>6.5</v>
      </c>
      <c r="J130" s="5">
        <v>46060</v>
      </c>
      <c r="K130">
        <f t="shared" si="1"/>
        <v>35.33</v>
      </c>
      <c r="L130" t="str" cm="1">
        <f t="array" ref="L130">_xlfn.IFS(E130&gt;=52000000,"Platinum",E130&gt;=37000000,"Gold",E130&gt;=30000000,"Sliver",E130&lt;30000000,"Bronze")</f>
        <v>Platinum</v>
      </c>
    </row>
    <row r="131" spans="1:12" x14ac:dyDescent="0.25">
      <c r="A131">
        <v>130</v>
      </c>
      <c r="B131" t="s">
        <v>151</v>
      </c>
      <c r="C131" t="s">
        <v>27</v>
      </c>
      <c r="D131" t="s">
        <v>11</v>
      </c>
      <c r="E131" s="4">
        <v>93055959</v>
      </c>
      <c r="F131">
        <v>17.34</v>
      </c>
      <c r="G131">
        <v>38.880000000000003</v>
      </c>
      <c r="H131">
        <v>2332.8200000000002</v>
      </c>
      <c r="I131">
        <v>224.22</v>
      </c>
      <c r="J131" s="5">
        <v>46060</v>
      </c>
      <c r="K131">
        <f t="shared" ref="K131:K194" si="2">ROUND((100-F131)*0.5 + I131*0.5,2)</f>
        <v>153.44</v>
      </c>
      <c r="L131" t="str" cm="1">
        <f t="array" ref="L131">_xlfn.IFS(E131&gt;=52000000,"Platinum",E131&gt;=37000000,"Gold",E131&gt;=30000000,"Sliver",E131&lt;30000000,"Bronze")</f>
        <v>Platinum</v>
      </c>
    </row>
    <row r="132" spans="1:12" x14ac:dyDescent="0.25">
      <c r="A132">
        <v>131</v>
      </c>
      <c r="B132" t="s">
        <v>152</v>
      </c>
      <c r="C132" t="s">
        <v>29</v>
      </c>
      <c r="D132" t="s">
        <v>17</v>
      </c>
      <c r="E132" s="4">
        <v>73954831</v>
      </c>
      <c r="F132">
        <v>49.8</v>
      </c>
      <c r="G132">
        <v>4.07</v>
      </c>
      <c r="H132">
        <v>244.35</v>
      </c>
      <c r="I132">
        <v>8.18</v>
      </c>
      <c r="J132" s="5">
        <v>46060</v>
      </c>
      <c r="K132">
        <f t="shared" si="2"/>
        <v>29.19</v>
      </c>
      <c r="L132" t="str" cm="1">
        <f t="array" ref="L132">_xlfn.IFS(E132&gt;=52000000,"Platinum",E132&gt;=37000000,"Gold",E132&gt;=30000000,"Sliver",E132&lt;30000000,"Bronze")</f>
        <v>Platinum</v>
      </c>
    </row>
    <row r="133" spans="1:12" x14ac:dyDescent="0.25">
      <c r="A133">
        <v>132</v>
      </c>
      <c r="B133" t="s">
        <v>153</v>
      </c>
      <c r="C133" t="s">
        <v>19</v>
      </c>
      <c r="D133" t="s">
        <v>17</v>
      </c>
      <c r="E133" s="4">
        <v>102807857</v>
      </c>
      <c r="F133">
        <v>40.200000000000003</v>
      </c>
      <c r="G133">
        <v>7.32</v>
      </c>
      <c r="H133">
        <v>439.36</v>
      </c>
      <c r="I133">
        <v>18.22</v>
      </c>
      <c r="J133" s="5">
        <v>46060</v>
      </c>
      <c r="K133">
        <f t="shared" si="2"/>
        <v>39.01</v>
      </c>
      <c r="L133" t="str" cm="1">
        <f t="array" ref="L133">_xlfn.IFS(E133&gt;=52000000,"Platinum",E133&gt;=37000000,"Gold",E133&gt;=30000000,"Sliver",E133&lt;30000000,"Bronze")</f>
        <v>Platinum</v>
      </c>
    </row>
    <row r="134" spans="1:12" x14ac:dyDescent="0.25">
      <c r="A134">
        <v>133</v>
      </c>
      <c r="B134" t="s">
        <v>154</v>
      </c>
      <c r="C134" t="s">
        <v>10</v>
      </c>
      <c r="D134" t="s">
        <v>22</v>
      </c>
      <c r="E134" s="4">
        <v>97691027</v>
      </c>
      <c r="F134">
        <v>45.05</v>
      </c>
      <c r="G134">
        <v>9.5</v>
      </c>
      <c r="H134">
        <v>569.73</v>
      </c>
      <c r="I134">
        <v>21.08</v>
      </c>
      <c r="J134" s="5">
        <v>46060</v>
      </c>
      <c r="K134">
        <f t="shared" si="2"/>
        <v>38.020000000000003</v>
      </c>
      <c r="L134" t="str" cm="1">
        <f t="array" ref="L134">_xlfn.IFS(E134&gt;=52000000,"Platinum",E134&gt;=37000000,"Gold",E134&gt;=30000000,"Sliver",E134&lt;30000000,"Bronze")</f>
        <v>Platinum</v>
      </c>
    </row>
    <row r="135" spans="1:12" x14ac:dyDescent="0.25">
      <c r="A135">
        <v>134</v>
      </c>
      <c r="B135" t="s">
        <v>155</v>
      </c>
      <c r="C135" t="s">
        <v>16</v>
      </c>
      <c r="D135" t="s">
        <v>11</v>
      </c>
      <c r="E135" s="4">
        <v>98807122</v>
      </c>
      <c r="F135">
        <v>55.45</v>
      </c>
      <c r="G135">
        <v>3.13</v>
      </c>
      <c r="H135">
        <v>187.69</v>
      </c>
      <c r="I135">
        <v>5.64</v>
      </c>
      <c r="J135" s="5">
        <v>46060</v>
      </c>
      <c r="K135">
        <f t="shared" si="2"/>
        <v>25.1</v>
      </c>
      <c r="L135" t="str" cm="1">
        <f t="array" ref="L135">_xlfn.IFS(E135&gt;=52000000,"Platinum",E135&gt;=37000000,"Gold",E135&gt;=30000000,"Sliver",E135&lt;30000000,"Bronze")</f>
        <v>Platinum</v>
      </c>
    </row>
    <row r="136" spans="1:12" x14ac:dyDescent="0.25">
      <c r="A136">
        <v>135</v>
      </c>
      <c r="B136" t="s">
        <v>156</v>
      </c>
      <c r="C136" t="s">
        <v>46</v>
      </c>
      <c r="D136" t="s">
        <v>13</v>
      </c>
      <c r="E136" s="4">
        <v>101281492</v>
      </c>
      <c r="F136">
        <v>37.43</v>
      </c>
      <c r="G136">
        <v>4.8899999999999997</v>
      </c>
      <c r="H136">
        <v>293.52999999999997</v>
      </c>
      <c r="I136">
        <v>13.07</v>
      </c>
      <c r="J136" s="5">
        <v>46060</v>
      </c>
      <c r="K136">
        <f t="shared" si="2"/>
        <v>37.82</v>
      </c>
      <c r="L136" t="str" cm="1">
        <f t="array" ref="L136">_xlfn.IFS(E136&gt;=52000000,"Platinum",E136&gt;=37000000,"Gold",E136&gt;=30000000,"Sliver",E136&lt;30000000,"Bronze")</f>
        <v>Platinum</v>
      </c>
    </row>
    <row r="137" spans="1:12" x14ac:dyDescent="0.25">
      <c r="A137">
        <v>136</v>
      </c>
      <c r="B137" t="s">
        <v>157</v>
      </c>
      <c r="C137" t="s">
        <v>29</v>
      </c>
      <c r="D137" t="s">
        <v>13</v>
      </c>
      <c r="E137" s="4">
        <v>94085018</v>
      </c>
      <c r="F137">
        <v>38.79</v>
      </c>
      <c r="G137">
        <v>8.6</v>
      </c>
      <c r="H137">
        <v>516.14</v>
      </c>
      <c r="I137">
        <v>22.18</v>
      </c>
      <c r="J137" s="5">
        <v>46060</v>
      </c>
      <c r="K137">
        <f t="shared" si="2"/>
        <v>41.7</v>
      </c>
      <c r="L137" t="str" cm="1">
        <f t="array" ref="L137">_xlfn.IFS(E137&gt;=52000000,"Platinum",E137&gt;=37000000,"Gold",E137&gt;=30000000,"Sliver",E137&lt;30000000,"Bronze")</f>
        <v>Platinum</v>
      </c>
    </row>
    <row r="138" spans="1:12" x14ac:dyDescent="0.25">
      <c r="A138">
        <v>137</v>
      </c>
      <c r="B138" t="s">
        <v>158</v>
      </c>
      <c r="C138" t="s">
        <v>21</v>
      </c>
      <c r="D138" t="s">
        <v>13</v>
      </c>
      <c r="E138" s="4">
        <v>75346263</v>
      </c>
      <c r="F138">
        <v>47.13</v>
      </c>
      <c r="G138">
        <v>2.54</v>
      </c>
      <c r="H138">
        <v>152.65</v>
      </c>
      <c r="I138">
        <v>5.4</v>
      </c>
      <c r="J138" s="5">
        <v>46060</v>
      </c>
      <c r="K138">
        <f t="shared" si="2"/>
        <v>29.14</v>
      </c>
      <c r="L138" t="str" cm="1">
        <f t="array" ref="L138">_xlfn.IFS(E138&gt;=52000000,"Platinum",E138&gt;=37000000,"Gold",E138&gt;=30000000,"Sliver",E138&lt;30000000,"Bronze")</f>
        <v>Platinum</v>
      </c>
    </row>
    <row r="139" spans="1:12" x14ac:dyDescent="0.25">
      <c r="A139">
        <v>138</v>
      </c>
      <c r="B139" t="s">
        <v>159</v>
      </c>
      <c r="C139" t="s">
        <v>27</v>
      </c>
      <c r="D139" t="s">
        <v>32</v>
      </c>
      <c r="E139" s="4">
        <v>100769164</v>
      </c>
      <c r="F139">
        <v>25.47</v>
      </c>
      <c r="G139">
        <v>18.98</v>
      </c>
      <c r="H139">
        <v>1138.8</v>
      </c>
      <c r="I139">
        <v>74.52</v>
      </c>
      <c r="J139" s="5">
        <v>46060</v>
      </c>
      <c r="K139">
        <f t="shared" si="2"/>
        <v>74.53</v>
      </c>
      <c r="L139" t="str" cm="1">
        <f t="array" ref="L139">_xlfn.IFS(E139&gt;=52000000,"Platinum",E139&gt;=37000000,"Gold",E139&gt;=30000000,"Sliver",E139&lt;30000000,"Bronze")</f>
        <v>Platinum</v>
      </c>
    </row>
    <row r="140" spans="1:12" x14ac:dyDescent="0.25">
      <c r="A140">
        <v>139</v>
      </c>
      <c r="B140" t="s">
        <v>160</v>
      </c>
      <c r="C140" t="s">
        <v>21</v>
      </c>
      <c r="D140" t="s">
        <v>22</v>
      </c>
      <c r="E140" s="4">
        <v>93712033</v>
      </c>
      <c r="F140">
        <v>43.75</v>
      </c>
      <c r="G140">
        <v>2.16</v>
      </c>
      <c r="H140">
        <v>129.88</v>
      </c>
      <c r="I140">
        <v>4.95</v>
      </c>
      <c r="J140" s="5">
        <v>46060</v>
      </c>
      <c r="K140">
        <f t="shared" si="2"/>
        <v>30.6</v>
      </c>
      <c r="L140" t="str" cm="1">
        <f t="array" ref="L140">_xlfn.IFS(E140&gt;=52000000,"Platinum",E140&gt;=37000000,"Gold",E140&gt;=30000000,"Sliver",E140&lt;30000000,"Bronze")</f>
        <v>Platinum</v>
      </c>
    </row>
    <row r="141" spans="1:12" x14ac:dyDescent="0.25">
      <c r="A141">
        <v>140</v>
      </c>
      <c r="B141" t="s">
        <v>161</v>
      </c>
      <c r="C141" t="s">
        <v>29</v>
      </c>
      <c r="D141" t="s">
        <v>32</v>
      </c>
      <c r="E141" s="4">
        <v>93650671</v>
      </c>
      <c r="F141">
        <v>58.01</v>
      </c>
      <c r="G141">
        <v>5.25</v>
      </c>
      <c r="H141">
        <v>315.19</v>
      </c>
      <c r="I141">
        <v>9.06</v>
      </c>
      <c r="J141" s="5">
        <v>46060</v>
      </c>
      <c r="K141">
        <f t="shared" si="2"/>
        <v>25.53</v>
      </c>
      <c r="L141" t="str" cm="1">
        <f t="array" ref="L141">_xlfn.IFS(E141&gt;=52000000,"Platinum",E141&gt;=37000000,"Gold",E141&gt;=30000000,"Sliver",E141&lt;30000000,"Bronze")</f>
        <v>Platinum</v>
      </c>
    </row>
    <row r="142" spans="1:12" x14ac:dyDescent="0.25">
      <c r="A142">
        <v>141</v>
      </c>
      <c r="B142" t="s">
        <v>162</v>
      </c>
      <c r="C142" t="s">
        <v>19</v>
      </c>
      <c r="D142" t="s">
        <v>32</v>
      </c>
      <c r="E142" s="4">
        <v>94494711</v>
      </c>
      <c r="F142">
        <v>59.43</v>
      </c>
      <c r="G142">
        <v>6.67</v>
      </c>
      <c r="H142">
        <v>400.3</v>
      </c>
      <c r="I142">
        <v>11.23</v>
      </c>
      <c r="J142" s="5">
        <v>46060</v>
      </c>
      <c r="K142">
        <f t="shared" si="2"/>
        <v>25.9</v>
      </c>
      <c r="L142" t="str" cm="1">
        <f t="array" ref="L142">_xlfn.IFS(E142&gt;=52000000,"Platinum",E142&gt;=37000000,"Gold",E142&gt;=30000000,"Sliver",E142&lt;30000000,"Bronze")</f>
        <v>Platinum</v>
      </c>
    </row>
    <row r="143" spans="1:12" x14ac:dyDescent="0.25">
      <c r="A143">
        <v>142</v>
      </c>
      <c r="B143" t="s">
        <v>163</v>
      </c>
      <c r="C143" t="s">
        <v>19</v>
      </c>
      <c r="D143" t="s">
        <v>13</v>
      </c>
      <c r="E143" s="4">
        <v>73399062</v>
      </c>
      <c r="F143">
        <v>51.14</v>
      </c>
      <c r="G143">
        <v>4.5999999999999996</v>
      </c>
      <c r="H143">
        <v>275.83</v>
      </c>
      <c r="I143">
        <v>8.99</v>
      </c>
      <c r="J143" s="5">
        <v>46060</v>
      </c>
      <c r="K143">
        <f t="shared" si="2"/>
        <v>28.93</v>
      </c>
      <c r="L143" t="str" cm="1">
        <f t="array" ref="L143">_xlfn.IFS(E143&gt;=52000000,"Platinum",E143&gt;=37000000,"Gold",E143&gt;=30000000,"Sliver",E143&lt;30000000,"Bronze")</f>
        <v>Platinum</v>
      </c>
    </row>
    <row r="144" spans="1:12" x14ac:dyDescent="0.25">
      <c r="A144">
        <v>143</v>
      </c>
      <c r="B144" t="s">
        <v>164</v>
      </c>
      <c r="C144" t="s">
        <v>46</v>
      </c>
      <c r="D144" t="s">
        <v>22</v>
      </c>
      <c r="E144" s="4">
        <v>82831056</v>
      </c>
      <c r="F144">
        <v>50.14</v>
      </c>
      <c r="G144">
        <v>4.57</v>
      </c>
      <c r="H144">
        <v>274.41000000000003</v>
      </c>
      <c r="I144">
        <v>9.1199999999999992</v>
      </c>
      <c r="J144" s="5">
        <v>46060</v>
      </c>
      <c r="K144">
        <f t="shared" si="2"/>
        <v>29.49</v>
      </c>
      <c r="L144" t="str" cm="1">
        <f t="array" ref="L144">_xlfn.IFS(E144&gt;=52000000,"Platinum",E144&gt;=37000000,"Gold",E144&gt;=30000000,"Sliver",E144&lt;30000000,"Bronze")</f>
        <v>Platinum</v>
      </c>
    </row>
    <row r="145" spans="1:12" x14ac:dyDescent="0.25">
      <c r="A145">
        <v>144</v>
      </c>
      <c r="B145" t="s">
        <v>165</v>
      </c>
      <c r="C145" t="s">
        <v>29</v>
      </c>
      <c r="D145" t="s">
        <v>13</v>
      </c>
      <c r="E145" s="4">
        <v>94313297</v>
      </c>
      <c r="F145">
        <v>41.6</v>
      </c>
      <c r="G145">
        <v>7.57</v>
      </c>
      <c r="H145">
        <v>453.93</v>
      </c>
      <c r="I145">
        <v>18.190000000000001</v>
      </c>
      <c r="J145" s="5">
        <v>46060</v>
      </c>
      <c r="K145">
        <f t="shared" si="2"/>
        <v>38.299999999999997</v>
      </c>
      <c r="L145" t="str" cm="1">
        <f t="array" ref="L145">_xlfn.IFS(E145&gt;=52000000,"Platinum",E145&gt;=37000000,"Gold",E145&gt;=30000000,"Sliver",E145&lt;30000000,"Bronze")</f>
        <v>Platinum</v>
      </c>
    </row>
    <row r="146" spans="1:12" x14ac:dyDescent="0.25">
      <c r="A146">
        <v>145</v>
      </c>
      <c r="B146" t="s">
        <v>166</v>
      </c>
      <c r="C146" t="s">
        <v>46</v>
      </c>
      <c r="D146" t="s">
        <v>25</v>
      </c>
      <c r="E146" s="4">
        <v>67082139</v>
      </c>
      <c r="F146">
        <v>42.44</v>
      </c>
      <c r="G146">
        <v>5.72</v>
      </c>
      <c r="H146" s="1">
        <f>CALCULATION!$D$11</f>
        <v>343.315</v>
      </c>
      <c r="I146">
        <v>21.86</v>
      </c>
      <c r="J146" s="5">
        <v>46060</v>
      </c>
      <c r="K146">
        <f t="shared" si="2"/>
        <v>39.71</v>
      </c>
      <c r="L146" t="str" cm="1">
        <f t="array" ref="L146">_xlfn.IFS(E146&gt;=52000000,"Platinum",E146&gt;=37000000,"Gold",E146&gt;=30000000,"Sliver",E146&lt;30000000,"Bronze")</f>
        <v>Platinum</v>
      </c>
    </row>
    <row r="147" spans="1:12" x14ac:dyDescent="0.25">
      <c r="A147">
        <v>146</v>
      </c>
      <c r="B147" t="s">
        <v>167</v>
      </c>
      <c r="C147" s="1" t="s">
        <v>21</v>
      </c>
      <c r="D147" t="s">
        <v>32</v>
      </c>
      <c r="E147" s="4">
        <v>73708457</v>
      </c>
      <c r="F147">
        <v>39.71</v>
      </c>
      <c r="G147">
        <v>5.39</v>
      </c>
      <c r="H147">
        <v>323.48</v>
      </c>
      <c r="I147">
        <v>13.58</v>
      </c>
      <c r="J147" s="5">
        <v>46060</v>
      </c>
      <c r="K147">
        <f t="shared" si="2"/>
        <v>36.94</v>
      </c>
      <c r="L147" t="str" cm="1">
        <f t="array" ref="L147">_xlfn.IFS(E147&gt;=52000000,"Platinum",E147&gt;=37000000,"Gold",E147&gt;=30000000,"Sliver",E147&lt;30000000,"Bronze")</f>
        <v>Platinum</v>
      </c>
    </row>
    <row r="148" spans="1:12" x14ac:dyDescent="0.25">
      <c r="A148">
        <v>147</v>
      </c>
      <c r="B148" t="s">
        <v>168</v>
      </c>
      <c r="C148" t="s">
        <v>21</v>
      </c>
      <c r="D148" t="s">
        <v>11</v>
      </c>
      <c r="E148" s="4">
        <v>88259734</v>
      </c>
      <c r="F148">
        <v>41.71</v>
      </c>
      <c r="G148">
        <v>2.27</v>
      </c>
      <c r="H148">
        <v>135.94999999999999</v>
      </c>
      <c r="I148">
        <v>5.43</v>
      </c>
      <c r="J148" s="5">
        <v>46060</v>
      </c>
      <c r="K148">
        <f t="shared" si="2"/>
        <v>31.86</v>
      </c>
      <c r="L148" t="str" cm="1">
        <f t="array" ref="L148">_xlfn.IFS(E148&gt;=52000000,"Platinum",E148&gt;=37000000,"Gold",E148&gt;=30000000,"Sliver",E148&lt;30000000,"Bronze")</f>
        <v>Platinum</v>
      </c>
    </row>
    <row r="149" spans="1:12" x14ac:dyDescent="0.25">
      <c r="A149">
        <v>148</v>
      </c>
      <c r="B149" t="s">
        <v>169</v>
      </c>
      <c r="C149" t="s">
        <v>19</v>
      </c>
      <c r="D149" t="s">
        <v>11</v>
      </c>
      <c r="E149" s="4">
        <v>80723088</v>
      </c>
      <c r="F149">
        <v>59.83</v>
      </c>
      <c r="G149">
        <v>6.46</v>
      </c>
      <c r="H149">
        <v>387.42</v>
      </c>
      <c r="I149">
        <v>10.79</v>
      </c>
      <c r="J149" s="5">
        <v>46060</v>
      </c>
      <c r="K149">
        <f t="shared" si="2"/>
        <v>25.48</v>
      </c>
      <c r="L149" t="str" cm="1">
        <f t="array" ref="L149">_xlfn.IFS(E149&gt;=52000000,"Platinum",E149&gt;=37000000,"Gold",E149&gt;=30000000,"Sliver",E149&lt;30000000,"Bronze")</f>
        <v>Platinum</v>
      </c>
    </row>
    <row r="150" spans="1:12" x14ac:dyDescent="0.25">
      <c r="A150">
        <v>149</v>
      </c>
      <c r="B150" t="s">
        <v>170</v>
      </c>
      <c r="C150" t="s">
        <v>46</v>
      </c>
      <c r="D150" t="s">
        <v>11</v>
      </c>
      <c r="E150" s="4">
        <v>89337385</v>
      </c>
      <c r="F150">
        <v>36.07</v>
      </c>
      <c r="G150">
        <v>5.62</v>
      </c>
      <c r="H150">
        <v>337.44</v>
      </c>
      <c r="I150">
        <v>15.59</v>
      </c>
      <c r="J150" s="5">
        <v>46060</v>
      </c>
      <c r="K150">
        <f t="shared" si="2"/>
        <v>39.76</v>
      </c>
      <c r="L150" t="str" cm="1">
        <f t="array" ref="L150">_xlfn.IFS(E150&gt;=52000000,"Platinum",E150&gt;=37000000,"Gold",E150&gt;=30000000,"Sliver",E150&lt;30000000,"Bronze")</f>
        <v>Platinum</v>
      </c>
    </row>
    <row r="151" spans="1:12" x14ac:dyDescent="0.25">
      <c r="A151">
        <v>150</v>
      </c>
      <c r="B151" t="s">
        <v>171</v>
      </c>
      <c r="C151" t="s">
        <v>10</v>
      </c>
      <c r="D151" t="s">
        <v>32</v>
      </c>
      <c r="E151" s="4">
        <v>90829151</v>
      </c>
      <c r="F151">
        <v>48.46</v>
      </c>
      <c r="G151">
        <v>5.33</v>
      </c>
      <c r="H151">
        <v>319.83999999999997</v>
      </c>
      <c r="I151">
        <v>11</v>
      </c>
      <c r="J151" s="5">
        <v>46060</v>
      </c>
      <c r="K151">
        <f t="shared" si="2"/>
        <v>31.27</v>
      </c>
      <c r="L151" t="str" cm="1">
        <f t="array" ref="L151">_xlfn.IFS(E151&gt;=52000000,"Platinum",E151&gt;=37000000,"Gold",E151&gt;=30000000,"Sliver",E151&lt;30000000,"Bronze")</f>
        <v>Platinum</v>
      </c>
    </row>
    <row r="152" spans="1:12" x14ac:dyDescent="0.25">
      <c r="A152">
        <v>151</v>
      </c>
      <c r="B152" t="s">
        <v>172</v>
      </c>
      <c r="C152" t="s">
        <v>19</v>
      </c>
      <c r="D152" t="s">
        <v>32</v>
      </c>
      <c r="E152" s="4">
        <v>70398260</v>
      </c>
      <c r="F152">
        <v>55.44</v>
      </c>
      <c r="G152">
        <v>3.76</v>
      </c>
      <c r="H152">
        <v>225.83</v>
      </c>
      <c r="I152">
        <v>6.79</v>
      </c>
      <c r="J152" s="5">
        <v>46060</v>
      </c>
      <c r="K152">
        <f t="shared" si="2"/>
        <v>25.68</v>
      </c>
      <c r="L152" t="str" cm="1">
        <f t="array" ref="L152">_xlfn.IFS(E152&gt;=52000000,"Platinum",E152&gt;=37000000,"Gold",E152&gt;=30000000,"Sliver",E152&lt;30000000,"Bronze")</f>
        <v>Platinum</v>
      </c>
    </row>
    <row r="153" spans="1:12" x14ac:dyDescent="0.25">
      <c r="A153">
        <v>152</v>
      </c>
      <c r="B153" t="s">
        <v>173</v>
      </c>
      <c r="C153" t="s">
        <v>27</v>
      </c>
      <c r="D153" t="s">
        <v>32</v>
      </c>
      <c r="E153" s="4">
        <v>94602613</v>
      </c>
      <c r="F153">
        <v>18.260000000000002</v>
      </c>
      <c r="G153">
        <v>28.03</v>
      </c>
      <c r="H153">
        <v>1681.76</v>
      </c>
      <c r="I153">
        <v>153.5</v>
      </c>
      <c r="J153" s="5">
        <v>46060</v>
      </c>
      <c r="K153">
        <f t="shared" si="2"/>
        <v>117.62</v>
      </c>
      <c r="L153" t="str" cm="1">
        <f t="array" ref="L153">_xlfn.IFS(E153&gt;=52000000,"Platinum",E153&gt;=37000000,"Gold",E153&gt;=30000000,"Sliver",E153&lt;30000000,"Bronze")</f>
        <v>Platinum</v>
      </c>
    </row>
    <row r="154" spans="1:12" x14ac:dyDescent="0.25">
      <c r="A154">
        <v>153</v>
      </c>
      <c r="B154" t="s">
        <v>174</v>
      </c>
      <c r="C154" t="s">
        <v>21</v>
      </c>
      <c r="D154" s="1" t="s">
        <v>32</v>
      </c>
      <c r="E154" s="4">
        <v>91840643</v>
      </c>
      <c r="F154">
        <v>39.340000000000003</v>
      </c>
      <c r="G154">
        <v>2.82</v>
      </c>
      <c r="H154">
        <v>169.03</v>
      </c>
      <c r="I154">
        <v>7.16</v>
      </c>
      <c r="J154" s="5">
        <v>46060</v>
      </c>
      <c r="K154">
        <f t="shared" si="2"/>
        <v>33.909999999999997</v>
      </c>
      <c r="L154" t="str" cm="1">
        <f t="array" ref="L154">_xlfn.IFS(E154&gt;=52000000,"Platinum",E154&gt;=37000000,"Gold",E154&gt;=30000000,"Sliver",E154&lt;30000000,"Bronze")</f>
        <v>Platinum</v>
      </c>
    </row>
    <row r="155" spans="1:12" x14ac:dyDescent="0.25">
      <c r="A155">
        <v>154</v>
      </c>
      <c r="B155" t="s">
        <v>175</v>
      </c>
      <c r="C155" t="s">
        <v>29</v>
      </c>
      <c r="D155" t="s">
        <v>13</v>
      </c>
      <c r="E155" s="4">
        <v>69980777</v>
      </c>
      <c r="F155">
        <v>56.04</v>
      </c>
      <c r="G155">
        <v>8.2200000000000006</v>
      </c>
      <c r="H155">
        <v>493.42</v>
      </c>
      <c r="I155">
        <v>14.67</v>
      </c>
      <c r="J155" s="5">
        <v>46060</v>
      </c>
      <c r="K155">
        <f t="shared" si="2"/>
        <v>29.32</v>
      </c>
      <c r="L155" t="str" cm="1">
        <f t="array" ref="L155">_xlfn.IFS(E155&gt;=52000000,"Platinum",E155&gt;=37000000,"Gold",E155&gt;=30000000,"Sliver",E155&lt;30000000,"Bronze")</f>
        <v>Platinum</v>
      </c>
    </row>
    <row r="156" spans="1:12" x14ac:dyDescent="0.25">
      <c r="A156">
        <v>155</v>
      </c>
      <c r="B156" t="s">
        <v>176</v>
      </c>
      <c r="C156" t="s">
        <v>27</v>
      </c>
      <c r="D156" t="s">
        <v>22</v>
      </c>
      <c r="E156" s="4">
        <v>92802332</v>
      </c>
      <c r="F156">
        <v>20.420000000000002</v>
      </c>
      <c r="G156">
        <v>30.04</v>
      </c>
      <c r="H156">
        <v>1802.11</v>
      </c>
      <c r="I156">
        <v>147.09</v>
      </c>
      <c r="J156" s="5">
        <v>46060</v>
      </c>
      <c r="K156">
        <f t="shared" si="2"/>
        <v>113.34</v>
      </c>
      <c r="L156" t="str" cm="1">
        <f t="array" ref="L156">_xlfn.IFS(E156&gt;=52000000,"Platinum",E156&gt;=37000000,"Gold",E156&gt;=30000000,"Sliver",E156&lt;30000000,"Bronze")</f>
        <v>Platinum</v>
      </c>
    </row>
    <row r="157" spans="1:12" x14ac:dyDescent="0.25">
      <c r="A157">
        <v>156</v>
      </c>
      <c r="B157" t="s">
        <v>177</v>
      </c>
      <c r="C157" t="s">
        <v>29</v>
      </c>
      <c r="D157" t="s">
        <v>22</v>
      </c>
      <c r="E157" s="4">
        <v>93374866</v>
      </c>
      <c r="F157">
        <v>45.84</v>
      </c>
      <c r="G157">
        <v>4.95</v>
      </c>
      <c r="H157">
        <v>296.98</v>
      </c>
      <c r="I157">
        <v>10.8</v>
      </c>
      <c r="J157" s="5">
        <v>46060</v>
      </c>
      <c r="K157">
        <f t="shared" si="2"/>
        <v>32.479999999999997</v>
      </c>
      <c r="L157" t="str" cm="1">
        <f t="array" ref="L157">_xlfn.IFS(E157&gt;=52000000,"Platinum",E157&gt;=37000000,"Gold",E157&gt;=30000000,"Sliver",E157&lt;30000000,"Bronze")</f>
        <v>Platinum</v>
      </c>
    </row>
    <row r="158" spans="1:12" x14ac:dyDescent="0.25">
      <c r="A158">
        <v>157</v>
      </c>
      <c r="B158" t="s">
        <v>178</v>
      </c>
      <c r="C158" t="s">
        <v>21</v>
      </c>
      <c r="D158" t="s">
        <v>13</v>
      </c>
      <c r="E158" s="4">
        <v>79028813</v>
      </c>
      <c r="F158">
        <v>39.729999999999997</v>
      </c>
      <c r="G158">
        <v>1.78</v>
      </c>
      <c r="H158">
        <v>107</v>
      </c>
      <c r="I158">
        <v>4.49</v>
      </c>
      <c r="J158" s="5">
        <v>46060</v>
      </c>
      <c r="K158">
        <f t="shared" si="2"/>
        <v>32.380000000000003</v>
      </c>
      <c r="L158" t="str" cm="1">
        <f t="array" ref="L158">_xlfn.IFS(E158&gt;=52000000,"Platinum",E158&gt;=37000000,"Gold",E158&gt;=30000000,"Sliver",E158&lt;30000000,"Bronze")</f>
        <v>Platinum</v>
      </c>
    </row>
    <row r="159" spans="1:12" x14ac:dyDescent="0.25">
      <c r="A159">
        <v>158</v>
      </c>
      <c r="B159" t="s">
        <v>179</v>
      </c>
      <c r="C159" s="1" t="s">
        <v>21</v>
      </c>
      <c r="D159" t="s">
        <v>22</v>
      </c>
      <c r="E159" s="4">
        <v>84622593</v>
      </c>
      <c r="F159">
        <v>57.84</v>
      </c>
      <c r="G159">
        <v>9.67</v>
      </c>
      <c r="H159">
        <v>579.92999999999995</v>
      </c>
      <c r="I159">
        <v>16.71</v>
      </c>
      <c r="J159" s="5">
        <v>46060</v>
      </c>
      <c r="K159">
        <f t="shared" si="2"/>
        <v>29.44</v>
      </c>
      <c r="L159" t="str" cm="1">
        <f t="array" ref="L159">_xlfn.IFS(E159&gt;=52000000,"Platinum",E159&gt;=37000000,"Gold",E159&gt;=30000000,"Sliver",E159&lt;30000000,"Bronze")</f>
        <v>Platinum</v>
      </c>
    </row>
    <row r="160" spans="1:12" x14ac:dyDescent="0.25">
      <c r="A160">
        <v>159</v>
      </c>
      <c r="B160" t="s">
        <v>180</v>
      </c>
      <c r="C160" t="s">
        <v>46</v>
      </c>
      <c r="D160" t="s">
        <v>17</v>
      </c>
      <c r="E160" s="4">
        <v>77172646</v>
      </c>
      <c r="F160">
        <v>47.74</v>
      </c>
      <c r="G160">
        <v>4.7699999999999996</v>
      </c>
      <c r="H160">
        <v>286.33999999999997</v>
      </c>
      <c r="I160">
        <v>10</v>
      </c>
      <c r="J160" s="5">
        <v>46060</v>
      </c>
      <c r="K160">
        <f t="shared" si="2"/>
        <v>31.13</v>
      </c>
      <c r="L160" t="str" cm="1">
        <f t="array" ref="L160">_xlfn.IFS(E160&gt;=52000000,"Platinum",E160&gt;=37000000,"Gold",E160&gt;=30000000,"Sliver",E160&lt;30000000,"Bronze")</f>
        <v>Platinum</v>
      </c>
    </row>
    <row r="161" spans="1:12" x14ac:dyDescent="0.25">
      <c r="A161">
        <v>160</v>
      </c>
      <c r="B161" t="s">
        <v>181</v>
      </c>
      <c r="C161" t="s">
        <v>16</v>
      </c>
      <c r="D161" t="s">
        <v>25</v>
      </c>
      <c r="E161" s="4">
        <v>75032492</v>
      </c>
      <c r="F161">
        <v>49.19</v>
      </c>
      <c r="G161">
        <v>4.45</v>
      </c>
      <c r="H161">
        <v>267.08</v>
      </c>
      <c r="I161">
        <v>9.0500000000000007</v>
      </c>
      <c r="J161" s="5">
        <v>46060</v>
      </c>
      <c r="K161">
        <f t="shared" si="2"/>
        <v>29.93</v>
      </c>
      <c r="L161" t="str" cm="1">
        <f t="array" ref="L161">_xlfn.IFS(E161&gt;=52000000,"Platinum",E161&gt;=37000000,"Gold",E161&gt;=30000000,"Sliver",E161&lt;30000000,"Bronze")</f>
        <v>Platinum</v>
      </c>
    </row>
    <row r="162" spans="1:12" x14ac:dyDescent="0.25">
      <c r="A162">
        <v>161</v>
      </c>
      <c r="B162" t="s">
        <v>182</v>
      </c>
      <c r="C162" t="s">
        <v>27</v>
      </c>
      <c r="D162" t="s">
        <v>11</v>
      </c>
      <c r="E162" s="4">
        <v>86203546</v>
      </c>
      <c r="F162">
        <v>15.22</v>
      </c>
      <c r="G162">
        <v>10.88</v>
      </c>
      <c r="H162">
        <v>652.52</v>
      </c>
      <c r="I162">
        <v>71.45</v>
      </c>
      <c r="J162" s="5">
        <v>46060</v>
      </c>
      <c r="K162">
        <f t="shared" si="2"/>
        <v>78.12</v>
      </c>
      <c r="L162" t="str" cm="1">
        <f t="array" ref="L162">_xlfn.IFS(E162&gt;=52000000,"Platinum",E162&gt;=37000000,"Gold",E162&gt;=30000000,"Sliver",E162&lt;30000000,"Bronze")</f>
        <v>Platinum</v>
      </c>
    </row>
    <row r="163" spans="1:12" x14ac:dyDescent="0.25">
      <c r="A163">
        <v>162</v>
      </c>
      <c r="B163" t="s">
        <v>183</v>
      </c>
      <c r="C163" t="s">
        <v>10</v>
      </c>
      <c r="D163" t="s">
        <v>32</v>
      </c>
      <c r="E163" s="4">
        <v>70937123</v>
      </c>
      <c r="F163">
        <v>53.14</v>
      </c>
      <c r="G163">
        <v>5.73</v>
      </c>
      <c r="H163">
        <v>343.67</v>
      </c>
      <c r="I163">
        <v>10.78</v>
      </c>
      <c r="J163" s="5">
        <v>46060</v>
      </c>
      <c r="K163">
        <f t="shared" si="2"/>
        <v>28.82</v>
      </c>
      <c r="L163" t="str" cm="1">
        <f t="array" ref="L163">_xlfn.IFS(E163&gt;=52000000,"Platinum",E163&gt;=37000000,"Gold",E163&gt;=30000000,"Sliver",E163&lt;30000000,"Bronze")</f>
        <v>Platinum</v>
      </c>
    </row>
    <row r="164" spans="1:12" x14ac:dyDescent="0.25">
      <c r="A164">
        <v>163</v>
      </c>
      <c r="B164" t="s">
        <v>184</v>
      </c>
      <c r="C164" t="s">
        <v>29</v>
      </c>
      <c r="D164" t="s">
        <v>11</v>
      </c>
      <c r="E164" s="4">
        <v>86802430</v>
      </c>
      <c r="F164">
        <v>59.31</v>
      </c>
      <c r="G164">
        <v>3.47</v>
      </c>
      <c r="H164">
        <v>207.94</v>
      </c>
      <c r="I164">
        <v>5.84</v>
      </c>
      <c r="J164" s="5">
        <v>46060</v>
      </c>
      <c r="K164">
        <f t="shared" si="2"/>
        <v>23.27</v>
      </c>
      <c r="L164" t="str" cm="1">
        <f t="array" ref="L164">_xlfn.IFS(E164&gt;=52000000,"Platinum",E164&gt;=37000000,"Gold",E164&gt;=30000000,"Sliver",E164&lt;30000000,"Bronze")</f>
        <v>Platinum</v>
      </c>
    </row>
    <row r="165" spans="1:12" x14ac:dyDescent="0.25">
      <c r="A165">
        <v>164</v>
      </c>
      <c r="B165" t="s">
        <v>185</v>
      </c>
      <c r="C165" t="s">
        <v>29</v>
      </c>
      <c r="D165" t="s">
        <v>13</v>
      </c>
      <c r="E165" s="4">
        <v>82992471</v>
      </c>
      <c r="F165">
        <v>45.37</v>
      </c>
      <c r="G165">
        <v>7.91</v>
      </c>
      <c r="H165">
        <v>474.84</v>
      </c>
      <c r="I165">
        <v>17.440000000000001</v>
      </c>
      <c r="J165" s="5">
        <v>46060</v>
      </c>
      <c r="K165">
        <f t="shared" si="2"/>
        <v>36.04</v>
      </c>
      <c r="L165" t="str" cm="1">
        <f t="array" ref="L165">_xlfn.IFS(E165&gt;=52000000,"Platinum",E165&gt;=37000000,"Gold",E165&gt;=30000000,"Sliver",E165&lt;30000000,"Bronze")</f>
        <v>Platinum</v>
      </c>
    </row>
    <row r="166" spans="1:12" x14ac:dyDescent="0.25">
      <c r="A166">
        <v>165</v>
      </c>
      <c r="B166" t="s">
        <v>186</v>
      </c>
      <c r="C166" t="s">
        <v>21</v>
      </c>
      <c r="D166" t="s">
        <v>22</v>
      </c>
      <c r="E166" s="4">
        <v>85497322</v>
      </c>
      <c r="F166">
        <v>45.7</v>
      </c>
      <c r="G166">
        <v>1.24</v>
      </c>
      <c r="H166">
        <v>74.37</v>
      </c>
      <c r="I166">
        <v>2.71</v>
      </c>
      <c r="J166" s="5">
        <v>46060</v>
      </c>
      <c r="K166">
        <f t="shared" si="2"/>
        <v>28.51</v>
      </c>
      <c r="L166" t="str" cm="1">
        <f t="array" ref="L166">_xlfn.IFS(E166&gt;=52000000,"Platinum",E166&gt;=37000000,"Gold",E166&gt;=30000000,"Sliver",E166&lt;30000000,"Bronze")</f>
        <v>Platinum</v>
      </c>
    </row>
    <row r="167" spans="1:12" x14ac:dyDescent="0.25">
      <c r="A167">
        <v>166</v>
      </c>
      <c r="B167" t="s">
        <v>187</v>
      </c>
      <c r="C167" t="s">
        <v>21</v>
      </c>
      <c r="D167" t="s">
        <v>17</v>
      </c>
      <c r="E167" s="4">
        <v>88482082</v>
      </c>
      <c r="F167">
        <v>43.24</v>
      </c>
      <c r="G167">
        <v>2.63</v>
      </c>
      <c r="H167">
        <v>157.88</v>
      </c>
      <c r="I167">
        <v>6.09</v>
      </c>
      <c r="J167" s="5">
        <v>46060</v>
      </c>
      <c r="K167">
        <f t="shared" si="2"/>
        <v>31.43</v>
      </c>
      <c r="L167" t="str" cm="1">
        <f t="array" ref="L167">_xlfn.IFS(E167&gt;=52000000,"Platinum",E167&gt;=37000000,"Gold",E167&gt;=30000000,"Sliver",E167&lt;30000000,"Bronze")</f>
        <v>Platinum</v>
      </c>
    </row>
    <row r="168" spans="1:12" x14ac:dyDescent="0.25">
      <c r="A168">
        <v>167</v>
      </c>
      <c r="B168" t="s">
        <v>188</v>
      </c>
      <c r="C168" t="s">
        <v>46</v>
      </c>
      <c r="D168" t="s">
        <v>22</v>
      </c>
      <c r="E168" s="4">
        <v>84258715</v>
      </c>
      <c r="F168">
        <v>39.93</v>
      </c>
      <c r="G168">
        <v>9.98</v>
      </c>
      <c r="H168">
        <v>599.09</v>
      </c>
      <c r="I168">
        <v>25.01</v>
      </c>
      <c r="J168" s="5">
        <v>46060</v>
      </c>
      <c r="K168">
        <f t="shared" si="2"/>
        <v>42.54</v>
      </c>
      <c r="L168" t="str" cm="1">
        <f t="array" ref="L168">_xlfn.IFS(E168&gt;=52000000,"Platinum",E168&gt;=37000000,"Gold",E168&gt;=30000000,"Sliver",E168&lt;30000000,"Bronze")</f>
        <v>Platinum</v>
      </c>
    </row>
    <row r="169" spans="1:12" x14ac:dyDescent="0.25">
      <c r="A169">
        <v>168</v>
      </c>
      <c r="B169" t="s">
        <v>189</v>
      </c>
      <c r="C169" t="s">
        <v>19</v>
      </c>
      <c r="D169" t="s">
        <v>25</v>
      </c>
      <c r="E169" s="4">
        <v>66044715</v>
      </c>
      <c r="F169">
        <v>34.11</v>
      </c>
      <c r="G169">
        <v>3.47</v>
      </c>
      <c r="H169">
        <v>208.39</v>
      </c>
      <c r="I169">
        <v>10.18</v>
      </c>
      <c r="J169" s="5">
        <v>46060</v>
      </c>
      <c r="K169">
        <f t="shared" si="2"/>
        <v>38.04</v>
      </c>
      <c r="L169" t="str" cm="1">
        <f t="array" ref="L169">_xlfn.IFS(E169&gt;=52000000,"Platinum",E169&gt;=37000000,"Gold",E169&gt;=30000000,"Sliver",E169&lt;30000000,"Bronze")</f>
        <v>Platinum</v>
      </c>
    </row>
    <row r="170" spans="1:12" x14ac:dyDescent="0.25">
      <c r="A170">
        <v>169</v>
      </c>
      <c r="B170" t="s">
        <v>190</v>
      </c>
      <c r="C170" t="s">
        <v>16</v>
      </c>
      <c r="D170" t="s">
        <v>32</v>
      </c>
      <c r="E170" s="4">
        <v>67228239</v>
      </c>
      <c r="F170">
        <v>32.119999999999997</v>
      </c>
      <c r="G170">
        <v>5.72</v>
      </c>
      <c r="H170">
        <v>343.28</v>
      </c>
      <c r="I170">
        <v>17.809999999999999</v>
      </c>
      <c r="J170" s="5">
        <v>46060</v>
      </c>
      <c r="K170">
        <f t="shared" si="2"/>
        <v>42.85</v>
      </c>
      <c r="L170" t="str" cm="1">
        <f t="array" ref="L170">_xlfn.IFS(E170&gt;=52000000,"Platinum",E170&gt;=37000000,"Gold",E170&gt;=30000000,"Sliver",E170&lt;30000000,"Bronze")</f>
        <v>Platinum</v>
      </c>
    </row>
    <row r="171" spans="1:12" x14ac:dyDescent="0.25">
      <c r="A171">
        <v>170</v>
      </c>
      <c r="B171" t="s">
        <v>191</v>
      </c>
      <c r="C171" t="s">
        <v>46</v>
      </c>
      <c r="D171" t="s">
        <v>11</v>
      </c>
      <c r="E171" s="4">
        <v>72588751</v>
      </c>
      <c r="F171">
        <v>54.95</v>
      </c>
      <c r="G171">
        <v>3.71</v>
      </c>
      <c r="H171">
        <v>222.7</v>
      </c>
      <c r="I171">
        <v>6.75</v>
      </c>
      <c r="J171" s="5">
        <v>46060</v>
      </c>
      <c r="K171">
        <f t="shared" si="2"/>
        <v>25.9</v>
      </c>
      <c r="L171" t="str" cm="1">
        <f t="array" ref="L171">_xlfn.IFS(E171&gt;=52000000,"Platinum",E171&gt;=37000000,"Gold",E171&gt;=30000000,"Sliver",E171&lt;30000000,"Bronze")</f>
        <v>Platinum</v>
      </c>
    </row>
    <row r="172" spans="1:12" x14ac:dyDescent="0.25">
      <c r="A172">
        <v>171</v>
      </c>
      <c r="B172" t="s">
        <v>192</v>
      </c>
      <c r="C172" t="s">
        <v>16</v>
      </c>
      <c r="D172" t="s">
        <v>13</v>
      </c>
      <c r="E172" s="4">
        <v>74572032</v>
      </c>
      <c r="F172">
        <v>51.81</v>
      </c>
      <c r="G172">
        <v>3.65</v>
      </c>
      <c r="H172">
        <v>218.88</v>
      </c>
      <c r="I172">
        <v>7.04</v>
      </c>
      <c r="J172" s="5">
        <v>46060</v>
      </c>
      <c r="K172">
        <f t="shared" si="2"/>
        <v>27.62</v>
      </c>
      <c r="L172" t="str" cm="1">
        <f t="array" ref="L172">_xlfn.IFS(E172&gt;=52000000,"Platinum",E172&gt;=37000000,"Gold",E172&gt;=30000000,"Sliver",E172&lt;30000000,"Bronze")</f>
        <v>Platinum</v>
      </c>
    </row>
    <row r="173" spans="1:12" x14ac:dyDescent="0.25">
      <c r="A173">
        <v>172</v>
      </c>
      <c r="B173" t="s">
        <v>193</v>
      </c>
      <c r="C173" t="s">
        <v>21</v>
      </c>
      <c r="D173" t="s">
        <v>13</v>
      </c>
      <c r="E173" s="4">
        <v>66669659</v>
      </c>
      <c r="F173">
        <v>43.65</v>
      </c>
      <c r="G173">
        <v>1.68</v>
      </c>
      <c r="H173">
        <v>101.09</v>
      </c>
      <c r="I173">
        <v>3.86</v>
      </c>
      <c r="J173" s="5">
        <v>46060</v>
      </c>
      <c r="K173">
        <f t="shared" si="2"/>
        <v>30.11</v>
      </c>
      <c r="L173" t="str" cm="1">
        <f t="array" ref="L173">_xlfn.IFS(E173&gt;=52000000,"Platinum",E173&gt;=37000000,"Gold",E173&gt;=30000000,"Sliver",E173&lt;30000000,"Bronze")</f>
        <v>Platinum</v>
      </c>
    </row>
    <row r="174" spans="1:12" x14ac:dyDescent="0.25">
      <c r="A174">
        <v>173</v>
      </c>
      <c r="B174" t="s">
        <v>194</v>
      </c>
      <c r="C174" t="s">
        <v>10</v>
      </c>
      <c r="D174" t="s">
        <v>22</v>
      </c>
      <c r="E174" s="4">
        <v>90088308</v>
      </c>
      <c r="F174">
        <v>40.43</v>
      </c>
      <c r="G174">
        <v>7.41</v>
      </c>
      <c r="H174">
        <v>444.53</v>
      </c>
      <c r="I174">
        <v>18.329999999999998</v>
      </c>
      <c r="J174" s="5">
        <v>46060</v>
      </c>
      <c r="K174">
        <f t="shared" si="2"/>
        <v>38.950000000000003</v>
      </c>
      <c r="L174" t="str" cm="1">
        <f t="array" ref="L174">_xlfn.IFS(E174&gt;=52000000,"Platinum",E174&gt;=37000000,"Gold",E174&gt;=30000000,"Sliver",E174&lt;30000000,"Bronze")</f>
        <v>Platinum</v>
      </c>
    </row>
    <row r="175" spans="1:12" x14ac:dyDescent="0.25">
      <c r="A175">
        <v>174</v>
      </c>
      <c r="B175" t="s">
        <v>195</v>
      </c>
      <c r="C175" t="s">
        <v>16</v>
      </c>
      <c r="D175" t="s">
        <v>13</v>
      </c>
      <c r="E175" s="4">
        <v>89665455</v>
      </c>
      <c r="F175">
        <v>49.2</v>
      </c>
      <c r="G175">
        <v>9.0399999999999991</v>
      </c>
      <c r="H175">
        <v>542.62</v>
      </c>
      <c r="I175">
        <v>18.38</v>
      </c>
      <c r="J175" s="5">
        <v>46060</v>
      </c>
      <c r="K175">
        <f t="shared" si="2"/>
        <v>34.590000000000003</v>
      </c>
      <c r="L175" t="str" cm="1">
        <f t="array" ref="L175">_xlfn.IFS(E175&gt;=52000000,"Platinum",E175&gt;=37000000,"Gold",E175&gt;=30000000,"Sliver",E175&lt;30000000,"Bronze")</f>
        <v>Platinum</v>
      </c>
    </row>
    <row r="176" spans="1:12" x14ac:dyDescent="0.25">
      <c r="A176">
        <v>175</v>
      </c>
      <c r="B176" t="s">
        <v>196</v>
      </c>
      <c r="C176" t="s">
        <v>19</v>
      </c>
      <c r="D176" t="s">
        <v>13</v>
      </c>
      <c r="E176" s="4">
        <v>74921806</v>
      </c>
      <c r="F176">
        <v>35.159999999999997</v>
      </c>
      <c r="G176">
        <v>5.72</v>
      </c>
      <c r="H176" s="1">
        <f>CALCULATION!$D$11</f>
        <v>343.315</v>
      </c>
      <c r="I176">
        <v>9.7100000000000009</v>
      </c>
      <c r="J176" s="5">
        <v>46060</v>
      </c>
      <c r="K176">
        <f t="shared" si="2"/>
        <v>37.28</v>
      </c>
      <c r="L176" t="str" cm="1">
        <f t="array" ref="L176">_xlfn.IFS(E176&gt;=52000000,"Platinum",E176&gt;=37000000,"Gold",E176&gt;=30000000,"Sliver",E176&lt;30000000,"Bronze")</f>
        <v>Platinum</v>
      </c>
    </row>
    <row r="177" spans="1:12" x14ac:dyDescent="0.25">
      <c r="A177">
        <v>176</v>
      </c>
      <c r="B177" t="s">
        <v>197</v>
      </c>
      <c r="C177" t="s">
        <v>21</v>
      </c>
      <c r="D177" t="s">
        <v>22</v>
      </c>
      <c r="E177" s="4">
        <v>87530469</v>
      </c>
      <c r="F177">
        <v>42.65</v>
      </c>
      <c r="G177">
        <v>1.94</v>
      </c>
      <c r="H177">
        <v>116.49</v>
      </c>
      <c r="I177">
        <v>4.55</v>
      </c>
      <c r="J177" s="5">
        <v>46060</v>
      </c>
      <c r="K177">
        <f t="shared" si="2"/>
        <v>30.95</v>
      </c>
      <c r="L177" t="str" cm="1">
        <f t="array" ref="L177">_xlfn.IFS(E177&gt;=52000000,"Platinum",E177&gt;=37000000,"Gold",E177&gt;=30000000,"Sliver",E177&lt;30000000,"Bronze")</f>
        <v>Platinum</v>
      </c>
    </row>
    <row r="178" spans="1:12" x14ac:dyDescent="0.25">
      <c r="A178">
        <v>177</v>
      </c>
      <c r="B178" t="s">
        <v>198</v>
      </c>
      <c r="C178" t="s">
        <v>16</v>
      </c>
      <c r="D178" t="s">
        <v>13</v>
      </c>
      <c r="E178" s="4">
        <v>77350930</v>
      </c>
      <c r="F178">
        <v>42.72</v>
      </c>
      <c r="G178">
        <v>6.54</v>
      </c>
      <c r="H178">
        <v>392.62</v>
      </c>
      <c r="I178">
        <v>15.32</v>
      </c>
      <c r="J178" s="5">
        <v>46060</v>
      </c>
      <c r="K178">
        <f t="shared" si="2"/>
        <v>36.299999999999997</v>
      </c>
      <c r="L178" t="str" cm="1">
        <f t="array" ref="L178">_xlfn.IFS(E178&gt;=52000000,"Platinum",E178&gt;=37000000,"Gold",E178&gt;=30000000,"Sliver",E178&lt;30000000,"Bronze")</f>
        <v>Platinum</v>
      </c>
    </row>
    <row r="179" spans="1:12" x14ac:dyDescent="0.25">
      <c r="A179">
        <v>178</v>
      </c>
      <c r="B179" t="s">
        <v>199</v>
      </c>
      <c r="C179" t="s">
        <v>21</v>
      </c>
      <c r="D179" t="s">
        <v>11</v>
      </c>
      <c r="E179" s="4">
        <v>71501837</v>
      </c>
      <c r="F179">
        <v>47.32</v>
      </c>
      <c r="G179">
        <v>2.42</v>
      </c>
      <c r="H179">
        <v>145.04</v>
      </c>
      <c r="I179">
        <v>5.1100000000000003</v>
      </c>
      <c r="J179" s="5">
        <v>46060</v>
      </c>
      <c r="K179">
        <f t="shared" si="2"/>
        <v>28.9</v>
      </c>
      <c r="L179" t="str" cm="1">
        <f t="array" ref="L179">_xlfn.IFS(E179&gt;=52000000,"Platinum",E179&gt;=37000000,"Gold",E179&gt;=30000000,"Sliver",E179&lt;30000000,"Bronze")</f>
        <v>Platinum</v>
      </c>
    </row>
    <row r="180" spans="1:12" x14ac:dyDescent="0.25">
      <c r="A180">
        <v>179</v>
      </c>
      <c r="B180" t="s">
        <v>200</v>
      </c>
      <c r="C180" t="s">
        <v>46</v>
      </c>
      <c r="D180" t="s">
        <v>25</v>
      </c>
      <c r="E180" s="4">
        <v>79291404</v>
      </c>
      <c r="F180">
        <v>58.9</v>
      </c>
      <c r="G180">
        <v>7.24</v>
      </c>
      <c r="H180">
        <v>434.47</v>
      </c>
      <c r="I180">
        <v>12.29</v>
      </c>
      <c r="J180" s="5">
        <v>46060</v>
      </c>
      <c r="K180">
        <f t="shared" si="2"/>
        <v>26.7</v>
      </c>
      <c r="L180" t="str" cm="1">
        <f t="array" ref="L180">_xlfn.IFS(E180&gt;=52000000,"Platinum",E180&gt;=37000000,"Gold",E180&gt;=30000000,"Sliver",E180&lt;30000000,"Bronze")</f>
        <v>Platinum</v>
      </c>
    </row>
    <row r="181" spans="1:12" x14ac:dyDescent="0.25">
      <c r="A181">
        <v>180</v>
      </c>
      <c r="B181" t="s">
        <v>201</v>
      </c>
      <c r="C181" t="s">
        <v>27</v>
      </c>
      <c r="D181" t="s">
        <v>11</v>
      </c>
      <c r="E181" s="4">
        <v>71891587</v>
      </c>
      <c r="F181">
        <v>27.52</v>
      </c>
      <c r="G181">
        <v>34.93</v>
      </c>
      <c r="H181">
        <v>2095.5</v>
      </c>
      <c r="I181">
        <v>126.91</v>
      </c>
      <c r="J181" s="5">
        <v>46060</v>
      </c>
      <c r="K181">
        <f t="shared" si="2"/>
        <v>99.7</v>
      </c>
      <c r="L181" t="str" cm="1">
        <f t="array" ref="L181">_xlfn.IFS(E181&gt;=52000000,"Platinum",E181&gt;=37000000,"Gold",E181&gt;=30000000,"Sliver",E181&lt;30000000,"Bronze")</f>
        <v>Platinum</v>
      </c>
    </row>
    <row r="182" spans="1:12" x14ac:dyDescent="0.25">
      <c r="A182">
        <v>181</v>
      </c>
      <c r="B182" t="s">
        <v>202</v>
      </c>
      <c r="C182" t="s">
        <v>10</v>
      </c>
      <c r="D182" t="s">
        <v>11</v>
      </c>
      <c r="E182" s="4">
        <v>86479776</v>
      </c>
      <c r="F182">
        <v>58.51</v>
      </c>
      <c r="G182">
        <v>6.55</v>
      </c>
      <c r="H182">
        <v>393.06</v>
      </c>
      <c r="I182">
        <v>11.2</v>
      </c>
      <c r="J182" s="5">
        <v>46060</v>
      </c>
      <c r="K182">
        <f t="shared" si="2"/>
        <v>26.35</v>
      </c>
      <c r="L182" t="str" cm="1">
        <f t="array" ref="L182">_xlfn.IFS(E182&gt;=52000000,"Platinum",E182&gt;=37000000,"Gold",E182&gt;=30000000,"Sliver",E182&lt;30000000,"Bronze")</f>
        <v>Platinum</v>
      </c>
    </row>
    <row r="183" spans="1:12" x14ac:dyDescent="0.25">
      <c r="A183">
        <v>182</v>
      </c>
      <c r="B183" t="s">
        <v>203</v>
      </c>
      <c r="C183" t="s">
        <v>21</v>
      </c>
      <c r="D183" t="s">
        <v>22</v>
      </c>
      <c r="E183" s="4">
        <v>79163513</v>
      </c>
      <c r="F183">
        <v>45.95</v>
      </c>
      <c r="G183">
        <v>2.91</v>
      </c>
      <c r="H183">
        <v>174.46</v>
      </c>
      <c r="I183">
        <v>6.33</v>
      </c>
      <c r="J183" s="5">
        <v>46060</v>
      </c>
      <c r="K183">
        <f t="shared" si="2"/>
        <v>30.19</v>
      </c>
      <c r="L183" t="str" cm="1">
        <f t="array" ref="L183">_xlfn.IFS(E183&gt;=52000000,"Platinum",E183&gt;=37000000,"Gold",E183&gt;=30000000,"Sliver",E183&lt;30000000,"Bronze")</f>
        <v>Platinum</v>
      </c>
    </row>
    <row r="184" spans="1:12" x14ac:dyDescent="0.25">
      <c r="A184">
        <v>183</v>
      </c>
      <c r="B184" t="s">
        <v>204</v>
      </c>
      <c r="C184" t="s">
        <v>27</v>
      </c>
      <c r="D184" t="s">
        <v>13</v>
      </c>
      <c r="E184" s="4">
        <v>72973753</v>
      </c>
      <c r="F184">
        <v>24.79</v>
      </c>
      <c r="G184">
        <v>39.31</v>
      </c>
      <c r="H184">
        <v>2358.36</v>
      </c>
      <c r="I184">
        <v>158.56</v>
      </c>
      <c r="J184" s="5">
        <v>46060</v>
      </c>
      <c r="K184">
        <f t="shared" si="2"/>
        <v>116.89</v>
      </c>
      <c r="L184" t="str" cm="1">
        <f t="array" ref="L184">_xlfn.IFS(E184&gt;=52000000,"Platinum",E184&gt;=37000000,"Gold",E184&gt;=30000000,"Sliver",E184&lt;30000000,"Bronze")</f>
        <v>Platinum</v>
      </c>
    </row>
    <row r="185" spans="1:12" x14ac:dyDescent="0.25">
      <c r="A185">
        <v>184</v>
      </c>
      <c r="B185" t="s">
        <v>205</v>
      </c>
      <c r="C185" t="s">
        <v>21</v>
      </c>
      <c r="D185" t="s">
        <v>17</v>
      </c>
      <c r="E185" s="4">
        <v>63167428</v>
      </c>
      <c r="F185">
        <v>37.159999999999997</v>
      </c>
      <c r="G185">
        <v>1.24</v>
      </c>
      <c r="H185">
        <v>74.3</v>
      </c>
      <c r="I185">
        <v>3.33</v>
      </c>
      <c r="J185" s="5">
        <v>46060</v>
      </c>
      <c r="K185">
        <f t="shared" si="2"/>
        <v>33.090000000000003</v>
      </c>
      <c r="L185" t="str" cm="1">
        <f t="array" ref="L185">_xlfn.IFS(E185&gt;=52000000,"Platinum",E185&gt;=37000000,"Gold",E185&gt;=30000000,"Sliver",E185&lt;30000000,"Bronze")</f>
        <v>Platinum</v>
      </c>
    </row>
    <row r="186" spans="1:12" x14ac:dyDescent="0.25">
      <c r="A186">
        <v>185</v>
      </c>
      <c r="B186" t="s">
        <v>206</v>
      </c>
      <c r="C186" t="s">
        <v>29</v>
      </c>
      <c r="D186" t="s">
        <v>22</v>
      </c>
      <c r="E186" s="4">
        <v>83150654</v>
      </c>
      <c r="F186" s="1">
        <f>CALCULATION!$C$11</f>
        <v>42.81</v>
      </c>
      <c r="G186" s="1">
        <v>5.72</v>
      </c>
      <c r="H186" s="1">
        <f>CALCULATION!$D$11</f>
        <v>343.315</v>
      </c>
      <c r="I186">
        <v>13.29</v>
      </c>
      <c r="J186" s="5">
        <v>46060</v>
      </c>
      <c r="K186">
        <f t="shared" si="2"/>
        <v>35.24</v>
      </c>
      <c r="L186" t="str" cm="1">
        <f t="array" ref="L186">_xlfn.IFS(E186&gt;=52000000,"Platinum",E186&gt;=37000000,"Gold",E186&gt;=30000000,"Sliver",E186&lt;30000000,"Bronze")</f>
        <v>Platinum</v>
      </c>
    </row>
    <row r="187" spans="1:12" x14ac:dyDescent="0.25">
      <c r="A187">
        <v>186</v>
      </c>
      <c r="B187" t="s">
        <v>207</v>
      </c>
      <c r="C187" t="s">
        <v>10</v>
      </c>
      <c r="D187" t="s">
        <v>11</v>
      </c>
      <c r="E187" s="4">
        <v>65197279</v>
      </c>
      <c r="F187">
        <v>36.200000000000003</v>
      </c>
      <c r="G187">
        <v>8.9499999999999993</v>
      </c>
      <c r="H187">
        <v>536.86</v>
      </c>
      <c r="I187">
        <v>24.72</v>
      </c>
      <c r="J187" s="5">
        <v>46060</v>
      </c>
      <c r="K187">
        <f t="shared" si="2"/>
        <v>44.26</v>
      </c>
      <c r="L187" t="str" cm="1">
        <f t="array" ref="L187">_xlfn.IFS(E187&gt;=52000000,"Platinum",E187&gt;=37000000,"Gold",E187&gt;=30000000,"Sliver",E187&lt;30000000,"Bronze")</f>
        <v>Platinum</v>
      </c>
    </row>
    <row r="188" spans="1:12" x14ac:dyDescent="0.25">
      <c r="A188">
        <v>187</v>
      </c>
      <c r="B188" t="s">
        <v>208</v>
      </c>
      <c r="C188" t="s">
        <v>27</v>
      </c>
      <c r="D188" t="s">
        <v>22</v>
      </c>
      <c r="E188" s="4">
        <v>67416079</v>
      </c>
      <c r="F188">
        <v>25.98</v>
      </c>
      <c r="G188">
        <v>5.72</v>
      </c>
      <c r="H188" s="1">
        <f>CALCULATION!$D$11</f>
        <v>343.315</v>
      </c>
      <c r="I188">
        <v>91.28</v>
      </c>
      <c r="J188" s="5">
        <v>46060</v>
      </c>
      <c r="K188">
        <f t="shared" si="2"/>
        <v>82.65</v>
      </c>
      <c r="L188" t="str" cm="1">
        <f t="array" ref="L188">_xlfn.IFS(E188&gt;=52000000,"Platinum",E188&gt;=37000000,"Gold",E188&gt;=30000000,"Sliver",E188&lt;30000000,"Bronze")</f>
        <v>Platinum</v>
      </c>
    </row>
    <row r="189" spans="1:12" x14ac:dyDescent="0.25">
      <c r="A189">
        <v>188</v>
      </c>
      <c r="B189" t="s">
        <v>209</v>
      </c>
      <c r="C189" t="s">
        <v>19</v>
      </c>
      <c r="D189" t="s">
        <v>13</v>
      </c>
      <c r="E189" s="4">
        <v>63649570</v>
      </c>
      <c r="F189">
        <v>55.38</v>
      </c>
      <c r="G189">
        <v>2.58</v>
      </c>
      <c r="H189">
        <v>154.82</v>
      </c>
      <c r="I189">
        <v>4.66</v>
      </c>
      <c r="J189" s="5">
        <v>46060</v>
      </c>
      <c r="K189">
        <f t="shared" si="2"/>
        <v>24.64</v>
      </c>
      <c r="L189" t="str" cm="1">
        <f t="array" ref="L189">_xlfn.IFS(E189&gt;=52000000,"Platinum",E189&gt;=37000000,"Gold",E189&gt;=30000000,"Sliver",E189&lt;30000000,"Bronze")</f>
        <v>Platinum</v>
      </c>
    </row>
    <row r="190" spans="1:12" x14ac:dyDescent="0.25">
      <c r="A190">
        <v>189</v>
      </c>
      <c r="B190" t="s">
        <v>210</v>
      </c>
      <c r="C190" t="s">
        <v>27</v>
      </c>
      <c r="D190" t="s">
        <v>25</v>
      </c>
      <c r="E190" s="4">
        <v>62168935</v>
      </c>
      <c r="F190">
        <v>29.62</v>
      </c>
      <c r="G190">
        <v>36.81</v>
      </c>
      <c r="H190">
        <v>2208.38</v>
      </c>
      <c r="I190">
        <v>124.26</v>
      </c>
      <c r="J190" s="5">
        <v>46060</v>
      </c>
      <c r="K190">
        <f t="shared" si="2"/>
        <v>97.32</v>
      </c>
      <c r="L190" t="str" cm="1">
        <f t="array" ref="L190">_xlfn.IFS(E190&gt;=52000000,"Platinum",E190&gt;=37000000,"Gold",E190&gt;=30000000,"Sliver",E190&lt;30000000,"Bronze")</f>
        <v>Platinum</v>
      </c>
    </row>
    <row r="191" spans="1:12" x14ac:dyDescent="0.25">
      <c r="A191">
        <v>190</v>
      </c>
      <c r="B191" t="s">
        <v>211</v>
      </c>
      <c r="C191" t="s">
        <v>21</v>
      </c>
      <c r="D191" t="s">
        <v>17</v>
      </c>
      <c r="E191" s="4">
        <v>75512992</v>
      </c>
      <c r="F191">
        <v>49.22</v>
      </c>
      <c r="G191">
        <v>1.95</v>
      </c>
      <c r="H191">
        <v>116.92</v>
      </c>
      <c r="I191">
        <v>3.96</v>
      </c>
      <c r="J191" s="5">
        <v>46060</v>
      </c>
      <c r="K191">
        <f t="shared" si="2"/>
        <v>27.37</v>
      </c>
      <c r="L191" t="str" cm="1">
        <f t="array" ref="L191">_xlfn.IFS(E191&gt;=52000000,"Platinum",E191&gt;=37000000,"Gold",E191&gt;=30000000,"Sliver",E191&lt;30000000,"Bronze")</f>
        <v>Platinum</v>
      </c>
    </row>
    <row r="192" spans="1:12" x14ac:dyDescent="0.25">
      <c r="A192">
        <v>191</v>
      </c>
      <c r="B192" t="s">
        <v>212</v>
      </c>
      <c r="C192" t="s">
        <v>29</v>
      </c>
      <c r="D192" t="s">
        <v>11</v>
      </c>
      <c r="E192" s="4">
        <v>84742809</v>
      </c>
      <c r="F192">
        <v>32.32</v>
      </c>
      <c r="G192">
        <v>6.41</v>
      </c>
      <c r="H192">
        <v>384.72</v>
      </c>
      <c r="I192">
        <v>19.84</v>
      </c>
      <c r="J192" s="5">
        <v>46060</v>
      </c>
      <c r="K192">
        <f t="shared" si="2"/>
        <v>43.76</v>
      </c>
      <c r="L192" t="str" cm="1">
        <f t="array" ref="L192">_xlfn.IFS(E192&gt;=52000000,"Platinum",E192&gt;=37000000,"Gold",E192&gt;=30000000,"Sliver",E192&lt;30000000,"Bronze")</f>
        <v>Platinum</v>
      </c>
    </row>
    <row r="193" spans="1:12" x14ac:dyDescent="0.25">
      <c r="A193">
        <v>192</v>
      </c>
      <c r="B193" t="s">
        <v>213</v>
      </c>
      <c r="C193" t="s">
        <v>19</v>
      </c>
      <c r="D193" t="s">
        <v>13</v>
      </c>
      <c r="E193" s="4">
        <v>67303701</v>
      </c>
      <c r="F193">
        <v>37.04</v>
      </c>
      <c r="G193">
        <v>4.9800000000000004</v>
      </c>
      <c r="H193">
        <v>298.64</v>
      </c>
      <c r="I193">
        <v>13.44</v>
      </c>
      <c r="J193" s="5">
        <v>46060</v>
      </c>
      <c r="K193">
        <f t="shared" si="2"/>
        <v>38.200000000000003</v>
      </c>
      <c r="L193" t="str" cm="1">
        <f t="array" ref="L193">_xlfn.IFS(E193&gt;=52000000,"Platinum",E193&gt;=37000000,"Gold",E193&gt;=30000000,"Sliver",E193&lt;30000000,"Bronze")</f>
        <v>Platinum</v>
      </c>
    </row>
    <row r="194" spans="1:12" x14ac:dyDescent="0.25">
      <c r="A194">
        <v>193</v>
      </c>
      <c r="B194" t="s">
        <v>214</v>
      </c>
      <c r="C194" t="s">
        <v>19</v>
      </c>
      <c r="D194" t="s">
        <v>25</v>
      </c>
      <c r="E194" s="4">
        <v>59320013</v>
      </c>
      <c r="F194">
        <v>55.54</v>
      </c>
      <c r="G194">
        <v>4.7300000000000004</v>
      </c>
      <c r="H194">
        <v>284.08999999999997</v>
      </c>
      <c r="I194">
        <v>8.5299999999999994</v>
      </c>
      <c r="J194" s="5">
        <v>46060</v>
      </c>
      <c r="K194">
        <f t="shared" si="2"/>
        <v>26.5</v>
      </c>
      <c r="L194" t="str" cm="1">
        <f t="array" ref="L194">_xlfn.IFS(E194&gt;=52000000,"Platinum",E194&gt;=37000000,"Gold",E194&gt;=30000000,"Sliver",E194&lt;30000000,"Bronze")</f>
        <v>Platinum</v>
      </c>
    </row>
    <row r="195" spans="1:12" x14ac:dyDescent="0.25">
      <c r="A195">
        <v>194</v>
      </c>
      <c r="B195" t="s">
        <v>215</v>
      </c>
      <c r="C195" t="s">
        <v>27</v>
      </c>
      <c r="D195" t="s">
        <v>25</v>
      </c>
      <c r="E195" s="4">
        <v>68903889</v>
      </c>
      <c r="F195">
        <v>26.19</v>
      </c>
      <c r="G195">
        <v>32.69</v>
      </c>
      <c r="H195">
        <v>1961.65</v>
      </c>
      <c r="I195">
        <v>124.83</v>
      </c>
      <c r="J195" s="5">
        <v>46060</v>
      </c>
      <c r="K195">
        <f t="shared" ref="K195:K258" si="3">ROUND((100-F195)*0.5 + I195*0.5,2)</f>
        <v>99.32</v>
      </c>
      <c r="L195" t="str" cm="1">
        <f t="array" ref="L195">_xlfn.IFS(E195&gt;=52000000,"Platinum",E195&gt;=37000000,"Gold",E195&gt;=30000000,"Sliver",E195&lt;30000000,"Bronze")</f>
        <v>Platinum</v>
      </c>
    </row>
    <row r="196" spans="1:12" x14ac:dyDescent="0.25">
      <c r="A196">
        <v>195</v>
      </c>
      <c r="B196" t="s">
        <v>216</v>
      </c>
      <c r="C196" t="s">
        <v>16</v>
      </c>
      <c r="D196" t="s">
        <v>22</v>
      </c>
      <c r="E196" s="4">
        <v>61765051</v>
      </c>
      <c r="F196">
        <v>52.56</v>
      </c>
      <c r="G196">
        <v>5.72</v>
      </c>
      <c r="H196" s="1">
        <f>CALCULATION!$D$11</f>
        <v>343.315</v>
      </c>
      <c r="I196">
        <v>17.920000000000002</v>
      </c>
      <c r="J196" s="5">
        <v>46060</v>
      </c>
      <c r="K196">
        <f t="shared" si="3"/>
        <v>32.68</v>
      </c>
      <c r="L196" t="str" cm="1">
        <f t="array" ref="L196">_xlfn.IFS(E196&gt;=52000000,"Platinum",E196&gt;=37000000,"Gold",E196&gt;=30000000,"Sliver",E196&lt;30000000,"Bronze")</f>
        <v>Platinum</v>
      </c>
    </row>
    <row r="197" spans="1:12" x14ac:dyDescent="0.25">
      <c r="A197">
        <v>196</v>
      </c>
      <c r="B197" t="s">
        <v>217</v>
      </c>
      <c r="C197" t="s">
        <v>46</v>
      </c>
      <c r="D197" t="s">
        <v>22</v>
      </c>
      <c r="E197" s="4">
        <v>62540895</v>
      </c>
      <c r="F197">
        <v>59.39</v>
      </c>
      <c r="G197">
        <v>5</v>
      </c>
      <c r="H197">
        <v>300.25</v>
      </c>
      <c r="I197">
        <v>8.43</v>
      </c>
      <c r="J197" s="5">
        <v>46060</v>
      </c>
      <c r="K197">
        <f t="shared" si="3"/>
        <v>24.52</v>
      </c>
      <c r="L197" t="str" cm="1">
        <f t="array" ref="L197">_xlfn.IFS(E197&gt;=52000000,"Platinum",E197&gt;=37000000,"Gold",E197&gt;=30000000,"Sliver",E197&lt;30000000,"Bronze")</f>
        <v>Platinum</v>
      </c>
    </row>
    <row r="198" spans="1:12" x14ac:dyDescent="0.25">
      <c r="A198">
        <v>197</v>
      </c>
      <c r="B198" t="s">
        <v>218</v>
      </c>
      <c r="C198" t="s">
        <v>27</v>
      </c>
      <c r="D198" t="s">
        <v>25</v>
      </c>
      <c r="E198" s="4">
        <v>73358531</v>
      </c>
      <c r="F198">
        <v>25.63</v>
      </c>
      <c r="G198">
        <v>32.46</v>
      </c>
      <c r="H198">
        <v>1947.76</v>
      </c>
      <c r="I198">
        <v>126.66</v>
      </c>
      <c r="J198" s="5">
        <v>46060</v>
      </c>
      <c r="K198">
        <f t="shared" si="3"/>
        <v>100.52</v>
      </c>
      <c r="L198" t="str" cm="1">
        <f t="array" ref="L198">_xlfn.IFS(E198&gt;=52000000,"Platinum",E198&gt;=37000000,"Gold",E198&gt;=30000000,"Sliver",E198&lt;30000000,"Bronze")</f>
        <v>Platinum</v>
      </c>
    </row>
    <row r="199" spans="1:12" x14ac:dyDescent="0.25">
      <c r="A199">
        <v>198</v>
      </c>
      <c r="B199" t="s">
        <v>219</v>
      </c>
      <c r="C199" t="s">
        <v>46</v>
      </c>
      <c r="D199" t="s">
        <v>13</v>
      </c>
      <c r="E199" s="4">
        <v>79327672</v>
      </c>
      <c r="F199">
        <v>48.98</v>
      </c>
      <c r="G199">
        <v>3.38</v>
      </c>
      <c r="H199">
        <v>203.04</v>
      </c>
      <c r="I199">
        <v>6.91</v>
      </c>
      <c r="J199" s="5">
        <v>46060</v>
      </c>
      <c r="K199">
        <f t="shared" si="3"/>
        <v>28.97</v>
      </c>
      <c r="L199" t="str" cm="1">
        <f t="array" ref="L199">_xlfn.IFS(E199&gt;=52000000,"Platinum",E199&gt;=37000000,"Gold",E199&gt;=30000000,"Sliver",E199&lt;30000000,"Bronze")</f>
        <v>Platinum</v>
      </c>
    </row>
    <row r="200" spans="1:12" x14ac:dyDescent="0.25">
      <c r="A200">
        <v>199</v>
      </c>
      <c r="B200" t="s">
        <v>220</v>
      </c>
      <c r="C200" t="s">
        <v>46</v>
      </c>
      <c r="D200" t="s">
        <v>22</v>
      </c>
      <c r="E200" s="4">
        <v>73990984</v>
      </c>
      <c r="F200">
        <v>52.26</v>
      </c>
      <c r="G200">
        <v>3.25</v>
      </c>
      <c r="H200">
        <v>194.92</v>
      </c>
      <c r="I200">
        <v>6.22</v>
      </c>
      <c r="J200" s="5">
        <v>46060</v>
      </c>
      <c r="K200">
        <f t="shared" si="3"/>
        <v>26.98</v>
      </c>
      <c r="L200" t="str" cm="1">
        <f t="array" ref="L200">_xlfn.IFS(E200&gt;=52000000,"Platinum",E200&gt;=37000000,"Gold",E200&gt;=30000000,"Sliver",E200&lt;30000000,"Bronze")</f>
        <v>Platinum</v>
      </c>
    </row>
    <row r="201" spans="1:12" x14ac:dyDescent="0.25">
      <c r="A201">
        <v>200</v>
      </c>
      <c r="B201" t="s">
        <v>221</v>
      </c>
      <c r="C201" t="s">
        <v>21</v>
      </c>
      <c r="D201" t="s">
        <v>25</v>
      </c>
      <c r="E201" s="4">
        <v>69907316</v>
      </c>
      <c r="F201">
        <v>45.86</v>
      </c>
      <c r="G201">
        <v>1.1299999999999999</v>
      </c>
      <c r="H201">
        <v>67.8</v>
      </c>
      <c r="I201">
        <v>2.46</v>
      </c>
      <c r="J201" s="5">
        <v>46060</v>
      </c>
      <c r="K201">
        <f t="shared" si="3"/>
        <v>28.3</v>
      </c>
      <c r="L201" t="str" cm="1">
        <f t="array" ref="L201">_xlfn.IFS(E201&gt;=52000000,"Platinum",E201&gt;=37000000,"Gold",E201&gt;=30000000,"Sliver",E201&lt;30000000,"Bronze")</f>
        <v>Platinum</v>
      </c>
    </row>
    <row r="202" spans="1:12" x14ac:dyDescent="0.25">
      <c r="A202">
        <v>201</v>
      </c>
      <c r="B202" t="s">
        <v>222</v>
      </c>
      <c r="C202" t="s">
        <v>19</v>
      </c>
      <c r="D202" t="s">
        <v>13</v>
      </c>
      <c r="E202" s="4">
        <v>74100273</v>
      </c>
      <c r="F202">
        <v>56.45</v>
      </c>
      <c r="G202">
        <v>8.4</v>
      </c>
      <c r="H202">
        <v>503.95</v>
      </c>
      <c r="I202">
        <v>14.88</v>
      </c>
      <c r="J202" s="5">
        <v>46060</v>
      </c>
      <c r="K202">
        <f t="shared" si="3"/>
        <v>29.22</v>
      </c>
      <c r="L202" t="str" cm="1">
        <f t="array" ref="L202">_xlfn.IFS(E202&gt;=52000000,"Platinum",E202&gt;=37000000,"Gold",E202&gt;=30000000,"Sliver",E202&lt;30000000,"Bronze")</f>
        <v>Platinum</v>
      </c>
    </row>
    <row r="203" spans="1:12" x14ac:dyDescent="0.25">
      <c r="A203">
        <v>202</v>
      </c>
      <c r="B203" t="s">
        <v>223</v>
      </c>
      <c r="C203" t="s">
        <v>19</v>
      </c>
      <c r="D203" t="s">
        <v>22</v>
      </c>
      <c r="E203" s="4">
        <v>77974384</v>
      </c>
      <c r="F203">
        <v>47.13</v>
      </c>
      <c r="G203">
        <v>7.15</v>
      </c>
      <c r="H203">
        <v>429.02</v>
      </c>
      <c r="I203">
        <v>15.17</v>
      </c>
      <c r="J203" s="5">
        <v>46060</v>
      </c>
      <c r="K203">
        <f t="shared" si="3"/>
        <v>34.020000000000003</v>
      </c>
      <c r="L203" t="str" cm="1">
        <f t="array" ref="L203">_xlfn.IFS(E203&gt;=52000000,"Platinum",E203&gt;=37000000,"Gold",E203&gt;=30000000,"Sliver",E203&lt;30000000,"Bronze")</f>
        <v>Platinum</v>
      </c>
    </row>
    <row r="204" spans="1:12" x14ac:dyDescent="0.25">
      <c r="A204">
        <v>203</v>
      </c>
      <c r="B204" t="s">
        <v>224</v>
      </c>
      <c r="C204" t="s">
        <v>29</v>
      </c>
      <c r="D204" t="s">
        <v>11</v>
      </c>
      <c r="E204" s="4">
        <v>75899825</v>
      </c>
      <c r="F204">
        <v>47.27</v>
      </c>
      <c r="G204">
        <v>2.04</v>
      </c>
      <c r="H204">
        <v>122.28</v>
      </c>
      <c r="I204">
        <v>4.3099999999999996</v>
      </c>
      <c r="J204" s="5">
        <v>46060</v>
      </c>
      <c r="K204">
        <f t="shared" si="3"/>
        <v>28.52</v>
      </c>
      <c r="L204" t="str" cm="1">
        <f t="array" ref="L204">_xlfn.IFS(E204&gt;=52000000,"Platinum",E204&gt;=37000000,"Gold",E204&gt;=30000000,"Sliver",E204&lt;30000000,"Bronze")</f>
        <v>Platinum</v>
      </c>
    </row>
    <row r="205" spans="1:12" x14ac:dyDescent="0.25">
      <c r="A205">
        <v>204</v>
      </c>
      <c r="B205" t="s">
        <v>225</v>
      </c>
      <c r="C205" t="s">
        <v>16</v>
      </c>
      <c r="D205" t="s">
        <v>17</v>
      </c>
      <c r="E205" s="4">
        <v>56139777</v>
      </c>
      <c r="F205">
        <v>37.159999999999997</v>
      </c>
      <c r="G205">
        <v>5.72</v>
      </c>
      <c r="H205" s="1">
        <f>CALCULATION!$D$11</f>
        <v>343.315</v>
      </c>
      <c r="I205">
        <v>17.899999999999999</v>
      </c>
      <c r="J205" s="5">
        <v>46060</v>
      </c>
      <c r="K205">
        <f t="shared" si="3"/>
        <v>40.369999999999997</v>
      </c>
      <c r="L205" t="str" cm="1">
        <f t="array" ref="L205">_xlfn.IFS(E205&gt;=52000000,"Platinum",E205&gt;=37000000,"Gold",E205&gt;=30000000,"Sliver",E205&lt;30000000,"Bronze")</f>
        <v>Platinum</v>
      </c>
    </row>
    <row r="206" spans="1:12" x14ac:dyDescent="0.25">
      <c r="A206">
        <v>205</v>
      </c>
      <c r="B206" t="s">
        <v>226</v>
      </c>
      <c r="C206" t="s">
        <v>19</v>
      </c>
      <c r="D206" t="s">
        <v>11</v>
      </c>
      <c r="E206" s="4">
        <v>69516463</v>
      </c>
      <c r="F206">
        <v>34.380000000000003</v>
      </c>
      <c r="G206">
        <v>3.56</v>
      </c>
      <c r="H206">
        <v>213.42</v>
      </c>
      <c r="I206">
        <v>10.35</v>
      </c>
      <c r="J206" s="5">
        <v>46060</v>
      </c>
      <c r="K206">
        <f t="shared" si="3"/>
        <v>37.99</v>
      </c>
      <c r="L206" t="str" cm="1">
        <f t="array" ref="L206">_xlfn.IFS(E206&gt;=52000000,"Platinum",E206&gt;=37000000,"Gold",E206&gt;=30000000,"Sliver",E206&lt;30000000,"Bronze")</f>
        <v>Platinum</v>
      </c>
    </row>
    <row r="207" spans="1:12" x14ac:dyDescent="0.25">
      <c r="A207">
        <v>206</v>
      </c>
      <c r="B207" t="s">
        <v>227</v>
      </c>
      <c r="C207" t="s">
        <v>19</v>
      </c>
      <c r="D207" t="s">
        <v>25</v>
      </c>
      <c r="E207" s="4">
        <v>57581820</v>
      </c>
      <c r="F207">
        <v>39.630000000000003</v>
      </c>
      <c r="G207">
        <v>6.56</v>
      </c>
      <c r="H207">
        <v>393.82</v>
      </c>
      <c r="I207">
        <v>16.559999999999999</v>
      </c>
      <c r="J207" s="5">
        <v>46060</v>
      </c>
      <c r="K207">
        <f t="shared" si="3"/>
        <v>38.47</v>
      </c>
      <c r="L207" t="str" cm="1">
        <f t="array" ref="L207">_xlfn.IFS(E207&gt;=52000000,"Platinum",E207&gt;=37000000,"Gold",E207&gt;=30000000,"Sliver",E207&lt;30000000,"Bronze")</f>
        <v>Platinum</v>
      </c>
    </row>
    <row r="208" spans="1:12" x14ac:dyDescent="0.25">
      <c r="A208">
        <v>207</v>
      </c>
      <c r="B208" t="s">
        <v>228</v>
      </c>
      <c r="C208" t="s">
        <v>46</v>
      </c>
      <c r="D208" t="s">
        <v>22</v>
      </c>
      <c r="E208" s="4">
        <v>80956836</v>
      </c>
      <c r="F208">
        <v>50.95</v>
      </c>
      <c r="G208">
        <v>5.72</v>
      </c>
      <c r="H208" s="1">
        <f>CALCULATION!$D$11</f>
        <v>343.315</v>
      </c>
      <c r="I208">
        <v>9.9</v>
      </c>
      <c r="J208" s="5">
        <v>46060</v>
      </c>
      <c r="K208">
        <f t="shared" si="3"/>
        <v>29.48</v>
      </c>
      <c r="L208" t="str" cm="1">
        <f t="array" ref="L208">_xlfn.IFS(E208&gt;=52000000,"Platinum",E208&gt;=37000000,"Gold",E208&gt;=30000000,"Sliver",E208&lt;30000000,"Bronze")</f>
        <v>Platinum</v>
      </c>
    </row>
    <row r="209" spans="1:12" x14ac:dyDescent="0.25">
      <c r="A209">
        <v>208</v>
      </c>
      <c r="B209" t="s">
        <v>229</v>
      </c>
      <c r="C209" t="s">
        <v>27</v>
      </c>
      <c r="D209" t="s">
        <v>25</v>
      </c>
      <c r="E209" s="4">
        <v>63389593</v>
      </c>
      <c r="F209">
        <v>17.29</v>
      </c>
      <c r="G209">
        <v>11.85</v>
      </c>
      <c r="H209">
        <v>711.04</v>
      </c>
      <c r="I209">
        <v>68.540000000000006</v>
      </c>
      <c r="J209" s="5">
        <v>46060</v>
      </c>
      <c r="K209">
        <f t="shared" si="3"/>
        <v>75.63</v>
      </c>
      <c r="L209" t="str" cm="1">
        <f t="array" ref="L209">_xlfn.IFS(E209&gt;=52000000,"Platinum",E209&gt;=37000000,"Gold",E209&gt;=30000000,"Sliver",E209&lt;30000000,"Bronze")</f>
        <v>Platinum</v>
      </c>
    </row>
    <row r="210" spans="1:12" x14ac:dyDescent="0.25">
      <c r="A210">
        <v>209</v>
      </c>
      <c r="B210" t="s">
        <v>230</v>
      </c>
      <c r="C210" t="s">
        <v>46</v>
      </c>
      <c r="D210" t="s">
        <v>22</v>
      </c>
      <c r="E210" s="4">
        <v>74587866</v>
      </c>
      <c r="F210">
        <v>58.82</v>
      </c>
      <c r="G210">
        <v>9.31</v>
      </c>
      <c r="H210">
        <v>558.36</v>
      </c>
      <c r="I210">
        <v>15.82</v>
      </c>
      <c r="J210" s="5">
        <v>46060</v>
      </c>
      <c r="K210">
        <f t="shared" si="3"/>
        <v>28.5</v>
      </c>
      <c r="L210" t="str" cm="1">
        <f t="array" ref="L210">_xlfn.IFS(E210&gt;=52000000,"Platinum",E210&gt;=37000000,"Gold",E210&gt;=30000000,"Sliver",E210&lt;30000000,"Bronze")</f>
        <v>Platinum</v>
      </c>
    </row>
    <row r="211" spans="1:12" x14ac:dyDescent="0.25">
      <c r="A211">
        <v>210</v>
      </c>
      <c r="B211" t="s">
        <v>231</v>
      </c>
      <c r="C211" t="s">
        <v>46</v>
      </c>
      <c r="D211" t="s">
        <v>25</v>
      </c>
      <c r="E211" s="4">
        <v>75124395</v>
      </c>
      <c r="F211">
        <v>57.16</v>
      </c>
      <c r="G211">
        <v>3.73</v>
      </c>
      <c r="H211">
        <v>223.74</v>
      </c>
      <c r="I211">
        <v>6.52</v>
      </c>
      <c r="J211" s="5">
        <v>46060</v>
      </c>
      <c r="K211">
        <f t="shared" si="3"/>
        <v>24.68</v>
      </c>
      <c r="L211" t="str" cm="1">
        <f t="array" ref="L211">_xlfn.IFS(E211&gt;=52000000,"Platinum",E211&gt;=37000000,"Gold",E211&gt;=30000000,"Sliver",E211&lt;30000000,"Bronze")</f>
        <v>Platinum</v>
      </c>
    </row>
    <row r="212" spans="1:12" x14ac:dyDescent="0.25">
      <c r="A212">
        <v>211</v>
      </c>
      <c r="B212" t="s">
        <v>232</v>
      </c>
      <c r="C212" t="s">
        <v>21</v>
      </c>
      <c r="D212" t="s">
        <v>22</v>
      </c>
      <c r="E212" s="4">
        <v>80579642</v>
      </c>
      <c r="F212">
        <v>45.23</v>
      </c>
      <c r="G212">
        <v>2.69</v>
      </c>
      <c r="H212">
        <v>161.24</v>
      </c>
      <c r="I212">
        <v>5.94</v>
      </c>
      <c r="J212" s="5">
        <v>46060</v>
      </c>
      <c r="K212">
        <f t="shared" si="3"/>
        <v>30.36</v>
      </c>
      <c r="L212" t="str" cm="1">
        <f t="array" ref="L212">_xlfn.IFS(E212&gt;=52000000,"Platinum",E212&gt;=37000000,"Gold",E212&gt;=30000000,"Sliver",E212&lt;30000000,"Bronze")</f>
        <v>Platinum</v>
      </c>
    </row>
    <row r="213" spans="1:12" x14ac:dyDescent="0.25">
      <c r="A213">
        <v>212</v>
      </c>
      <c r="B213" t="s">
        <v>233</v>
      </c>
      <c r="C213" t="s">
        <v>16</v>
      </c>
      <c r="D213" t="s">
        <v>32</v>
      </c>
      <c r="E213" s="4">
        <v>67216815</v>
      </c>
      <c r="F213">
        <v>57.28</v>
      </c>
      <c r="G213">
        <v>5.98</v>
      </c>
      <c r="H213">
        <v>359.09</v>
      </c>
      <c r="I213">
        <v>10.45</v>
      </c>
      <c r="J213" s="5">
        <v>46060</v>
      </c>
      <c r="K213">
        <f t="shared" si="3"/>
        <v>26.59</v>
      </c>
      <c r="L213" t="str" cm="1">
        <f t="array" ref="L213">_xlfn.IFS(E213&gt;=52000000,"Platinum",E213&gt;=37000000,"Gold",E213&gt;=30000000,"Sliver",E213&lt;30000000,"Bronze")</f>
        <v>Platinum</v>
      </c>
    </row>
    <row r="214" spans="1:12" x14ac:dyDescent="0.25">
      <c r="A214">
        <v>213</v>
      </c>
      <c r="B214" t="s">
        <v>234</v>
      </c>
      <c r="C214" t="s">
        <v>27</v>
      </c>
      <c r="D214" t="s">
        <v>17</v>
      </c>
      <c r="E214" s="4">
        <v>59557938</v>
      </c>
      <c r="F214">
        <v>25.08</v>
      </c>
      <c r="G214">
        <v>33.53</v>
      </c>
      <c r="H214">
        <v>2011.82</v>
      </c>
      <c r="I214">
        <v>133.69</v>
      </c>
      <c r="J214" s="5">
        <v>46060</v>
      </c>
      <c r="K214">
        <f t="shared" si="3"/>
        <v>104.31</v>
      </c>
      <c r="L214" t="str" cm="1">
        <f t="array" ref="L214">_xlfn.IFS(E214&gt;=52000000,"Platinum",E214&gt;=37000000,"Gold",E214&gt;=30000000,"Sliver",E214&lt;30000000,"Bronze")</f>
        <v>Platinum</v>
      </c>
    </row>
    <row r="215" spans="1:12" x14ac:dyDescent="0.25">
      <c r="A215">
        <v>214</v>
      </c>
      <c r="B215" t="s">
        <v>235</v>
      </c>
      <c r="C215" t="s">
        <v>16</v>
      </c>
      <c r="D215" t="s">
        <v>11</v>
      </c>
      <c r="E215" s="4">
        <v>78474920</v>
      </c>
      <c r="F215">
        <v>37.869999999999997</v>
      </c>
      <c r="G215">
        <v>6.94</v>
      </c>
      <c r="H215">
        <v>416.35</v>
      </c>
      <c r="I215">
        <v>18.32</v>
      </c>
      <c r="J215" s="5">
        <v>46060</v>
      </c>
      <c r="K215">
        <f t="shared" si="3"/>
        <v>40.229999999999997</v>
      </c>
      <c r="L215" t="str" cm="1">
        <f t="array" ref="L215">_xlfn.IFS(E215&gt;=52000000,"Platinum",E215&gt;=37000000,"Gold",E215&gt;=30000000,"Sliver",E215&lt;30000000,"Bronze")</f>
        <v>Platinum</v>
      </c>
    </row>
    <row r="216" spans="1:12" x14ac:dyDescent="0.25">
      <c r="A216">
        <v>215</v>
      </c>
      <c r="B216" t="s">
        <v>236</v>
      </c>
      <c r="C216" t="s">
        <v>10</v>
      </c>
      <c r="D216" t="s">
        <v>17</v>
      </c>
      <c r="E216" s="4">
        <v>73940067</v>
      </c>
      <c r="F216">
        <v>34.32</v>
      </c>
      <c r="G216">
        <v>9.25</v>
      </c>
      <c r="H216">
        <v>555.27</v>
      </c>
      <c r="I216">
        <v>26.97</v>
      </c>
      <c r="J216" s="5">
        <v>46060</v>
      </c>
      <c r="K216">
        <f t="shared" si="3"/>
        <v>46.33</v>
      </c>
      <c r="L216" t="str" cm="1">
        <f t="array" ref="L216">_xlfn.IFS(E216&gt;=52000000,"Platinum",E216&gt;=37000000,"Gold",E216&gt;=30000000,"Sliver",E216&lt;30000000,"Bronze")</f>
        <v>Platinum</v>
      </c>
    </row>
    <row r="217" spans="1:12" x14ac:dyDescent="0.25">
      <c r="A217">
        <v>216</v>
      </c>
      <c r="B217" t="s">
        <v>237</v>
      </c>
      <c r="C217" t="s">
        <v>29</v>
      </c>
      <c r="D217" t="s">
        <v>13</v>
      </c>
      <c r="E217" s="4">
        <v>77171597</v>
      </c>
      <c r="F217">
        <v>47.42</v>
      </c>
      <c r="G217">
        <v>7.52</v>
      </c>
      <c r="H217">
        <v>451.09</v>
      </c>
      <c r="I217">
        <v>15.85</v>
      </c>
      <c r="J217" s="5">
        <v>46060</v>
      </c>
      <c r="K217">
        <f t="shared" si="3"/>
        <v>34.22</v>
      </c>
      <c r="L217" t="str" cm="1">
        <f t="array" ref="L217">_xlfn.IFS(E217&gt;=52000000,"Platinum",E217&gt;=37000000,"Gold",E217&gt;=30000000,"Sliver",E217&lt;30000000,"Bronze")</f>
        <v>Platinum</v>
      </c>
    </row>
    <row r="218" spans="1:12" x14ac:dyDescent="0.25">
      <c r="A218">
        <v>217</v>
      </c>
      <c r="B218" t="s">
        <v>238</v>
      </c>
      <c r="C218" t="s">
        <v>46</v>
      </c>
      <c r="D218" t="s">
        <v>13</v>
      </c>
      <c r="E218" s="4">
        <v>68188112</v>
      </c>
      <c r="F218">
        <v>36.89</v>
      </c>
      <c r="G218">
        <v>3.43</v>
      </c>
      <c r="H218">
        <v>205.55</v>
      </c>
      <c r="I218">
        <v>9.2899999999999991</v>
      </c>
      <c r="J218" s="5">
        <v>46060</v>
      </c>
      <c r="K218">
        <f t="shared" si="3"/>
        <v>36.200000000000003</v>
      </c>
      <c r="L218" t="str" cm="1">
        <f t="array" ref="L218">_xlfn.IFS(E218&gt;=52000000,"Platinum",E218&gt;=37000000,"Gold",E218&gt;=30000000,"Sliver",E218&lt;30000000,"Bronze")</f>
        <v>Platinum</v>
      </c>
    </row>
    <row r="219" spans="1:12" x14ac:dyDescent="0.25">
      <c r="A219">
        <v>218</v>
      </c>
      <c r="B219" t="s">
        <v>239</v>
      </c>
      <c r="C219" t="s">
        <v>21</v>
      </c>
      <c r="D219" t="s">
        <v>22</v>
      </c>
      <c r="E219" s="4">
        <v>57724378</v>
      </c>
      <c r="F219">
        <v>37.18</v>
      </c>
      <c r="G219">
        <v>1.72</v>
      </c>
      <c r="H219">
        <v>102.97</v>
      </c>
      <c r="I219">
        <v>4.62</v>
      </c>
      <c r="J219" s="5">
        <v>46060</v>
      </c>
      <c r="K219">
        <f t="shared" si="3"/>
        <v>33.72</v>
      </c>
      <c r="L219" t="str" cm="1">
        <f t="array" ref="L219">_xlfn.IFS(E219&gt;=52000000,"Platinum",E219&gt;=37000000,"Gold",E219&gt;=30000000,"Sliver",E219&lt;30000000,"Bronze")</f>
        <v>Platinum</v>
      </c>
    </row>
    <row r="220" spans="1:12" x14ac:dyDescent="0.25">
      <c r="A220">
        <v>219</v>
      </c>
      <c r="B220" t="s">
        <v>240</v>
      </c>
      <c r="C220" t="s">
        <v>21</v>
      </c>
      <c r="D220" t="s">
        <v>25</v>
      </c>
      <c r="E220" s="4">
        <v>56532946</v>
      </c>
      <c r="F220">
        <v>47.1</v>
      </c>
      <c r="G220">
        <v>1.5</v>
      </c>
      <c r="H220">
        <v>89.85</v>
      </c>
      <c r="I220">
        <v>3.18</v>
      </c>
      <c r="J220" s="5">
        <v>46060</v>
      </c>
      <c r="K220">
        <f t="shared" si="3"/>
        <v>28.04</v>
      </c>
      <c r="L220" t="str" cm="1">
        <f t="array" ref="L220">_xlfn.IFS(E220&gt;=52000000,"Platinum",E220&gt;=37000000,"Gold",E220&gt;=30000000,"Sliver",E220&lt;30000000,"Bronze")</f>
        <v>Platinum</v>
      </c>
    </row>
    <row r="221" spans="1:12" x14ac:dyDescent="0.25">
      <c r="A221">
        <v>220</v>
      </c>
      <c r="B221" t="s">
        <v>241</v>
      </c>
      <c r="C221" t="s">
        <v>10</v>
      </c>
      <c r="D221" t="s">
        <v>13</v>
      </c>
      <c r="E221" s="4">
        <v>72600962</v>
      </c>
      <c r="F221">
        <v>57.92</v>
      </c>
      <c r="G221">
        <v>6.4</v>
      </c>
      <c r="H221">
        <v>384.08</v>
      </c>
      <c r="I221">
        <v>11.05</v>
      </c>
      <c r="J221" s="5">
        <v>46060</v>
      </c>
      <c r="K221">
        <f t="shared" si="3"/>
        <v>26.57</v>
      </c>
      <c r="L221" t="str" cm="1">
        <f t="array" ref="L221">_xlfn.IFS(E221&gt;=52000000,"Platinum",E221&gt;=37000000,"Gold",E221&gt;=30000000,"Sliver",E221&lt;30000000,"Bronze")</f>
        <v>Platinum</v>
      </c>
    </row>
    <row r="222" spans="1:12" x14ac:dyDescent="0.25">
      <c r="A222">
        <v>221</v>
      </c>
      <c r="B222" t="s">
        <v>242</v>
      </c>
      <c r="C222" t="s">
        <v>46</v>
      </c>
      <c r="D222" t="s">
        <v>17</v>
      </c>
      <c r="E222" s="4">
        <v>54023616</v>
      </c>
      <c r="F222" s="1">
        <f>CALCULATION!$C$11</f>
        <v>42.81</v>
      </c>
      <c r="G222" s="1">
        <v>3.5</v>
      </c>
      <c r="H222">
        <v>210.17</v>
      </c>
      <c r="I222">
        <v>7.12</v>
      </c>
      <c r="J222" s="5">
        <v>46060</v>
      </c>
      <c r="K222">
        <f t="shared" si="3"/>
        <v>32.159999999999997</v>
      </c>
      <c r="L222" t="str" cm="1">
        <f t="array" ref="L222">_xlfn.IFS(E222&gt;=52000000,"Platinum",E222&gt;=37000000,"Gold",E222&gt;=30000000,"Sliver",E222&lt;30000000,"Bronze")</f>
        <v>Platinum</v>
      </c>
    </row>
    <row r="223" spans="1:12" x14ac:dyDescent="0.25">
      <c r="A223">
        <v>222</v>
      </c>
      <c r="B223" t="s">
        <v>243</v>
      </c>
      <c r="C223" t="s">
        <v>46</v>
      </c>
      <c r="D223" t="s">
        <v>11</v>
      </c>
      <c r="E223" s="4">
        <v>74136162</v>
      </c>
      <c r="F223">
        <v>50.78</v>
      </c>
      <c r="G223">
        <v>5.44</v>
      </c>
      <c r="H223">
        <v>326.60000000000002</v>
      </c>
      <c r="I223">
        <v>10.72</v>
      </c>
      <c r="J223" s="5">
        <v>46060</v>
      </c>
      <c r="K223">
        <f t="shared" si="3"/>
        <v>29.97</v>
      </c>
      <c r="L223" t="str" cm="1">
        <f t="array" ref="L223">_xlfn.IFS(E223&gt;=52000000,"Platinum",E223&gt;=37000000,"Gold",E223&gt;=30000000,"Sliver",E223&lt;30000000,"Bronze")</f>
        <v>Platinum</v>
      </c>
    </row>
    <row r="224" spans="1:12" x14ac:dyDescent="0.25">
      <c r="A224">
        <v>223</v>
      </c>
      <c r="B224" t="s">
        <v>244</v>
      </c>
      <c r="C224" t="s">
        <v>21</v>
      </c>
      <c r="D224" t="s">
        <v>22</v>
      </c>
      <c r="E224" s="4">
        <v>72008435</v>
      </c>
      <c r="F224">
        <v>41.17</v>
      </c>
      <c r="G224">
        <v>1.95</v>
      </c>
      <c r="H224">
        <v>117.15</v>
      </c>
      <c r="I224">
        <v>4.74</v>
      </c>
      <c r="J224" s="5">
        <v>46060</v>
      </c>
      <c r="K224">
        <f t="shared" si="3"/>
        <v>31.79</v>
      </c>
      <c r="L224" t="str" cm="1">
        <f t="array" ref="L224">_xlfn.IFS(E224&gt;=52000000,"Platinum",E224&gt;=37000000,"Gold",E224&gt;=30000000,"Sliver",E224&lt;30000000,"Bronze")</f>
        <v>Platinum</v>
      </c>
    </row>
    <row r="225" spans="1:12" x14ac:dyDescent="0.25">
      <c r="A225">
        <v>224</v>
      </c>
      <c r="B225" t="s">
        <v>245</v>
      </c>
      <c r="C225" t="s">
        <v>19</v>
      </c>
      <c r="D225" t="s">
        <v>32</v>
      </c>
      <c r="E225" s="4">
        <v>70512608</v>
      </c>
      <c r="F225">
        <v>56.91</v>
      </c>
      <c r="G225">
        <v>9.09</v>
      </c>
      <c r="H225">
        <v>545.14</v>
      </c>
      <c r="I225">
        <v>15.96</v>
      </c>
      <c r="J225" s="5">
        <v>46060</v>
      </c>
      <c r="K225">
        <f t="shared" si="3"/>
        <v>29.53</v>
      </c>
      <c r="L225" t="str" cm="1">
        <f t="array" ref="L225">_xlfn.IFS(E225&gt;=52000000,"Platinum",E225&gt;=37000000,"Gold",E225&gt;=30000000,"Sliver",E225&lt;30000000,"Bronze")</f>
        <v>Platinum</v>
      </c>
    </row>
    <row r="226" spans="1:12" x14ac:dyDescent="0.25">
      <c r="A226">
        <v>225</v>
      </c>
      <c r="B226" t="s">
        <v>246</v>
      </c>
      <c r="C226" t="s">
        <v>19</v>
      </c>
      <c r="D226" t="s">
        <v>13</v>
      </c>
      <c r="E226" s="4">
        <v>74964823</v>
      </c>
      <c r="F226">
        <v>47.03</v>
      </c>
      <c r="G226">
        <v>3.9</v>
      </c>
      <c r="H226">
        <v>233.77</v>
      </c>
      <c r="I226">
        <v>8.2799999999999994</v>
      </c>
      <c r="J226" s="5">
        <v>46060</v>
      </c>
      <c r="K226">
        <f t="shared" si="3"/>
        <v>30.63</v>
      </c>
      <c r="L226" t="str" cm="1">
        <f t="array" ref="L226">_xlfn.IFS(E226&gt;=52000000,"Platinum",E226&gt;=37000000,"Gold",E226&gt;=30000000,"Sliver",E226&lt;30000000,"Bronze")</f>
        <v>Platinum</v>
      </c>
    </row>
    <row r="227" spans="1:12" x14ac:dyDescent="0.25">
      <c r="A227">
        <v>226</v>
      </c>
      <c r="B227" t="s">
        <v>247</v>
      </c>
      <c r="C227" t="s">
        <v>29</v>
      </c>
      <c r="D227" t="s">
        <v>32</v>
      </c>
      <c r="E227" s="4">
        <v>61601492</v>
      </c>
      <c r="F227">
        <v>54.59</v>
      </c>
      <c r="G227">
        <v>7.52</v>
      </c>
      <c r="H227">
        <v>451.03</v>
      </c>
      <c r="I227">
        <v>13.77</v>
      </c>
      <c r="J227" s="5">
        <v>46060</v>
      </c>
      <c r="K227">
        <f t="shared" si="3"/>
        <v>29.59</v>
      </c>
      <c r="L227" t="str" cm="1">
        <f t="array" ref="L227">_xlfn.IFS(E227&gt;=52000000,"Platinum",E227&gt;=37000000,"Gold",E227&gt;=30000000,"Sliver",E227&lt;30000000,"Bronze")</f>
        <v>Platinum</v>
      </c>
    </row>
    <row r="228" spans="1:12" x14ac:dyDescent="0.25">
      <c r="A228">
        <v>227</v>
      </c>
      <c r="B228" t="s">
        <v>248</v>
      </c>
      <c r="C228" t="s">
        <v>10</v>
      </c>
      <c r="D228" t="s">
        <v>32</v>
      </c>
      <c r="E228" s="4">
        <v>54812580</v>
      </c>
      <c r="F228">
        <v>44.89</v>
      </c>
      <c r="G228">
        <v>9.11</v>
      </c>
      <c r="H228">
        <v>546.47</v>
      </c>
      <c r="I228">
        <v>20.29</v>
      </c>
      <c r="J228" s="5">
        <v>46060</v>
      </c>
      <c r="K228">
        <f t="shared" si="3"/>
        <v>37.700000000000003</v>
      </c>
      <c r="L228" t="str" cm="1">
        <f t="array" ref="L228">_xlfn.IFS(E228&gt;=52000000,"Platinum",E228&gt;=37000000,"Gold",E228&gt;=30000000,"Sliver",E228&lt;30000000,"Bronze")</f>
        <v>Platinum</v>
      </c>
    </row>
    <row r="229" spans="1:12" x14ac:dyDescent="0.25">
      <c r="A229">
        <v>228</v>
      </c>
      <c r="B229" t="s">
        <v>249</v>
      </c>
      <c r="C229" t="s">
        <v>16</v>
      </c>
      <c r="D229" t="s">
        <v>25</v>
      </c>
      <c r="E229" s="4">
        <v>75626788</v>
      </c>
      <c r="F229">
        <v>39.64</v>
      </c>
      <c r="G229">
        <v>6.3</v>
      </c>
      <c r="H229">
        <v>377.89</v>
      </c>
      <c r="I229">
        <v>15.89</v>
      </c>
      <c r="J229" s="5">
        <v>46060</v>
      </c>
      <c r="K229">
        <f t="shared" si="3"/>
        <v>38.130000000000003</v>
      </c>
      <c r="L229" t="str" cm="1">
        <f t="array" ref="L229">_xlfn.IFS(E229&gt;=52000000,"Platinum",E229&gt;=37000000,"Gold",E229&gt;=30000000,"Sliver",E229&lt;30000000,"Bronze")</f>
        <v>Platinum</v>
      </c>
    </row>
    <row r="230" spans="1:12" x14ac:dyDescent="0.25">
      <c r="A230">
        <v>229</v>
      </c>
      <c r="B230" t="s">
        <v>250</v>
      </c>
      <c r="C230" t="s">
        <v>21</v>
      </c>
      <c r="D230" t="s">
        <v>25</v>
      </c>
      <c r="E230" s="4">
        <v>53693304</v>
      </c>
      <c r="F230">
        <v>35.6</v>
      </c>
      <c r="G230">
        <v>2.4300000000000002</v>
      </c>
      <c r="H230">
        <v>145.68</v>
      </c>
      <c r="I230">
        <v>6.82</v>
      </c>
      <c r="J230" s="5">
        <v>46060</v>
      </c>
      <c r="K230">
        <f t="shared" si="3"/>
        <v>35.61</v>
      </c>
      <c r="L230" t="str" cm="1">
        <f t="array" ref="L230">_xlfn.IFS(E230&gt;=52000000,"Platinum",E230&gt;=37000000,"Gold",E230&gt;=30000000,"Sliver",E230&lt;30000000,"Bronze")</f>
        <v>Platinum</v>
      </c>
    </row>
    <row r="231" spans="1:12" x14ac:dyDescent="0.25">
      <c r="A231">
        <v>230</v>
      </c>
      <c r="B231" t="s">
        <v>251</v>
      </c>
      <c r="C231" t="s">
        <v>27</v>
      </c>
      <c r="D231" t="s">
        <v>17</v>
      </c>
      <c r="E231" s="4">
        <v>62360824</v>
      </c>
      <c r="F231">
        <v>16.96</v>
      </c>
      <c r="G231">
        <v>13.55</v>
      </c>
      <c r="H231">
        <v>812.93</v>
      </c>
      <c r="I231">
        <v>79.89</v>
      </c>
      <c r="J231" s="5">
        <v>46060</v>
      </c>
      <c r="K231">
        <f t="shared" si="3"/>
        <v>81.47</v>
      </c>
      <c r="L231" t="str" cm="1">
        <f t="array" ref="L231">_xlfn.IFS(E231&gt;=52000000,"Platinum",E231&gt;=37000000,"Gold",E231&gt;=30000000,"Sliver",E231&lt;30000000,"Bronze")</f>
        <v>Platinum</v>
      </c>
    </row>
    <row r="232" spans="1:12" x14ac:dyDescent="0.25">
      <c r="A232">
        <v>231</v>
      </c>
      <c r="B232" t="s">
        <v>252</v>
      </c>
      <c r="C232" t="s">
        <v>46</v>
      </c>
      <c r="D232" t="s">
        <v>32</v>
      </c>
      <c r="E232" s="4">
        <v>78084065</v>
      </c>
      <c r="F232">
        <v>45.47</v>
      </c>
      <c r="G232">
        <v>8.43</v>
      </c>
      <c r="H232">
        <v>505.73</v>
      </c>
      <c r="I232">
        <v>18.54</v>
      </c>
      <c r="J232" s="5">
        <v>46060</v>
      </c>
      <c r="K232">
        <f t="shared" si="3"/>
        <v>36.54</v>
      </c>
      <c r="L232" t="str" cm="1">
        <f t="array" ref="L232">_xlfn.IFS(E232&gt;=52000000,"Platinum",E232&gt;=37000000,"Gold",E232&gt;=30000000,"Sliver",E232&lt;30000000,"Bronze")</f>
        <v>Platinum</v>
      </c>
    </row>
    <row r="233" spans="1:12" x14ac:dyDescent="0.25">
      <c r="A233">
        <v>232</v>
      </c>
      <c r="B233" t="s">
        <v>253</v>
      </c>
      <c r="C233" t="s">
        <v>21</v>
      </c>
      <c r="D233" t="s">
        <v>17</v>
      </c>
      <c r="E233" s="4">
        <v>74366832</v>
      </c>
      <c r="F233">
        <v>40.21</v>
      </c>
      <c r="G233">
        <v>2.93</v>
      </c>
      <c r="H233">
        <v>176.08</v>
      </c>
      <c r="I233">
        <v>7.3</v>
      </c>
      <c r="J233" s="5">
        <v>46060</v>
      </c>
      <c r="K233">
        <f t="shared" si="3"/>
        <v>33.549999999999997</v>
      </c>
      <c r="L233" t="str" cm="1">
        <f t="array" ref="L233">_xlfn.IFS(E233&gt;=52000000,"Platinum",E233&gt;=37000000,"Gold",E233&gt;=30000000,"Sliver",E233&lt;30000000,"Bronze")</f>
        <v>Platinum</v>
      </c>
    </row>
    <row r="234" spans="1:12" x14ac:dyDescent="0.25">
      <c r="A234">
        <v>233</v>
      </c>
      <c r="B234" t="s">
        <v>254</v>
      </c>
      <c r="C234" t="s">
        <v>19</v>
      </c>
      <c r="D234" t="s">
        <v>32</v>
      </c>
      <c r="E234" s="4">
        <v>58893584</v>
      </c>
      <c r="F234">
        <v>42.74</v>
      </c>
      <c r="G234">
        <v>7.21</v>
      </c>
      <c r="H234">
        <v>432.5</v>
      </c>
      <c r="I234">
        <v>16.87</v>
      </c>
      <c r="J234" s="5">
        <v>46060</v>
      </c>
      <c r="K234">
        <f t="shared" si="3"/>
        <v>37.07</v>
      </c>
      <c r="L234" t="str" cm="1">
        <f t="array" ref="L234">_xlfn.IFS(E234&gt;=52000000,"Platinum",E234&gt;=37000000,"Gold",E234&gt;=30000000,"Sliver",E234&lt;30000000,"Bronze")</f>
        <v>Platinum</v>
      </c>
    </row>
    <row r="235" spans="1:12" x14ac:dyDescent="0.25">
      <c r="A235">
        <v>234</v>
      </c>
      <c r="B235" t="s">
        <v>255</v>
      </c>
      <c r="C235" t="s">
        <v>21</v>
      </c>
      <c r="D235" t="s">
        <v>17</v>
      </c>
      <c r="E235" s="4">
        <v>57026967</v>
      </c>
      <c r="F235">
        <v>41.79</v>
      </c>
      <c r="G235">
        <v>1.87</v>
      </c>
      <c r="H235">
        <v>111.93</v>
      </c>
      <c r="I235">
        <v>4.46</v>
      </c>
      <c r="J235" s="5">
        <v>46060</v>
      </c>
      <c r="K235">
        <f t="shared" si="3"/>
        <v>31.34</v>
      </c>
      <c r="L235" t="str" cm="1">
        <f t="array" ref="L235">_xlfn.IFS(E235&gt;=52000000,"Platinum",E235&gt;=37000000,"Gold",E235&gt;=30000000,"Sliver",E235&lt;30000000,"Bronze")</f>
        <v>Platinum</v>
      </c>
    </row>
    <row r="236" spans="1:12" x14ac:dyDescent="0.25">
      <c r="A236">
        <v>235</v>
      </c>
      <c r="B236" t="s">
        <v>256</v>
      </c>
      <c r="C236" t="s">
        <v>19</v>
      </c>
      <c r="D236" t="s">
        <v>17</v>
      </c>
      <c r="E236" s="4">
        <v>66748842</v>
      </c>
      <c r="F236">
        <v>50.82</v>
      </c>
      <c r="G236">
        <v>4.63</v>
      </c>
      <c r="H236">
        <v>277.63</v>
      </c>
      <c r="I236">
        <v>9.11</v>
      </c>
      <c r="J236" s="5">
        <v>46060</v>
      </c>
      <c r="K236">
        <f t="shared" si="3"/>
        <v>29.15</v>
      </c>
      <c r="L236" t="str" cm="1">
        <f t="array" ref="L236">_xlfn.IFS(E236&gt;=52000000,"Platinum",E236&gt;=37000000,"Gold",E236&gt;=30000000,"Sliver",E236&lt;30000000,"Bronze")</f>
        <v>Platinum</v>
      </c>
    </row>
    <row r="237" spans="1:12" x14ac:dyDescent="0.25">
      <c r="A237">
        <v>236</v>
      </c>
      <c r="B237" t="s">
        <v>257</v>
      </c>
      <c r="C237" t="s">
        <v>19</v>
      </c>
      <c r="D237" t="s">
        <v>13</v>
      </c>
      <c r="E237" s="4">
        <v>75044454</v>
      </c>
      <c r="F237">
        <v>40.72</v>
      </c>
      <c r="G237">
        <v>8.3000000000000007</v>
      </c>
      <c r="H237">
        <v>498.09</v>
      </c>
      <c r="I237">
        <v>20.39</v>
      </c>
      <c r="J237" s="5">
        <v>46060</v>
      </c>
      <c r="K237">
        <f t="shared" si="3"/>
        <v>39.840000000000003</v>
      </c>
      <c r="L237" t="str" cm="1">
        <f t="array" ref="L237">_xlfn.IFS(E237&gt;=52000000,"Platinum",E237&gt;=37000000,"Gold",E237&gt;=30000000,"Sliver",E237&lt;30000000,"Bronze")</f>
        <v>Platinum</v>
      </c>
    </row>
    <row r="238" spans="1:12" x14ac:dyDescent="0.25">
      <c r="A238">
        <v>237</v>
      </c>
      <c r="B238" t="s">
        <v>258</v>
      </c>
      <c r="C238" t="s">
        <v>29</v>
      </c>
      <c r="D238" t="s">
        <v>25</v>
      </c>
      <c r="E238" s="4">
        <v>66402837</v>
      </c>
      <c r="F238">
        <v>43.33</v>
      </c>
      <c r="G238">
        <v>7.26</v>
      </c>
      <c r="H238">
        <v>435.52</v>
      </c>
      <c r="I238">
        <v>16.75</v>
      </c>
      <c r="J238" s="5">
        <v>46060</v>
      </c>
      <c r="K238">
        <f t="shared" si="3"/>
        <v>36.71</v>
      </c>
      <c r="L238" t="str" cm="1">
        <f t="array" ref="L238">_xlfn.IFS(E238&gt;=52000000,"Platinum",E238&gt;=37000000,"Gold",E238&gt;=30000000,"Sliver",E238&lt;30000000,"Bronze")</f>
        <v>Platinum</v>
      </c>
    </row>
    <row r="239" spans="1:12" x14ac:dyDescent="0.25">
      <c r="A239">
        <v>238</v>
      </c>
      <c r="B239" t="s">
        <v>259</v>
      </c>
      <c r="C239" t="s">
        <v>29</v>
      </c>
      <c r="D239" t="s">
        <v>25</v>
      </c>
      <c r="E239" s="4">
        <v>63760566</v>
      </c>
      <c r="F239">
        <v>46.36</v>
      </c>
      <c r="G239">
        <v>3.8</v>
      </c>
      <c r="H239">
        <v>227.74</v>
      </c>
      <c r="I239">
        <v>8.19</v>
      </c>
      <c r="J239" s="5">
        <v>46060</v>
      </c>
      <c r="K239">
        <f t="shared" si="3"/>
        <v>30.92</v>
      </c>
      <c r="L239" t="str" cm="1">
        <f t="array" ref="L239">_xlfn.IFS(E239&gt;=52000000,"Platinum",E239&gt;=37000000,"Gold",E239&gt;=30000000,"Sliver",E239&lt;30000000,"Bronze")</f>
        <v>Platinum</v>
      </c>
    </row>
    <row r="240" spans="1:12" x14ac:dyDescent="0.25">
      <c r="A240">
        <v>239</v>
      </c>
      <c r="B240" t="s">
        <v>260</v>
      </c>
      <c r="C240" t="s">
        <v>27</v>
      </c>
      <c r="D240" t="s">
        <v>22</v>
      </c>
      <c r="E240" s="4">
        <v>71432193</v>
      </c>
      <c r="F240">
        <v>21.14</v>
      </c>
      <c r="G240">
        <v>18.46</v>
      </c>
      <c r="H240">
        <v>1107.72</v>
      </c>
      <c r="I240">
        <v>87.33</v>
      </c>
      <c r="J240" s="5">
        <v>46060</v>
      </c>
      <c r="K240">
        <f t="shared" si="3"/>
        <v>83.1</v>
      </c>
      <c r="L240" t="str" cm="1">
        <f t="array" ref="L240">_xlfn.IFS(E240&gt;=52000000,"Platinum",E240&gt;=37000000,"Gold",E240&gt;=30000000,"Sliver",E240&lt;30000000,"Bronze")</f>
        <v>Platinum</v>
      </c>
    </row>
    <row r="241" spans="1:12" x14ac:dyDescent="0.25">
      <c r="A241">
        <v>240</v>
      </c>
      <c r="B241" t="s">
        <v>261</v>
      </c>
      <c r="C241" t="s">
        <v>19</v>
      </c>
      <c r="D241" t="s">
        <v>17</v>
      </c>
      <c r="E241" s="4">
        <v>76371842</v>
      </c>
      <c r="F241">
        <v>44.87</v>
      </c>
      <c r="G241">
        <v>5.31</v>
      </c>
      <c r="H241">
        <v>318.39999999999998</v>
      </c>
      <c r="I241">
        <v>11.83</v>
      </c>
      <c r="J241" s="5">
        <v>46060</v>
      </c>
      <c r="K241">
        <f t="shared" si="3"/>
        <v>33.479999999999997</v>
      </c>
      <c r="L241" t="str" cm="1">
        <f t="array" ref="L241">_xlfn.IFS(E241&gt;=52000000,"Platinum",E241&gt;=37000000,"Gold",E241&gt;=30000000,"Sliver",E241&lt;30000000,"Bronze")</f>
        <v>Platinum</v>
      </c>
    </row>
    <row r="242" spans="1:12" x14ac:dyDescent="0.25">
      <c r="A242">
        <v>241</v>
      </c>
      <c r="B242" t="s">
        <v>262</v>
      </c>
      <c r="C242" s="1" t="s">
        <v>21</v>
      </c>
      <c r="D242" t="s">
        <v>11</v>
      </c>
      <c r="E242" s="4">
        <v>70236426</v>
      </c>
      <c r="F242">
        <v>41.43</v>
      </c>
      <c r="G242">
        <v>1.95</v>
      </c>
      <c r="H242">
        <v>117.06</v>
      </c>
      <c r="I242">
        <v>4.71</v>
      </c>
      <c r="J242" s="5">
        <v>46060</v>
      </c>
      <c r="K242">
        <f t="shared" si="3"/>
        <v>31.64</v>
      </c>
      <c r="L242" t="str" cm="1">
        <f t="array" ref="L242">_xlfn.IFS(E242&gt;=52000000,"Platinum",E242&gt;=37000000,"Gold",E242&gt;=30000000,"Sliver",E242&lt;30000000,"Bronze")</f>
        <v>Platinum</v>
      </c>
    </row>
    <row r="243" spans="1:12" x14ac:dyDescent="0.25">
      <c r="A243">
        <v>242</v>
      </c>
      <c r="B243" t="s">
        <v>263</v>
      </c>
      <c r="C243" t="s">
        <v>21</v>
      </c>
      <c r="D243" t="s">
        <v>32</v>
      </c>
      <c r="E243" s="4">
        <v>52210921</v>
      </c>
      <c r="F243">
        <v>36.46</v>
      </c>
      <c r="G243">
        <v>1.95</v>
      </c>
      <c r="H243">
        <v>117.26</v>
      </c>
      <c r="I243">
        <v>5.36</v>
      </c>
      <c r="J243" s="5">
        <v>46060</v>
      </c>
      <c r="K243">
        <f t="shared" si="3"/>
        <v>34.450000000000003</v>
      </c>
      <c r="L243" t="str" cm="1">
        <f t="array" ref="L243">_xlfn.IFS(E243&gt;=52000000,"Platinum",E243&gt;=37000000,"Gold",E243&gt;=30000000,"Sliver",E243&lt;30000000,"Bronze")</f>
        <v>Platinum</v>
      </c>
    </row>
    <row r="244" spans="1:12" x14ac:dyDescent="0.25">
      <c r="A244">
        <v>243</v>
      </c>
      <c r="B244" t="s">
        <v>264</v>
      </c>
      <c r="C244" s="1" t="s">
        <v>21</v>
      </c>
      <c r="D244" t="s">
        <v>11</v>
      </c>
      <c r="E244" s="4">
        <v>61235821</v>
      </c>
      <c r="F244">
        <v>38.979999999999997</v>
      </c>
      <c r="G244">
        <v>4</v>
      </c>
      <c r="H244">
        <v>239.82</v>
      </c>
      <c r="I244">
        <v>10.25</v>
      </c>
      <c r="J244" s="5">
        <v>46060</v>
      </c>
      <c r="K244">
        <f t="shared" si="3"/>
        <v>35.64</v>
      </c>
      <c r="L244" t="str" cm="1">
        <f t="array" ref="L244">_xlfn.IFS(E244&gt;=52000000,"Platinum",E244&gt;=37000000,"Gold",E244&gt;=30000000,"Sliver",E244&lt;30000000,"Bronze")</f>
        <v>Platinum</v>
      </c>
    </row>
    <row r="245" spans="1:12" x14ac:dyDescent="0.25">
      <c r="A245">
        <v>244</v>
      </c>
      <c r="B245" t="s">
        <v>265</v>
      </c>
      <c r="C245" t="s">
        <v>21</v>
      </c>
      <c r="D245" t="s">
        <v>25</v>
      </c>
      <c r="E245" s="4">
        <v>51316911</v>
      </c>
      <c r="F245">
        <v>45.74</v>
      </c>
      <c r="G245">
        <v>1.26</v>
      </c>
      <c r="H245">
        <v>75.569999999999993</v>
      </c>
      <c r="I245">
        <v>2.75</v>
      </c>
      <c r="J245" s="5">
        <v>46060</v>
      </c>
      <c r="K245">
        <f t="shared" si="3"/>
        <v>28.51</v>
      </c>
      <c r="L245" t="str" cm="1">
        <f t="array" ref="L245">_xlfn.IFS(E245&gt;=52000000,"Platinum",E245&gt;=37000000,"Gold",E245&gt;=30000000,"Sliver",E245&lt;30000000,"Bronze")</f>
        <v>Gold</v>
      </c>
    </row>
    <row r="246" spans="1:12" x14ac:dyDescent="0.25">
      <c r="A246">
        <v>245</v>
      </c>
      <c r="B246" t="s">
        <v>266</v>
      </c>
      <c r="C246" t="s">
        <v>16</v>
      </c>
      <c r="D246" t="s">
        <v>11</v>
      </c>
      <c r="E246" s="4">
        <v>67590353</v>
      </c>
      <c r="F246">
        <v>43.06</v>
      </c>
      <c r="G246">
        <v>4.26</v>
      </c>
      <c r="H246">
        <v>255.65</v>
      </c>
      <c r="I246">
        <v>9.9</v>
      </c>
      <c r="J246" s="5">
        <v>46060</v>
      </c>
      <c r="K246">
        <f t="shared" si="3"/>
        <v>33.42</v>
      </c>
      <c r="L246" t="str" cm="1">
        <f t="array" ref="L246">_xlfn.IFS(E246&gt;=52000000,"Platinum",E246&gt;=37000000,"Gold",E246&gt;=30000000,"Sliver",E246&lt;30000000,"Bronze")</f>
        <v>Platinum</v>
      </c>
    </row>
    <row r="247" spans="1:12" x14ac:dyDescent="0.25">
      <c r="A247">
        <v>246</v>
      </c>
      <c r="B247" t="s">
        <v>267</v>
      </c>
      <c r="C247" t="s">
        <v>46</v>
      </c>
      <c r="D247" t="s">
        <v>17</v>
      </c>
      <c r="E247" s="4">
        <v>54460729</v>
      </c>
      <c r="F247">
        <v>39.159999999999997</v>
      </c>
      <c r="G247">
        <v>7.58</v>
      </c>
      <c r="H247">
        <v>454.76</v>
      </c>
      <c r="I247">
        <v>19.350000000000001</v>
      </c>
      <c r="J247" s="5">
        <v>46060</v>
      </c>
      <c r="K247">
        <f t="shared" si="3"/>
        <v>40.1</v>
      </c>
      <c r="L247" t="str" cm="1">
        <f t="array" ref="L247">_xlfn.IFS(E247&gt;=52000000,"Platinum",E247&gt;=37000000,"Gold",E247&gt;=30000000,"Sliver",E247&lt;30000000,"Bronze")</f>
        <v>Platinum</v>
      </c>
    </row>
    <row r="248" spans="1:12" x14ac:dyDescent="0.25">
      <c r="A248">
        <v>247</v>
      </c>
      <c r="B248" t="s">
        <v>268</v>
      </c>
      <c r="C248" t="s">
        <v>19</v>
      </c>
      <c r="D248" t="s">
        <v>22</v>
      </c>
      <c r="E248" s="4">
        <v>61612014</v>
      </c>
      <c r="F248">
        <v>58.92</v>
      </c>
      <c r="G248">
        <v>7.55</v>
      </c>
      <c r="H248">
        <v>452.94</v>
      </c>
      <c r="I248">
        <v>12.81</v>
      </c>
      <c r="J248" s="5">
        <v>46060</v>
      </c>
      <c r="K248">
        <f t="shared" si="3"/>
        <v>26.95</v>
      </c>
      <c r="L248" t="str" cm="1">
        <f t="array" ref="L248">_xlfn.IFS(E248&gt;=52000000,"Platinum",E248&gt;=37000000,"Gold",E248&gt;=30000000,"Sliver",E248&lt;30000000,"Bronze")</f>
        <v>Platinum</v>
      </c>
    </row>
    <row r="249" spans="1:12" x14ac:dyDescent="0.25">
      <c r="A249">
        <v>248</v>
      </c>
      <c r="B249" t="s">
        <v>269</v>
      </c>
      <c r="C249" t="s">
        <v>16</v>
      </c>
      <c r="D249" t="s">
        <v>25</v>
      </c>
      <c r="E249" s="4">
        <v>56949652</v>
      </c>
      <c r="F249">
        <v>33.39</v>
      </c>
      <c r="G249">
        <v>6.08</v>
      </c>
      <c r="H249">
        <v>364.97</v>
      </c>
      <c r="I249">
        <v>18.22</v>
      </c>
      <c r="J249" s="5">
        <v>46060</v>
      </c>
      <c r="K249">
        <f t="shared" si="3"/>
        <v>42.42</v>
      </c>
      <c r="L249" t="str" cm="1">
        <f t="array" ref="L249">_xlfn.IFS(E249&gt;=52000000,"Platinum",E249&gt;=37000000,"Gold",E249&gt;=30000000,"Sliver",E249&lt;30000000,"Bronze")</f>
        <v>Platinum</v>
      </c>
    </row>
    <row r="250" spans="1:12" x14ac:dyDescent="0.25">
      <c r="A250">
        <v>249</v>
      </c>
      <c r="B250" t="s">
        <v>270</v>
      </c>
      <c r="C250" t="s">
        <v>19</v>
      </c>
      <c r="D250" t="s">
        <v>22</v>
      </c>
      <c r="E250" s="4">
        <v>72161677</v>
      </c>
      <c r="F250">
        <v>57.07</v>
      </c>
      <c r="G250">
        <v>5.72</v>
      </c>
      <c r="H250" s="1">
        <f>CALCULATION!$D$11</f>
        <v>343.315</v>
      </c>
      <c r="I250">
        <v>14.72</v>
      </c>
      <c r="J250" s="5">
        <v>46060</v>
      </c>
      <c r="K250">
        <f t="shared" si="3"/>
        <v>28.83</v>
      </c>
      <c r="L250" t="str" cm="1">
        <f t="array" ref="L250">_xlfn.IFS(E250&gt;=52000000,"Platinum",E250&gt;=37000000,"Gold",E250&gt;=30000000,"Sliver",E250&lt;30000000,"Bronze")</f>
        <v>Platinum</v>
      </c>
    </row>
    <row r="251" spans="1:12" x14ac:dyDescent="0.25">
      <c r="A251">
        <v>250</v>
      </c>
      <c r="B251" t="s">
        <v>271</v>
      </c>
      <c r="C251" t="s">
        <v>10</v>
      </c>
      <c r="D251" t="s">
        <v>22</v>
      </c>
      <c r="E251" s="4">
        <v>62850267</v>
      </c>
      <c r="F251">
        <v>55.12</v>
      </c>
      <c r="G251">
        <v>2.16</v>
      </c>
      <c r="H251">
        <v>129.63999999999999</v>
      </c>
      <c r="I251">
        <v>3.92</v>
      </c>
      <c r="J251" s="5">
        <v>46060</v>
      </c>
      <c r="K251">
        <f t="shared" si="3"/>
        <v>24.4</v>
      </c>
      <c r="L251" t="str" cm="1">
        <f t="array" ref="L251">_xlfn.IFS(E251&gt;=52000000,"Platinum",E251&gt;=37000000,"Gold",E251&gt;=30000000,"Sliver",E251&lt;30000000,"Bronze")</f>
        <v>Platinum</v>
      </c>
    </row>
    <row r="252" spans="1:12" x14ac:dyDescent="0.25">
      <c r="A252">
        <v>251</v>
      </c>
      <c r="B252" t="s">
        <v>272</v>
      </c>
      <c r="C252" s="1" t="s">
        <v>21</v>
      </c>
      <c r="D252" t="s">
        <v>32</v>
      </c>
      <c r="E252" s="4">
        <v>65535744</v>
      </c>
      <c r="F252">
        <v>51.45</v>
      </c>
      <c r="G252">
        <v>4.22</v>
      </c>
      <c r="H252">
        <v>253.27</v>
      </c>
      <c r="I252">
        <v>8.1999999999999993</v>
      </c>
      <c r="J252" s="5">
        <v>46060</v>
      </c>
      <c r="K252">
        <f t="shared" si="3"/>
        <v>28.38</v>
      </c>
      <c r="L252" t="str" cm="1">
        <f t="array" ref="L252">_xlfn.IFS(E252&gt;=52000000,"Platinum",E252&gt;=37000000,"Gold",E252&gt;=30000000,"Sliver",E252&lt;30000000,"Bronze")</f>
        <v>Platinum</v>
      </c>
    </row>
    <row r="253" spans="1:12" x14ac:dyDescent="0.25">
      <c r="A253">
        <v>252</v>
      </c>
      <c r="B253" t="s">
        <v>273</v>
      </c>
      <c r="C253" t="s">
        <v>19</v>
      </c>
      <c r="D253" t="s">
        <v>13</v>
      </c>
      <c r="E253" s="4">
        <v>50730322</v>
      </c>
      <c r="F253">
        <v>55.85</v>
      </c>
      <c r="G253">
        <v>5.72</v>
      </c>
      <c r="H253" s="1">
        <f>CALCULATION!$D$11</f>
        <v>343.315</v>
      </c>
      <c r="I253">
        <v>10.44</v>
      </c>
      <c r="J253" s="5">
        <v>46060</v>
      </c>
      <c r="K253">
        <f t="shared" si="3"/>
        <v>27.3</v>
      </c>
      <c r="L253" t="str" cm="1">
        <f t="array" ref="L253">_xlfn.IFS(E253&gt;=52000000,"Platinum",E253&gt;=37000000,"Gold",E253&gt;=30000000,"Sliver",E253&lt;30000000,"Bronze")</f>
        <v>Gold</v>
      </c>
    </row>
    <row r="254" spans="1:12" x14ac:dyDescent="0.25">
      <c r="A254">
        <v>253</v>
      </c>
      <c r="B254" t="s">
        <v>274</v>
      </c>
      <c r="C254" t="s">
        <v>29</v>
      </c>
      <c r="D254" t="s">
        <v>17</v>
      </c>
      <c r="E254" s="4">
        <v>54739877</v>
      </c>
      <c r="F254">
        <v>32.85</v>
      </c>
      <c r="G254">
        <v>8.74</v>
      </c>
      <c r="H254">
        <v>524.16</v>
      </c>
      <c r="I254">
        <v>26.59</v>
      </c>
      <c r="J254" s="5">
        <v>46060</v>
      </c>
      <c r="K254">
        <f t="shared" si="3"/>
        <v>46.87</v>
      </c>
      <c r="L254" t="str" cm="1">
        <f t="array" ref="L254">_xlfn.IFS(E254&gt;=52000000,"Platinum",E254&gt;=37000000,"Gold",E254&gt;=30000000,"Sliver",E254&lt;30000000,"Bronze")</f>
        <v>Platinum</v>
      </c>
    </row>
    <row r="255" spans="1:12" x14ac:dyDescent="0.25">
      <c r="A255">
        <v>254</v>
      </c>
      <c r="B255" t="s">
        <v>275</v>
      </c>
      <c r="C255" t="s">
        <v>19</v>
      </c>
      <c r="D255" t="s">
        <v>25</v>
      </c>
      <c r="E255" s="4">
        <v>62176821</v>
      </c>
      <c r="F255">
        <v>48.45</v>
      </c>
      <c r="G255">
        <v>3.94</v>
      </c>
      <c r="H255">
        <v>236.29</v>
      </c>
      <c r="I255">
        <v>8.1300000000000008</v>
      </c>
      <c r="J255" s="5">
        <v>46060</v>
      </c>
      <c r="K255">
        <f t="shared" si="3"/>
        <v>29.84</v>
      </c>
      <c r="L255" t="str" cm="1">
        <f t="array" ref="L255">_xlfn.IFS(E255&gt;=52000000,"Platinum",E255&gt;=37000000,"Gold",E255&gt;=30000000,"Sliver",E255&lt;30000000,"Bronze")</f>
        <v>Platinum</v>
      </c>
    </row>
    <row r="256" spans="1:12" x14ac:dyDescent="0.25">
      <c r="A256">
        <v>255</v>
      </c>
      <c r="B256" t="s">
        <v>276</v>
      </c>
      <c r="C256" t="s">
        <v>46</v>
      </c>
      <c r="D256" s="1" t="s">
        <v>32</v>
      </c>
      <c r="E256" s="4">
        <v>64515754</v>
      </c>
      <c r="F256">
        <v>49.86</v>
      </c>
      <c r="G256">
        <v>8.76</v>
      </c>
      <c r="H256">
        <v>525.4</v>
      </c>
      <c r="I256">
        <v>17.559999999999999</v>
      </c>
      <c r="J256" s="5">
        <v>46060</v>
      </c>
      <c r="K256">
        <f t="shared" si="3"/>
        <v>33.85</v>
      </c>
      <c r="L256" t="str" cm="1">
        <f t="array" ref="L256">_xlfn.IFS(E256&gt;=52000000,"Platinum",E256&gt;=37000000,"Gold",E256&gt;=30000000,"Sliver",E256&lt;30000000,"Bronze")</f>
        <v>Platinum</v>
      </c>
    </row>
    <row r="257" spans="1:12" x14ac:dyDescent="0.25">
      <c r="A257">
        <v>256</v>
      </c>
      <c r="B257" t="s">
        <v>277</v>
      </c>
      <c r="C257" t="s">
        <v>21</v>
      </c>
      <c r="D257" t="s">
        <v>22</v>
      </c>
      <c r="E257" s="4">
        <v>71204862</v>
      </c>
      <c r="F257">
        <v>43.65</v>
      </c>
      <c r="G257">
        <v>2.4500000000000002</v>
      </c>
      <c r="H257">
        <v>147.11000000000001</v>
      </c>
      <c r="I257">
        <v>5.62</v>
      </c>
      <c r="J257" s="5">
        <v>46060</v>
      </c>
      <c r="K257">
        <f t="shared" si="3"/>
        <v>30.99</v>
      </c>
      <c r="L257" t="str" cm="1">
        <f t="array" ref="L257">_xlfn.IFS(E257&gt;=52000000,"Platinum",E257&gt;=37000000,"Gold",E257&gt;=30000000,"Sliver",E257&lt;30000000,"Bronze")</f>
        <v>Platinum</v>
      </c>
    </row>
    <row r="258" spans="1:12" x14ac:dyDescent="0.25">
      <c r="A258">
        <v>257</v>
      </c>
      <c r="B258" t="s">
        <v>278</v>
      </c>
      <c r="C258" t="s">
        <v>27</v>
      </c>
      <c r="D258" t="s">
        <v>17</v>
      </c>
      <c r="E258" s="4">
        <v>70480487</v>
      </c>
      <c r="F258">
        <v>17.68</v>
      </c>
      <c r="G258">
        <v>15.14</v>
      </c>
      <c r="H258">
        <v>908.58</v>
      </c>
      <c r="I258">
        <v>85.65</v>
      </c>
      <c r="J258" s="5">
        <v>46060</v>
      </c>
      <c r="K258">
        <f t="shared" si="3"/>
        <v>83.99</v>
      </c>
      <c r="L258" t="str" cm="1">
        <f t="array" ref="L258">_xlfn.IFS(E258&gt;=52000000,"Platinum",E258&gt;=37000000,"Gold",E258&gt;=30000000,"Sliver",E258&lt;30000000,"Bronze")</f>
        <v>Platinum</v>
      </c>
    </row>
    <row r="259" spans="1:12" x14ac:dyDescent="0.25">
      <c r="A259">
        <v>258</v>
      </c>
      <c r="B259" t="s">
        <v>279</v>
      </c>
      <c r="C259" t="s">
        <v>19</v>
      </c>
      <c r="D259" t="s">
        <v>11</v>
      </c>
      <c r="E259" s="4">
        <v>71057151</v>
      </c>
      <c r="F259">
        <v>59.72</v>
      </c>
      <c r="G259">
        <v>8.86</v>
      </c>
      <c r="H259">
        <v>531.34</v>
      </c>
      <c r="I259">
        <v>14.83</v>
      </c>
      <c r="J259" s="5">
        <v>46060</v>
      </c>
      <c r="K259">
        <f t="shared" ref="K259:K322" si="4">ROUND((100-F259)*0.5 + I259*0.5,2)</f>
        <v>27.56</v>
      </c>
      <c r="L259" t="str" cm="1">
        <f t="array" ref="L259">_xlfn.IFS(E259&gt;=52000000,"Platinum",E259&gt;=37000000,"Gold",E259&gt;=30000000,"Sliver",E259&lt;30000000,"Bronze")</f>
        <v>Platinum</v>
      </c>
    </row>
    <row r="260" spans="1:12" x14ac:dyDescent="0.25">
      <c r="A260">
        <v>259</v>
      </c>
      <c r="B260" t="s">
        <v>280</v>
      </c>
      <c r="C260" t="s">
        <v>21</v>
      </c>
      <c r="D260" t="s">
        <v>17</v>
      </c>
      <c r="E260" s="4">
        <v>73104756</v>
      </c>
      <c r="F260">
        <v>47.66</v>
      </c>
      <c r="G260">
        <v>1.58</v>
      </c>
      <c r="H260">
        <v>94.67</v>
      </c>
      <c r="I260">
        <v>3.31</v>
      </c>
      <c r="J260" s="5">
        <v>46060</v>
      </c>
      <c r="K260">
        <f t="shared" si="4"/>
        <v>27.83</v>
      </c>
      <c r="L260" t="str" cm="1">
        <f t="array" ref="L260">_xlfn.IFS(E260&gt;=52000000,"Platinum",E260&gt;=37000000,"Gold",E260&gt;=30000000,"Sliver",E260&lt;30000000,"Bronze")</f>
        <v>Platinum</v>
      </c>
    </row>
    <row r="261" spans="1:12" x14ac:dyDescent="0.25">
      <c r="A261">
        <v>260</v>
      </c>
      <c r="B261" t="s">
        <v>281</v>
      </c>
      <c r="C261" t="s">
        <v>16</v>
      </c>
      <c r="D261" t="s">
        <v>13</v>
      </c>
      <c r="E261" s="4">
        <v>51877374</v>
      </c>
      <c r="F261" s="1">
        <f>CALCULATION!$C$11</f>
        <v>42.81</v>
      </c>
      <c r="G261" s="1">
        <v>8.48</v>
      </c>
      <c r="H261">
        <v>508.72</v>
      </c>
      <c r="I261">
        <v>17.63</v>
      </c>
      <c r="J261" s="5">
        <v>46060</v>
      </c>
      <c r="K261">
        <f t="shared" si="4"/>
        <v>37.409999999999997</v>
      </c>
      <c r="L261" t="str" cm="1">
        <f t="array" ref="L261">_xlfn.IFS(E261&gt;=52000000,"Platinum",E261&gt;=37000000,"Gold",E261&gt;=30000000,"Sliver",E261&lt;30000000,"Bronze")</f>
        <v>Gold</v>
      </c>
    </row>
    <row r="262" spans="1:12" x14ac:dyDescent="0.25">
      <c r="A262">
        <v>261</v>
      </c>
      <c r="B262" t="s">
        <v>282</v>
      </c>
      <c r="C262" t="s">
        <v>19</v>
      </c>
      <c r="D262" t="s">
        <v>17</v>
      </c>
      <c r="E262" s="4">
        <v>62537703</v>
      </c>
      <c r="F262">
        <v>58.81</v>
      </c>
      <c r="G262">
        <v>4.74</v>
      </c>
      <c r="H262">
        <v>284.52</v>
      </c>
      <c r="I262">
        <v>8.06</v>
      </c>
      <c r="J262" s="5">
        <v>46060</v>
      </c>
      <c r="K262">
        <f t="shared" si="4"/>
        <v>24.63</v>
      </c>
      <c r="L262" t="str" cm="1">
        <f t="array" ref="L262">_xlfn.IFS(E262&gt;=52000000,"Platinum",E262&gt;=37000000,"Gold",E262&gt;=30000000,"Sliver",E262&lt;30000000,"Bronze")</f>
        <v>Platinum</v>
      </c>
    </row>
    <row r="263" spans="1:12" x14ac:dyDescent="0.25">
      <c r="A263">
        <v>262</v>
      </c>
      <c r="B263" t="s">
        <v>283</v>
      </c>
      <c r="C263" t="s">
        <v>27</v>
      </c>
      <c r="D263" t="s">
        <v>32</v>
      </c>
      <c r="E263" s="4">
        <v>66738160</v>
      </c>
      <c r="F263">
        <v>28.37</v>
      </c>
      <c r="G263">
        <v>27.07</v>
      </c>
      <c r="H263">
        <v>1624.12</v>
      </c>
      <c r="I263">
        <v>95.41</v>
      </c>
      <c r="J263" s="5">
        <v>46060</v>
      </c>
      <c r="K263">
        <f t="shared" si="4"/>
        <v>83.52</v>
      </c>
      <c r="L263" t="str" cm="1">
        <f t="array" ref="L263">_xlfn.IFS(E263&gt;=52000000,"Platinum",E263&gt;=37000000,"Gold",E263&gt;=30000000,"Sliver",E263&lt;30000000,"Bronze")</f>
        <v>Platinum</v>
      </c>
    </row>
    <row r="264" spans="1:12" x14ac:dyDescent="0.25">
      <c r="A264">
        <v>263</v>
      </c>
      <c r="B264" t="s">
        <v>284</v>
      </c>
      <c r="C264" t="s">
        <v>10</v>
      </c>
      <c r="D264" t="s">
        <v>11</v>
      </c>
      <c r="E264" s="4">
        <v>70613131</v>
      </c>
      <c r="F264">
        <v>44.62</v>
      </c>
      <c r="G264">
        <v>5.56</v>
      </c>
      <c r="H264">
        <v>333.84</v>
      </c>
      <c r="I264">
        <v>12.47</v>
      </c>
      <c r="J264" s="5">
        <v>46060</v>
      </c>
      <c r="K264">
        <f t="shared" si="4"/>
        <v>33.93</v>
      </c>
      <c r="L264" t="str" cm="1">
        <f t="array" ref="L264">_xlfn.IFS(E264&gt;=52000000,"Platinum",E264&gt;=37000000,"Gold",E264&gt;=30000000,"Sliver",E264&lt;30000000,"Bronze")</f>
        <v>Platinum</v>
      </c>
    </row>
    <row r="265" spans="1:12" x14ac:dyDescent="0.25">
      <c r="A265">
        <v>264</v>
      </c>
      <c r="B265" t="s">
        <v>285</v>
      </c>
      <c r="C265" t="s">
        <v>27</v>
      </c>
      <c r="D265" t="s">
        <v>25</v>
      </c>
      <c r="E265" s="4">
        <v>68257088</v>
      </c>
      <c r="F265">
        <v>28.65</v>
      </c>
      <c r="G265">
        <v>35.99</v>
      </c>
      <c r="H265">
        <v>2159.1999999999998</v>
      </c>
      <c r="I265">
        <v>125.61</v>
      </c>
      <c r="J265" s="5">
        <v>46060</v>
      </c>
      <c r="K265">
        <f t="shared" si="4"/>
        <v>98.48</v>
      </c>
      <c r="L265" t="str" cm="1">
        <f t="array" ref="L265">_xlfn.IFS(E265&gt;=52000000,"Platinum",E265&gt;=37000000,"Gold",E265&gt;=30000000,"Sliver",E265&lt;30000000,"Bronze")</f>
        <v>Platinum</v>
      </c>
    </row>
    <row r="266" spans="1:12" x14ac:dyDescent="0.25">
      <c r="A266">
        <v>265</v>
      </c>
      <c r="B266" t="s">
        <v>286</v>
      </c>
      <c r="C266" t="s">
        <v>46</v>
      </c>
      <c r="D266" t="s">
        <v>32</v>
      </c>
      <c r="E266" s="4">
        <v>58914380</v>
      </c>
      <c r="F266">
        <v>52.07</v>
      </c>
      <c r="G266">
        <v>8.02</v>
      </c>
      <c r="H266">
        <v>480.94</v>
      </c>
      <c r="I266">
        <v>15.39</v>
      </c>
      <c r="J266" s="5">
        <v>46060</v>
      </c>
      <c r="K266">
        <f t="shared" si="4"/>
        <v>31.66</v>
      </c>
      <c r="L266" t="str" cm="1">
        <f t="array" ref="L266">_xlfn.IFS(E266&gt;=52000000,"Platinum",E266&gt;=37000000,"Gold",E266&gt;=30000000,"Sliver",E266&lt;30000000,"Bronze")</f>
        <v>Platinum</v>
      </c>
    </row>
    <row r="267" spans="1:12" x14ac:dyDescent="0.25">
      <c r="A267">
        <v>266</v>
      </c>
      <c r="B267" t="s">
        <v>287</v>
      </c>
      <c r="C267" t="s">
        <v>19</v>
      </c>
      <c r="D267" s="1" t="s">
        <v>32</v>
      </c>
      <c r="E267" s="4">
        <v>66279965</v>
      </c>
      <c r="F267">
        <v>55.11</v>
      </c>
      <c r="G267">
        <v>2.95</v>
      </c>
      <c r="H267">
        <v>176.86</v>
      </c>
      <c r="I267">
        <v>5.35</v>
      </c>
      <c r="J267" s="5">
        <v>46060</v>
      </c>
      <c r="K267">
        <f t="shared" si="4"/>
        <v>25.12</v>
      </c>
      <c r="L267" t="str" cm="1">
        <f t="array" ref="L267">_xlfn.IFS(E267&gt;=52000000,"Platinum",E267&gt;=37000000,"Gold",E267&gt;=30000000,"Sliver",E267&lt;30000000,"Bronze")</f>
        <v>Platinum</v>
      </c>
    </row>
    <row r="268" spans="1:12" x14ac:dyDescent="0.25">
      <c r="A268">
        <v>267</v>
      </c>
      <c r="B268" t="s">
        <v>288</v>
      </c>
      <c r="C268" t="s">
        <v>16</v>
      </c>
      <c r="D268" t="s">
        <v>11</v>
      </c>
      <c r="E268" s="4">
        <v>56842393</v>
      </c>
      <c r="F268">
        <v>34.79</v>
      </c>
      <c r="G268">
        <v>4.9800000000000004</v>
      </c>
      <c r="H268">
        <v>298.68</v>
      </c>
      <c r="I268">
        <v>14.31</v>
      </c>
      <c r="J268" s="5">
        <v>46060</v>
      </c>
      <c r="K268">
        <f t="shared" si="4"/>
        <v>39.76</v>
      </c>
      <c r="L268" t="str" cm="1">
        <f t="array" ref="L268">_xlfn.IFS(E268&gt;=52000000,"Platinum",E268&gt;=37000000,"Gold",E268&gt;=30000000,"Sliver",E268&lt;30000000,"Bronze")</f>
        <v>Platinum</v>
      </c>
    </row>
    <row r="269" spans="1:12" x14ac:dyDescent="0.25">
      <c r="A269">
        <v>268</v>
      </c>
      <c r="B269" t="s">
        <v>289</v>
      </c>
      <c r="C269" t="s">
        <v>46</v>
      </c>
      <c r="D269" t="s">
        <v>32</v>
      </c>
      <c r="E269" s="4">
        <v>68568956</v>
      </c>
      <c r="F269">
        <v>44.33</v>
      </c>
      <c r="G269">
        <v>9.34</v>
      </c>
      <c r="H269">
        <v>560.53</v>
      </c>
      <c r="I269">
        <v>21.07</v>
      </c>
      <c r="J269" s="5">
        <v>46060</v>
      </c>
      <c r="K269">
        <f t="shared" si="4"/>
        <v>38.369999999999997</v>
      </c>
      <c r="L269" t="str" cm="1">
        <f t="array" ref="L269">_xlfn.IFS(E269&gt;=52000000,"Platinum",E269&gt;=37000000,"Gold",E269&gt;=30000000,"Sliver",E269&lt;30000000,"Bronze")</f>
        <v>Platinum</v>
      </c>
    </row>
    <row r="270" spans="1:12" x14ac:dyDescent="0.25">
      <c r="A270">
        <v>269</v>
      </c>
      <c r="B270" t="s">
        <v>290</v>
      </c>
      <c r="C270" t="s">
        <v>46</v>
      </c>
      <c r="D270" t="s">
        <v>25</v>
      </c>
      <c r="E270" s="4">
        <v>68414402</v>
      </c>
      <c r="F270">
        <v>30.3</v>
      </c>
      <c r="G270">
        <v>6.43</v>
      </c>
      <c r="H270">
        <v>386.06</v>
      </c>
      <c r="I270">
        <v>21.24</v>
      </c>
      <c r="J270" s="5">
        <v>46060</v>
      </c>
      <c r="K270">
        <f t="shared" si="4"/>
        <v>45.47</v>
      </c>
      <c r="L270" t="str" cm="1">
        <f t="array" ref="L270">_xlfn.IFS(E270&gt;=52000000,"Platinum",E270&gt;=37000000,"Gold",E270&gt;=30000000,"Sliver",E270&lt;30000000,"Bronze")</f>
        <v>Platinum</v>
      </c>
    </row>
    <row r="271" spans="1:12" x14ac:dyDescent="0.25">
      <c r="A271">
        <v>270</v>
      </c>
      <c r="B271" t="s">
        <v>291</v>
      </c>
      <c r="C271" t="s">
        <v>21</v>
      </c>
      <c r="D271" t="s">
        <v>17</v>
      </c>
      <c r="E271" s="4">
        <v>70186991</v>
      </c>
      <c r="F271">
        <v>37.78</v>
      </c>
      <c r="G271">
        <v>1.9</v>
      </c>
      <c r="H271">
        <v>114.07</v>
      </c>
      <c r="I271">
        <v>5.03</v>
      </c>
      <c r="J271" s="5">
        <v>46060</v>
      </c>
      <c r="K271">
        <f t="shared" si="4"/>
        <v>33.630000000000003</v>
      </c>
      <c r="L271" t="str" cm="1">
        <f t="array" ref="L271">_xlfn.IFS(E271&gt;=52000000,"Platinum",E271&gt;=37000000,"Gold",E271&gt;=30000000,"Sliver",E271&lt;30000000,"Bronze")</f>
        <v>Platinum</v>
      </c>
    </row>
    <row r="272" spans="1:12" x14ac:dyDescent="0.25">
      <c r="A272">
        <v>271</v>
      </c>
      <c r="B272" t="s">
        <v>292</v>
      </c>
      <c r="C272" t="s">
        <v>27</v>
      </c>
      <c r="D272" t="s">
        <v>25</v>
      </c>
      <c r="E272" s="4">
        <v>55212456</v>
      </c>
      <c r="F272">
        <v>25.74</v>
      </c>
      <c r="G272">
        <v>38.69</v>
      </c>
      <c r="H272">
        <v>2321.6</v>
      </c>
      <c r="I272">
        <v>150.32</v>
      </c>
      <c r="J272" s="5">
        <v>46060</v>
      </c>
      <c r="K272">
        <f t="shared" si="4"/>
        <v>112.29</v>
      </c>
      <c r="L272" t="str" cm="1">
        <f t="array" ref="L272">_xlfn.IFS(E272&gt;=52000000,"Platinum",E272&gt;=37000000,"Gold",E272&gt;=30000000,"Sliver",E272&lt;30000000,"Bronze")</f>
        <v>Platinum</v>
      </c>
    </row>
    <row r="273" spans="1:12" x14ac:dyDescent="0.25">
      <c r="A273">
        <v>272</v>
      </c>
      <c r="B273" t="s">
        <v>293</v>
      </c>
      <c r="C273" t="s">
        <v>29</v>
      </c>
      <c r="D273" t="s">
        <v>17</v>
      </c>
      <c r="E273" s="4">
        <v>51678197</v>
      </c>
      <c r="F273">
        <v>35.78</v>
      </c>
      <c r="G273">
        <v>5.72</v>
      </c>
      <c r="H273" s="1">
        <f>CALCULATION!$D$11</f>
        <v>343.315</v>
      </c>
      <c r="I273">
        <v>26.49</v>
      </c>
      <c r="J273" s="5">
        <v>46060</v>
      </c>
      <c r="K273">
        <f t="shared" si="4"/>
        <v>45.36</v>
      </c>
      <c r="L273" t="str" cm="1">
        <f t="array" ref="L273">_xlfn.IFS(E273&gt;=52000000,"Platinum",E273&gt;=37000000,"Gold",E273&gt;=30000000,"Sliver",E273&lt;30000000,"Bronze")</f>
        <v>Gold</v>
      </c>
    </row>
    <row r="274" spans="1:12" x14ac:dyDescent="0.25">
      <c r="A274">
        <v>273</v>
      </c>
      <c r="B274" t="s">
        <v>294</v>
      </c>
      <c r="C274" t="s">
        <v>46</v>
      </c>
      <c r="D274" t="s">
        <v>25</v>
      </c>
      <c r="E274" s="4">
        <v>57078111</v>
      </c>
      <c r="F274">
        <v>39.47</v>
      </c>
      <c r="G274">
        <v>7.78</v>
      </c>
      <c r="H274">
        <v>467.06</v>
      </c>
      <c r="I274">
        <v>19.72</v>
      </c>
      <c r="J274" s="5">
        <v>46060</v>
      </c>
      <c r="K274">
        <f t="shared" si="4"/>
        <v>40.130000000000003</v>
      </c>
      <c r="L274" t="str" cm="1">
        <f t="array" ref="L274">_xlfn.IFS(E274&gt;=52000000,"Platinum",E274&gt;=37000000,"Gold",E274&gt;=30000000,"Sliver",E274&lt;30000000,"Bronze")</f>
        <v>Platinum</v>
      </c>
    </row>
    <row r="275" spans="1:12" x14ac:dyDescent="0.25">
      <c r="A275">
        <v>274</v>
      </c>
      <c r="B275" t="s">
        <v>295</v>
      </c>
      <c r="C275" t="s">
        <v>19</v>
      </c>
      <c r="D275" t="s">
        <v>17</v>
      </c>
      <c r="E275" s="4">
        <v>61579685</v>
      </c>
      <c r="F275">
        <v>36.79</v>
      </c>
      <c r="G275">
        <v>4.3899999999999997</v>
      </c>
      <c r="H275">
        <v>263.32</v>
      </c>
      <c r="I275">
        <v>11.93</v>
      </c>
      <c r="J275" s="5">
        <v>46060</v>
      </c>
      <c r="K275">
        <f t="shared" si="4"/>
        <v>37.57</v>
      </c>
      <c r="L275" t="str" cm="1">
        <f t="array" ref="L275">_xlfn.IFS(E275&gt;=52000000,"Platinum",E275&gt;=37000000,"Gold",E275&gt;=30000000,"Sliver",E275&lt;30000000,"Bronze")</f>
        <v>Platinum</v>
      </c>
    </row>
    <row r="276" spans="1:12" x14ac:dyDescent="0.25">
      <c r="A276">
        <v>275</v>
      </c>
      <c r="B276" t="s">
        <v>296</v>
      </c>
      <c r="C276" t="s">
        <v>19</v>
      </c>
      <c r="D276" t="s">
        <v>32</v>
      </c>
      <c r="E276" s="4">
        <v>59443928</v>
      </c>
      <c r="F276">
        <v>45.17</v>
      </c>
      <c r="G276">
        <v>5.72</v>
      </c>
      <c r="H276" s="1">
        <f>CALCULATION!$D$11</f>
        <v>343.315</v>
      </c>
      <c r="I276">
        <v>8.76</v>
      </c>
      <c r="J276" s="5">
        <v>46060</v>
      </c>
      <c r="K276">
        <f t="shared" si="4"/>
        <v>31.8</v>
      </c>
      <c r="L276" t="str" cm="1">
        <f t="array" ref="L276">_xlfn.IFS(E276&gt;=52000000,"Platinum",E276&gt;=37000000,"Gold",E276&gt;=30000000,"Sliver",E276&lt;30000000,"Bronze")</f>
        <v>Platinum</v>
      </c>
    </row>
    <row r="277" spans="1:12" x14ac:dyDescent="0.25">
      <c r="A277">
        <v>276</v>
      </c>
      <c r="B277" t="s">
        <v>297</v>
      </c>
      <c r="C277" t="s">
        <v>21</v>
      </c>
      <c r="D277" t="s">
        <v>17</v>
      </c>
      <c r="E277" s="4">
        <v>63281813</v>
      </c>
      <c r="F277">
        <v>36.520000000000003</v>
      </c>
      <c r="G277">
        <v>2.9</v>
      </c>
      <c r="H277">
        <v>174</v>
      </c>
      <c r="I277">
        <v>7.94</v>
      </c>
      <c r="J277" s="5">
        <v>46060</v>
      </c>
      <c r="K277">
        <f t="shared" si="4"/>
        <v>35.71</v>
      </c>
      <c r="L277" t="str" cm="1">
        <f t="array" ref="L277">_xlfn.IFS(E277&gt;=52000000,"Platinum",E277&gt;=37000000,"Gold",E277&gt;=30000000,"Sliver",E277&lt;30000000,"Bronze")</f>
        <v>Platinum</v>
      </c>
    </row>
    <row r="278" spans="1:12" x14ac:dyDescent="0.25">
      <c r="A278">
        <v>277</v>
      </c>
      <c r="B278" t="s">
        <v>298</v>
      </c>
      <c r="C278" t="s">
        <v>19</v>
      </c>
      <c r="D278" t="s">
        <v>13</v>
      </c>
      <c r="E278" s="4">
        <v>57559716</v>
      </c>
      <c r="F278">
        <v>32.43</v>
      </c>
      <c r="G278">
        <v>2.67</v>
      </c>
      <c r="H278">
        <v>160.47999999999999</v>
      </c>
      <c r="I278">
        <v>8.25</v>
      </c>
      <c r="J278" s="5">
        <v>46060</v>
      </c>
      <c r="K278">
        <f t="shared" si="4"/>
        <v>37.909999999999997</v>
      </c>
      <c r="L278" t="str" cm="1">
        <f t="array" ref="L278">_xlfn.IFS(E278&gt;=52000000,"Platinum",E278&gt;=37000000,"Gold",E278&gt;=30000000,"Sliver",E278&lt;30000000,"Bronze")</f>
        <v>Platinum</v>
      </c>
    </row>
    <row r="279" spans="1:12" x14ac:dyDescent="0.25">
      <c r="A279">
        <v>278</v>
      </c>
      <c r="B279" t="s">
        <v>299</v>
      </c>
      <c r="C279" t="s">
        <v>10</v>
      </c>
      <c r="D279" t="s">
        <v>32</v>
      </c>
      <c r="E279" s="4">
        <v>52775882</v>
      </c>
      <c r="F279">
        <v>51.57</v>
      </c>
      <c r="G279">
        <v>2.2799999999999998</v>
      </c>
      <c r="H279">
        <v>136.54</v>
      </c>
      <c r="I279">
        <v>4.41</v>
      </c>
      <c r="J279" s="5">
        <v>46060</v>
      </c>
      <c r="K279">
        <f t="shared" si="4"/>
        <v>26.42</v>
      </c>
      <c r="L279" t="str" cm="1">
        <f t="array" ref="L279">_xlfn.IFS(E279&gt;=52000000,"Platinum",E279&gt;=37000000,"Gold",E279&gt;=30000000,"Sliver",E279&lt;30000000,"Bronze")</f>
        <v>Platinum</v>
      </c>
    </row>
    <row r="280" spans="1:12" x14ac:dyDescent="0.25">
      <c r="A280">
        <v>279</v>
      </c>
      <c r="B280" t="s">
        <v>300</v>
      </c>
      <c r="C280" t="s">
        <v>16</v>
      </c>
      <c r="D280" t="s">
        <v>32</v>
      </c>
      <c r="E280" s="4">
        <v>64717315</v>
      </c>
      <c r="F280">
        <v>48.06</v>
      </c>
      <c r="G280">
        <v>6.89</v>
      </c>
      <c r="H280">
        <v>413.51</v>
      </c>
      <c r="I280">
        <v>14.34</v>
      </c>
      <c r="J280" s="5">
        <v>46060</v>
      </c>
      <c r="K280">
        <f t="shared" si="4"/>
        <v>33.14</v>
      </c>
      <c r="L280" t="str" cm="1">
        <f t="array" ref="L280">_xlfn.IFS(E280&gt;=52000000,"Platinum",E280&gt;=37000000,"Gold",E280&gt;=30000000,"Sliver",E280&lt;30000000,"Bronze")</f>
        <v>Platinum</v>
      </c>
    </row>
    <row r="281" spans="1:12" x14ac:dyDescent="0.25">
      <c r="A281">
        <v>280</v>
      </c>
      <c r="B281" t="s">
        <v>301</v>
      </c>
      <c r="C281" t="s">
        <v>27</v>
      </c>
      <c r="D281" t="s">
        <v>32</v>
      </c>
      <c r="E281" s="4">
        <v>66101231</v>
      </c>
      <c r="F281">
        <v>16.190000000000001</v>
      </c>
      <c r="G281">
        <v>31.31</v>
      </c>
      <c r="H281">
        <v>1878.3</v>
      </c>
      <c r="I281">
        <v>193.36</v>
      </c>
      <c r="J281" s="5">
        <v>46060</v>
      </c>
      <c r="K281">
        <f t="shared" si="4"/>
        <v>138.59</v>
      </c>
      <c r="L281" t="str" cm="1">
        <f t="array" ref="L281">_xlfn.IFS(E281&gt;=52000000,"Platinum",E281&gt;=37000000,"Gold",E281&gt;=30000000,"Sliver",E281&lt;30000000,"Bronze")</f>
        <v>Platinum</v>
      </c>
    </row>
    <row r="282" spans="1:12" x14ac:dyDescent="0.25">
      <c r="A282">
        <v>281</v>
      </c>
      <c r="B282" t="s">
        <v>302</v>
      </c>
      <c r="C282" t="s">
        <v>19</v>
      </c>
      <c r="D282" t="s">
        <v>17</v>
      </c>
      <c r="E282" s="4">
        <v>50681785</v>
      </c>
      <c r="F282">
        <v>41.94</v>
      </c>
      <c r="G282">
        <v>3.74</v>
      </c>
      <c r="H282">
        <v>224.59</v>
      </c>
      <c r="I282">
        <v>8.93</v>
      </c>
      <c r="J282" s="5">
        <v>46060</v>
      </c>
      <c r="K282">
        <f t="shared" si="4"/>
        <v>33.5</v>
      </c>
      <c r="L282" t="str" cm="1">
        <f t="array" ref="L282">_xlfn.IFS(E282&gt;=52000000,"Platinum",E282&gt;=37000000,"Gold",E282&gt;=30000000,"Sliver",E282&lt;30000000,"Bronze")</f>
        <v>Gold</v>
      </c>
    </row>
    <row r="283" spans="1:12" x14ac:dyDescent="0.25">
      <c r="A283">
        <v>282</v>
      </c>
      <c r="B283" t="s">
        <v>303</v>
      </c>
      <c r="C283" t="s">
        <v>29</v>
      </c>
      <c r="D283" t="s">
        <v>22</v>
      </c>
      <c r="E283" s="4">
        <v>51323857</v>
      </c>
      <c r="F283">
        <v>36.43</v>
      </c>
      <c r="G283">
        <v>9.18</v>
      </c>
      <c r="H283">
        <v>550.55999999999995</v>
      </c>
      <c r="I283">
        <v>25.19</v>
      </c>
      <c r="J283" s="5">
        <v>46060</v>
      </c>
      <c r="K283">
        <f t="shared" si="4"/>
        <v>44.38</v>
      </c>
      <c r="L283" t="str" cm="1">
        <f t="array" ref="L283">_xlfn.IFS(E283&gt;=52000000,"Platinum",E283&gt;=37000000,"Gold",E283&gt;=30000000,"Sliver",E283&lt;30000000,"Bronze")</f>
        <v>Gold</v>
      </c>
    </row>
    <row r="284" spans="1:12" x14ac:dyDescent="0.25">
      <c r="A284">
        <v>283</v>
      </c>
      <c r="B284" t="s">
        <v>304</v>
      </c>
      <c r="C284" t="s">
        <v>46</v>
      </c>
      <c r="D284" t="s">
        <v>13</v>
      </c>
      <c r="E284" s="4">
        <v>69087727</v>
      </c>
      <c r="F284">
        <v>34.619999999999997</v>
      </c>
      <c r="G284">
        <v>9.77</v>
      </c>
      <c r="H284">
        <v>586.45000000000005</v>
      </c>
      <c r="I284">
        <v>28.23</v>
      </c>
      <c r="J284" s="5">
        <v>46060</v>
      </c>
      <c r="K284">
        <f t="shared" si="4"/>
        <v>46.81</v>
      </c>
      <c r="L284" t="str" cm="1">
        <f t="array" ref="L284">_xlfn.IFS(E284&gt;=52000000,"Platinum",E284&gt;=37000000,"Gold",E284&gt;=30000000,"Sliver",E284&lt;30000000,"Bronze")</f>
        <v>Platinum</v>
      </c>
    </row>
    <row r="285" spans="1:12" x14ac:dyDescent="0.25">
      <c r="A285">
        <v>284</v>
      </c>
      <c r="B285" t="s">
        <v>305</v>
      </c>
      <c r="C285" t="s">
        <v>46</v>
      </c>
      <c r="D285" t="s">
        <v>22</v>
      </c>
      <c r="E285" s="4">
        <v>67616177</v>
      </c>
      <c r="F285">
        <v>42.36</v>
      </c>
      <c r="G285">
        <v>3.58</v>
      </c>
      <c r="H285">
        <v>214.99</v>
      </c>
      <c r="I285">
        <v>8.4600000000000009</v>
      </c>
      <c r="J285" s="5">
        <v>46060</v>
      </c>
      <c r="K285">
        <f t="shared" si="4"/>
        <v>33.049999999999997</v>
      </c>
      <c r="L285" t="str" cm="1">
        <f t="array" ref="L285">_xlfn.IFS(E285&gt;=52000000,"Platinum",E285&gt;=37000000,"Gold",E285&gt;=30000000,"Sliver",E285&lt;30000000,"Bronze")</f>
        <v>Platinum</v>
      </c>
    </row>
    <row r="286" spans="1:12" x14ac:dyDescent="0.25">
      <c r="A286">
        <v>285</v>
      </c>
      <c r="B286" t="s">
        <v>306</v>
      </c>
      <c r="C286" t="s">
        <v>10</v>
      </c>
      <c r="D286" t="s">
        <v>11</v>
      </c>
      <c r="E286" s="4">
        <v>48727553</v>
      </c>
      <c r="F286">
        <v>48.19</v>
      </c>
      <c r="G286">
        <v>6.25</v>
      </c>
      <c r="H286">
        <v>374.71</v>
      </c>
      <c r="I286">
        <v>12.96</v>
      </c>
      <c r="J286" s="5">
        <v>46060</v>
      </c>
      <c r="K286">
        <f t="shared" si="4"/>
        <v>32.39</v>
      </c>
      <c r="L286" t="str" cm="1">
        <f t="array" ref="L286">_xlfn.IFS(E286&gt;=52000000,"Platinum",E286&gt;=37000000,"Gold",E286&gt;=30000000,"Sliver",E286&lt;30000000,"Bronze")</f>
        <v>Gold</v>
      </c>
    </row>
    <row r="287" spans="1:12" x14ac:dyDescent="0.25">
      <c r="A287">
        <v>286</v>
      </c>
      <c r="B287" t="s">
        <v>307</v>
      </c>
      <c r="C287" t="s">
        <v>27</v>
      </c>
      <c r="D287" t="s">
        <v>32</v>
      </c>
      <c r="E287" s="4">
        <v>58393608</v>
      </c>
      <c r="F287">
        <v>26.02</v>
      </c>
      <c r="G287">
        <v>29</v>
      </c>
      <c r="H287">
        <v>1740.04</v>
      </c>
      <c r="I287">
        <v>111.46</v>
      </c>
      <c r="J287" s="5">
        <v>46060</v>
      </c>
      <c r="K287">
        <f t="shared" si="4"/>
        <v>92.72</v>
      </c>
      <c r="L287" t="str" cm="1">
        <f t="array" ref="L287">_xlfn.IFS(E287&gt;=52000000,"Platinum",E287&gt;=37000000,"Gold",E287&gt;=30000000,"Sliver",E287&lt;30000000,"Bronze")</f>
        <v>Platinum</v>
      </c>
    </row>
    <row r="288" spans="1:12" x14ac:dyDescent="0.25">
      <c r="A288">
        <v>287</v>
      </c>
      <c r="B288" t="s">
        <v>308</v>
      </c>
      <c r="C288" t="s">
        <v>21</v>
      </c>
      <c r="D288" t="s">
        <v>11</v>
      </c>
      <c r="E288" s="4">
        <v>59687789</v>
      </c>
      <c r="F288">
        <v>44.89</v>
      </c>
      <c r="G288">
        <v>2.85</v>
      </c>
      <c r="H288">
        <v>170.93</v>
      </c>
      <c r="I288">
        <v>6.35</v>
      </c>
      <c r="J288" s="5">
        <v>46060</v>
      </c>
      <c r="K288">
        <f t="shared" si="4"/>
        <v>30.73</v>
      </c>
      <c r="L288" t="str" cm="1">
        <f t="array" ref="L288">_xlfn.IFS(E288&gt;=52000000,"Platinum",E288&gt;=37000000,"Gold",E288&gt;=30000000,"Sliver",E288&lt;30000000,"Bronze")</f>
        <v>Platinum</v>
      </c>
    </row>
    <row r="289" spans="1:12" x14ac:dyDescent="0.25">
      <c r="A289">
        <v>288</v>
      </c>
      <c r="B289" t="s">
        <v>309</v>
      </c>
      <c r="C289" t="s">
        <v>46</v>
      </c>
      <c r="D289" t="s">
        <v>13</v>
      </c>
      <c r="E289" s="4">
        <v>54674561</v>
      </c>
      <c r="F289">
        <v>45.79</v>
      </c>
      <c r="G289">
        <v>7.81</v>
      </c>
      <c r="H289">
        <v>468.82</v>
      </c>
      <c r="I289">
        <v>17.059999999999999</v>
      </c>
      <c r="J289" s="5">
        <v>46060</v>
      </c>
      <c r="K289">
        <f t="shared" si="4"/>
        <v>35.64</v>
      </c>
      <c r="L289" t="str" cm="1">
        <f t="array" ref="L289">_xlfn.IFS(E289&gt;=52000000,"Platinum",E289&gt;=37000000,"Gold",E289&gt;=30000000,"Sliver",E289&lt;30000000,"Bronze")</f>
        <v>Platinum</v>
      </c>
    </row>
    <row r="290" spans="1:12" x14ac:dyDescent="0.25">
      <c r="A290">
        <v>289</v>
      </c>
      <c r="B290" t="s">
        <v>310</v>
      </c>
      <c r="C290" t="s">
        <v>27</v>
      </c>
      <c r="D290" t="s">
        <v>13</v>
      </c>
      <c r="E290" s="4">
        <v>49286255</v>
      </c>
      <c r="F290">
        <v>19.84</v>
      </c>
      <c r="G290">
        <v>38.18</v>
      </c>
      <c r="H290">
        <v>2290.88</v>
      </c>
      <c r="I290">
        <v>192.45</v>
      </c>
      <c r="J290" s="5">
        <v>46060</v>
      </c>
      <c r="K290">
        <f t="shared" si="4"/>
        <v>136.31</v>
      </c>
      <c r="L290" t="str" cm="1">
        <f t="array" ref="L290">_xlfn.IFS(E290&gt;=52000000,"Platinum",E290&gt;=37000000,"Gold",E290&gt;=30000000,"Sliver",E290&lt;30000000,"Bronze")</f>
        <v>Gold</v>
      </c>
    </row>
    <row r="291" spans="1:12" x14ac:dyDescent="0.25">
      <c r="A291">
        <v>290</v>
      </c>
      <c r="B291" t="s">
        <v>311</v>
      </c>
      <c r="C291" t="s">
        <v>27</v>
      </c>
      <c r="D291" t="s">
        <v>25</v>
      </c>
      <c r="E291" s="4">
        <v>66849064</v>
      </c>
      <c r="F291" s="1">
        <f>CALCULATION!$C$11</f>
        <v>42.81</v>
      </c>
      <c r="G291" s="1">
        <v>10.41</v>
      </c>
      <c r="H291">
        <v>624.49</v>
      </c>
      <c r="I291">
        <v>48.48</v>
      </c>
      <c r="J291" s="5">
        <v>46060</v>
      </c>
      <c r="K291">
        <f t="shared" si="4"/>
        <v>52.84</v>
      </c>
      <c r="L291" t="str" cm="1">
        <f t="array" ref="L291">_xlfn.IFS(E291&gt;=52000000,"Platinum",E291&gt;=37000000,"Gold",E291&gt;=30000000,"Sliver",E291&lt;30000000,"Bronze")</f>
        <v>Platinum</v>
      </c>
    </row>
    <row r="292" spans="1:12" x14ac:dyDescent="0.25">
      <c r="A292">
        <v>291</v>
      </c>
      <c r="B292" t="s">
        <v>312</v>
      </c>
      <c r="C292" t="s">
        <v>10</v>
      </c>
      <c r="D292" t="s">
        <v>32</v>
      </c>
      <c r="E292" s="4">
        <v>53068912</v>
      </c>
      <c r="F292">
        <v>47.88</v>
      </c>
      <c r="G292">
        <v>8.24</v>
      </c>
      <c r="H292">
        <v>494.15</v>
      </c>
      <c r="I292">
        <v>17.2</v>
      </c>
      <c r="J292" s="5">
        <v>46060</v>
      </c>
      <c r="K292">
        <f t="shared" si="4"/>
        <v>34.659999999999997</v>
      </c>
      <c r="L292" t="str" cm="1">
        <f t="array" ref="L292">_xlfn.IFS(E292&gt;=52000000,"Platinum",E292&gt;=37000000,"Gold",E292&gt;=30000000,"Sliver",E292&lt;30000000,"Bronze")</f>
        <v>Platinum</v>
      </c>
    </row>
    <row r="293" spans="1:12" x14ac:dyDescent="0.25">
      <c r="A293">
        <v>292</v>
      </c>
      <c r="B293" t="s">
        <v>313</v>
      </c>
      <c r="C293" t="s">
        <v>46</v>
      </c>
      <c r="D293" t="s">
        <v>32</v>
      </c>
      <c r="E293" s="4">
        <v>52357194</v>
      </c>
      <c r="F293">
        <v>44.07</v>
      </c>
      <c r="G293">
        <v>5.72</v>
      </c>
      <c r="H293" s="1">
        <f>CALCULATION!$D$11</f>
        <v>343.315</v>
      </c>
      <c r="I293">
        <v>8.57</v>
      </c>
      <c r="J293" s="5">
        <v>46060</v>
      </c>
      <c r="K293">
        <f t="shared" si="4"/>
        <v>32.25</v>
      </c>
      <c r="L293" t="str" cm="1">
        <f t="array" ref="L293">_xlfn.IFS(E293&gt;=52000000,"Platinum",E293&gt;=37000000,"Gold",E293&gt;=30000000,"Sliver",E293&lt;30000000,"Bronze")</f>
        <v>Platinum</v>
      </c>
    </row>
    <row r="294" spans="1:12" x14ac:dyDescent="0.25">
      <c r="A294">
        <v>293</v>
      </c>
      <c r="B294" t="s">
        <v>314</v>
      </c>
      <c r="C294" t="s">
        <v>29</v>
      </c>
      <c r="D294" t="s">
        <v>13</v>
      </c>
      <c r="E294" s="4">
        <v>61636536</v>
      </c>
      <c r="F294">
        <v>39.200000000000003</v>
      </c>
      <c r="G294">
        <v>2.5099999999999998</v>
      </c>
      <c r="H294">
        <v>150.57</v>
      </c>
      <c r="I294">
        <v>6.4</v>
      </c>
      <c r="J294" s="5">
        <v>46060</v>
      </c>
      <c r="K294">
        <f t="shared" si="4"/>
        <v>33.6</v>
      </c>
      <c r="L294" t="str" cm="1">
        <f t="array" ref="L294">_xlfn.IFS(E294&gt;=52000000,"Platinum",E294&gt;=37000000,"Gold",E294&gt;=30000000,"Sliver",E294&lt;30000000,"Bronze")</f>
        <v>Platinum</v>
      </c>
    </row>
    <row r="295" spans="1:12" x14ac:dyDescent="0.25">
      <c r="A295">
        <v>294</v>
      </c>
      <c r="B295" t="s">
        <v>315</v>
      </c>
      <c r="C295" t="s">
        <v>27</v>
      </c>
      <c r="D295" t="s">
        <v>17</v>
      </c>
      <c r="E295" s="4">
        <v>62200552</v>
      </c>
      <c r="F295">
        <v>15.08</v>
      </c>
      <c r="G295">
        <v>21.39</v>
      </c>
      <c r="H295">
        <v>1283.3399999999999</v>
      </c>
      <c r="I295">
        <v>141.84</v>
      </c>
      <c r="J295" s="5">
        <v>46060</v>
      </c>
      <c r="K295">
        <f t="shared" si="4"/>
        <v>113.38</v>
      </c>
      <c r="L295" t="str" cm="1">
        <f t="array" ref="L295">_xlfn.IFS(E295&gt;=52000000,"Platinum",E295&gt;=37000000,"Gold",E295&gt;=30000000,"Sliver",E295&lt;30000000,"Bronze")</f>
        <v>Platinum</v>
      </c>
    </row>
    <row r="296" spans="1:12" x14ac:dyDescent="0.25">
      <c r="A296">
        <v>295</v>
      </c>
      <c r="B296" t="s">
        <v>316</v>
      </c>
      <c r="C296" t="s">
        <v>19</v>
      </c>
      <c r="D296" t="s">
        <v>32</v>
      </c>
      <c r="E296" s="4">
        <v>66324160</v>
      </c>
      <c r="F296">
        <v>33.25</v>
      </c>
      <c r="G296">
        <v>4.8600000000000003</v>
      </c>
      <c r="H296">
        <v>291.37</v>
      </c>
      <c r="I296">
        <v>14.61</v>
      </c>
      <c r="J296" s="5">
        <v>46060</v>
      </c>
      <c r="K296">
        <f t="shared" si="4"/>
        <v>40.68</v>
      </c>
      <c r="L296" t="str" cm="1">
        <f t="array" ref="L296">_xlfn.IFS(E296&gt;=52000000,"Platinum",E296&gt;=37000000,"Gold",E296&gt;=30000000,"Sliver",E296&lt;30000000,"Bronze")</f>
        <v>Platinum</v>
      </c>
    </row>
    <row r="297" spans="1:12" x14ac:dyDescent="0.25">
      <c r="A297">
        <v>296</v>
      </c>
      <c r="B297" t="s">
        <v>317</v>
      </c>
      <c r="C297" t="s">
        <v>21</v>
      </c>
      <c r="D297" t="s">
        <v>25</v>
      </c>
      <c r="E297" s="4">
        <v>47848012</v>
      </c>
      <c r="F297">
        <v>49.92</v>
      </c>
      <c r="G297">
        <v>1.21</v>
      </c>
      <c r="H297">
        <v>72.55</v>
      </c>
      <c r="I297">
        <v>2.42</v>
      </c>
      <c r="J297" s="5">
        <v>46060</v>
      </c>
      <c r="K297">
        <f t="shared" si="4"/>
        <v>26.25</v>
      </c>
      <c r="L297" t="str" cm="1">
        <f t="array" ref="L297">_xlfn.IFS(E297&gt;=52000000,"Platinum",E297&gt;=37000000,"Gold",E297&gt;=30000000,"Sliver",E297&lt;30000000,"Bronze")</f>
        <v>Gold</v>
      </c>
    </row>
    <row r="298" spans="1:12" x14ac:dyDescent="0.25">
      <c r="A298">
        <v>297</v>
      </c>
      <c r="B298" t="s">
        <v>318</v>
      </c>
      <c r="C298" s="1" t="s">
        <v>21</v>
      </c>
      <c r="D298" s="1" t="s">
        <v>32</v>
      </c>
      <c r="E298" s="4">
        <v>61380008</v>
      </c>
      <c r="F298">
        <v>32.14</v>
      </c>
      <c r="G298">
        <v>7.37</v>
      </c>
      <c r="H298">
        <v>441.99</v>
      </c>
      <c r="I298">
        <v>22.92</v>
      </c>
      <c r="J298" s="5">
        <v>46060</v>
      </c>
      <c r="K298">
        <f t="shared" si="4"/>
        <v>45.39</v>
      </c>
      <c r="L298" t="str" cm="1">
        <f t="array" ref="L298">_xlfn.IFS(E298&gt;=52000000,"Platinum",E298&gt;=37000000,"Gold",E298&gt;=30000000,"Sliver",E298&lt;30000000,"Bronze")</f>
        <v>Platinum</v>
      </c>
    </row>
    <row r="299" spans="1:12" x14ac:dyDescent="0.25">
      <c r="A299">
        <v>298</v>
      </c>
      <c r="B299" t="s">
        <v>319</v>
      </c>
      <c r="C299" s="1" t="s">
        <v>21</v>
      </c>
      <c r="D299" t="s">
        <v>22</v>
      </c>
      <c r="E299" s="4">
        <v>55781192</v>
      </c>
      <c r="F299">
        <v>19.170000000000002</v>
      </c>
      <c r="G299">
        <v>28.71</v>
      </c>
      <c r="H299">
        <v>1722.59</v>
      </c>
      <c r="I299">
        <v>149.76</v>
      </c>
      <c r="J299" s="5">
        <v>46060</v>
      </c>
      <c r="K299">
        <f t="shared" si="4"/>
        <v>115.3</v>
      </c>
      <c r="L299" t="str" cm="1">
        <f t="array" ref="L299">_xlfn.IFS(E299&gt;=52000000,"Platinum",E299&gt;=37000000,"Gold",E299&gt;=30000000,"Sliver",E299&lt;30000000,"Bronze")</f>
        <v>Platinum</v>
      </c>
    </row>
    <row r="300" spans="1:12" x14ac:dyDescent="0.25">
      <c r="A300">
        <v>299</v>
      </c>
      <c r="B300" t="s">
        <v>320</v>
      </c>
      <c r="C300" t="s">
        <v>46</v>
      </c>
      <c r="D300" t="s">
        <v>22</v>
      </c>
      <c r="E300" s="4">
        <v>59135745</v>
      </c>
      <c r="F300">
        <v>48.98</v>
      </c>
      <c r="G300">
        <v>5.72</v>
      </c>
      <c r="H300" s="1">
        <f>CALCULATION!$D$11</f>
        <v>343.315</v>
      </c>
      <c r="I300">
        <v>7.41</v>
      </c>
      <c r="J300" s="5">
        <v>46060</v>
      </c>
      <c r="K300">
        <f t="shared" si="4"/>
        <v>29.22</v>
      </c>
      <c r="L300" t="str" cm="1">
        <f t="array" ref="L300">_xlfn.IFS(E300&gt;=52000000,"Platinum",E300&gt;=37000000,"Gold",E300&gt;=30000000,"Sliver",E300&lt;30000000,"Bronze")</f>
        <v>Platinum</v>
      </c>
    </row>
    <row r="301" spans="1:12" x14ac:dyDescent="0.25">
      <c r="A301">
        <v>300</v>
      </c>
      <c r="B301" t="s">
        <v>321</v>
      </c>
      <c r="C301" t="s">
        <v>10</v>
      </c>
      <c r="D301" t="s">
        <v>25</v>
      </c>
      <c r="E301" s="4">
        <v>67163943</v>
      </c>
      <c r="F301">
        <v>38.549999999999997</v>
      </c>
      <c r="G301">
        <v>5.86</v>
      </c>
      <c r="H301">
        <v>351.59</v>
      </c>
      <c r="I301">
        <v>15.2</v>
      </c>
      <c r="J301" s="5">
        <v>46060</v>
      </c>
      <c r="K301">
        <f t="shared" si="4"/>
        <v>38.33</v>
      </c>
      <c r="L301" t="str" cm="1">
        <f t="array" ref="L301">_xlfn.IFS(E301&gt;=52000000,"Platinum",E301&gt;=37000000,"Gold",E301&gt;=30000000,"Sliver",E301&lt;30000000,"Bronze")</f>
        <v>Platinum</v>
      </c>
    </row>
    <row r="302" spans="1:12" x14ac:dyDescent="0.25">
      <c r="A302">
        <v>301</v>
      </c>
      <c r="B302" t="s">
        <v>322</v>
      </c>
      <c r="C302" t="s">
        <v>16</v>
      </c>
      <c r="D302" t="s">
        <v>25</v>
      </c>
      <c r="E302" s="4">
        <v>51953468</v>
      </c>
      <c r="F302">
        <v>52.14</v>
      </c>
      <c r="G302">
        <v>9.31</v>
      </c>
      <c r="H302">
        <v>558.55999999999995</v>
      </c>
      <c r="I302">
        <v>17.850000000000001</v>
      </c>
      <c r="J302" s="5">
        <v>46060</v>
      </c>
      <c r="K302">
        <f t="shared" si="4"/>
        <v>32.86</v>
      </c>
      <c r="L302" t="str" cm="1">
        <f t="array" ref="L302">_xlfn.IFS(E302&gt;=52000000,"Platinum",E302&gt;=37000000,"Gold",E302&gt;=30000000,"Sliver",E302&lt;30000000,"Bronze")</f>
        <v>Gold</v>
      </c>
    </row>
    <row r="303" spans="1:12" x14ac:dyDescent="0.25">
      <c r="A303">
        <v>302</v>
      </c>
      <c r="B303" t="s">
        <v>323</v>
      </c>
      <c r="C303" t="s">
        <v>29</v>
      </c>
      <c r="D303" t="s">
        <v>17</v>
      </c>
      <c r="E303" s="4">
        <v>57630198</v>
      </c>
      <c r="F303">
        <v>39.93</v>
      </c>
      <c r="G303">
        <v>3.88</v>
      </c>
      <c r="H303">
        <v>233.04</v>
      </c>
      <c r="I303">
        <v>9.73</v>
      </c>
      <c r="J303" s="5">
        <v>46060</v>
      </c>
      <c r="K303">
        <f t="shared" si="4"/>
        <v>34.9</v>
      </c>
      <c r="L303" t="str" cm="1">
        <f t="array" ref="L303">_xlfn.IFS(E303&gt;=52000000,"Platinum",E303&gt;=37000000,"Gold",E303&gt;=30000000,"Sliver",E303&lt;30000000,"Bronze")</f>
        <v>Platinum</v>
      </c>
    </row>
    <row r="304" spans="1:12" x14ac:dyDescent="0.25">
      <c r="A304">
        <v>303</v>
      </c>
      <c r="B304" t="s">
        <v>324</v>
      </c>
      <c r="C304" t="s">
        <v>29</v>
      </c>
      <c r="D304" t="s">
        <v>25</v>
      </c>
      <c r="E304" s="4">
        <v>58374396</v>
      </c>
      <c r="F304">
        <v>31.43</v>
      </c>
      <c r="G304">
        <v>4.76</v>
      </c>
      <c r="H304">
        <v>285.76</v>
      </c>
      <c r="I304">
        <v>15.15</v>
      </c>
      <c r="J304" s="5">
        <v>46060</v>
      </c>
      <c r="K304">
        <f t="shared" si="4"/>
        <v>41.86</v>
      </c>
      <c r="L304" t="str" cm="1">
        <f t="array" ref="L304">_xlfn.IFS(E304&gt;=52000000,"Platinum",E304&gt;=37000000,"Gold",E304&gt;=30000000,"Sliver",E304&lt;30000000,"Bronze")</f>
        <v>Platinum</v>
      </c>
    </row>
    <row r="305" spans="1:12" x14ac:dyDescent="0.25">
      <c r="A305">
        <v>304</v>
      </c>
      <c r="B305" t="s">
        <v>325</v>
      </c>
      <c r="C305" t="s">
        <v>10</v>
      </c>
      <c r="D305" t="s">
        <v>25</v>
      </c>
      <c r="E305" s="4">
        <v>67423407</v>
      </c>
      <c r="F305">
        <v>52.8</v>
      </c>
      <c r="G305">
        <v>5.57</v>
      </c>
      <c r="H305">
        <v>334.21</v>
      </c>
      <c r="I305">
        <v>10.55</v>
      </c>
      <c r="J305" s="5">
        <v>46060</v>
      </c>
      <c r="K305">
        <f t="shared" si="4"/>
        <v>28.88</v>
      </c>
      <c r="L305" t="str" cm="1">
        <f t="array" ref="L305">_xlfn.IFS(E305&gt;=52000000,"Platinum",E305&gt;=37000000,"Gold",E305&gt;=30000000,"Sliver",E305&lt;30000000,"Bronze")</f>
        <v>Platinum</v>
      </c>
    </row>
    <row r="306" spans="1:12" x14ac:dyDescent="0.25">
      <c r="A306">
        <v>305</v>
      </c>
      <c r="B306" t="s">
        <v>326</v>
      </c>
      <c r="C306" t="s">
        <v>16</v>
      </c>
      <c r="D306" t="s">
        <v>22</v>
      </c>
      <c r="E306" s="4">
        <v>60243153</v>
      </c>
      <c r="F306">
        <v>37.659999999999997</v>
      </c>
      <c r="G306">
        <v>6.57</v>
      </c>
      <c r="H306">
        <v>394.06</v>
      </c>
      <c r="I306">
        <v>17.440000000000001</v>
      </c>
      <c r="J306" s="5">
        <v>46060</v>
      </c>
      <c r="K306">
        <f t="shared" si="4"/>
        <v>39.89</v>
      </c>
      <c r="L306" t="str" cm="1">
        <f t="array" ref="L306">_xlfn.IFS(E306&gt;=52000000,"Platinum",E306&gt;=37000000,"Gold",E306&gt;=30000000,"Sliver",E306&lt;30000000,"Bronze")</f>
        <v>Platinum</v>
      </c>
    </row>
    <row r="307" spans="1:12" x14ac:dyDescent="0.25">
      <c r="A307">
        <v>306</v>
      </c>
      <c r="B307" t="s">
        <v>327</v>
      </c>
      <c r="C307" t="s">
        <v>46</v>
      </c>
      <c r="D307" t="s">
        <v>22</v>
      </c>
      <c r="E307" s="4">
        <v>66634877</v>
      </c>
      <c r="F307">
        <v>32.53</v>
      </c>
      <c r="G307">
        <v>5.16</v>
      </c>
      <c r="H307">
        <v>309.39</v>
      </c>
      <c r="I307">
        <v>15.85</v>
      </c>
      <c r="J307" s="5">
        <v>46060</v>
      </c>
      <c r="K307">
        <f t="shared" si="4"/>
        <v>41.66</v>
      </c>
      <c r="L307" t="str" cm="1">
        <f t="array" ref="L307">_xlfn.IFS(E307&gt;=52000000,"Platinum",E307&gt;=37000000,"Gold",E307&gt;=30000000,"Sliver",E307&lt;30000000,"Bronze")</f>
        <v>Platinum</v>
      </c>
    </row>
    <row r="308" spans="1:12" x14ac:dyDescent="0.25">
      <c r="A308">
        <v>307</v>
      </c>
      <c r="B308" t="s">
        <v>328</v>
      </c>
      <c r="C308" t="s">
        <v>10</v>
      </c>
      <c r="D308" t="s">
        <v>22</v>
      </c>
      <c r="E308" s="4">
        <v>46747324</v>
      </c>
      <c r="F308" s="1">
        <f>CALCULATION!$C$11</f>
        <v>42.81</v>
      </c>
      <c r="G308" s="1">
        <v>6.77</v>
      </c>
      <c r="H308">
        <v>406.14</v>
      </c>
      <c r="I308">
        <v>14.87</v>
      </c>
      <c r="J308" s="5">
        <v>46060</v>
      </c>
      <c r="K308">
        <f t="shared" si="4"/>
        <v>36.03</v>
      </c>
      <c r="L308" t="str" cm="1">
        <f t="array" ref="L308">_xlfn.IFS(E308&gt;=52000000,"Platinum",E308&gt;=37000000,"Gold",E308&gt;=30000000,"Sliver",E308&lt;30000000,"Bronze")</f>
        <v>Gold</v>
      </c>
    </row>
    <row r="309" spans="1:12" x14ac:dyDescent="0.25">
      <c r="A309">
        <v>308</v>
      </c>
      <c r="B309" t="s">
        <v>329</v>
      </c>
      <c r="C309" t="s">
        <v>10</v>
      </c>
      <c r="D309" t="s">
        <v>25</v>
      </c>
      <c r="E309" s="4">
        <v>48052952</v>
      </c>
      <c r="F309">
        <v>51.09</v>
      </c>
      <c r="G309">
        <v>2.5499999999999998</v>
      </c>
      <c r="H309">
        <v>153.05000000000001</v>
      </c>
      <c r="I309">
        <v>4.99</v>
      </c>
      <c r="J309" s="5">
        <v>46060</v>
      </c>
      <c r="K309">
        <f t="shared" si="4"/>
        <v>26.95</v>
      </c>
      <c r="L309" t="str" cm="1">
        <f t="array" ref="L309">_xlfn.IFS(E309&gt;=52000000,"Platinum",E309&gt;=37000000,"Gold",E309&gt;=30000000,"Sliver",E309&lt;30000000,"Bronze")</f>
        <v>Gold</v>
      </c>
    </row>
    <row r="310" spans="1:12" x14ac:dyDescent="0.25">
      <c r="A310">
        <v>309</v>
      </c>
      <c r="B310" t="s">
        <v>330</v>
      </c>
      <c r="C310" t="s">
        <v>16</v>
      </c>
      <c r="D310" t="s">
        <v>32</v>
      </c>
      <c r="E310" s="4">
        <v>60555632</v>
      </c>
      <c r="F310">
        <v>39.909999999999997</v>
      </c>
      <c r="G310">
        <v>2.37</v>
      </c>
      <c r="H310">
        <v>142.44999999999999</v>
      </c>
      <c r="I310">
        <v>5.95</v>
      </c>
      <c r="J310" s="5">
        <v>46060</v>
      </c>
      <c r="K310">
        <f t="shared" si="4"/>
        <v>33.020000000000003</v>
      </c>
      <c r="L310" t="str" cm="1">
        <f t="array" ref="L310">_xlfn.IFS(E310&gt;=52000000,"Platinum",E310&gt;=37000000,"Gold",E310&gt;=30000000,"Sliver",E310&lt;30000000,"Bronze")</f>
        <v>Platinum</v>
      </c>
    </row>
    <row r="311" spans="1:12" x14ac:dyDescent="0.25">
      <c r="A311">
        <v>310</v>
      </c>
      <c r="B311" t="s">
        <v>331</v>
      </c>
      <c r="C311" t="s">
        <v>46</v>
      </c>
      <c r="D311" t="s">
        <v>32</v>
      </c>
      <c r="E311" s="4">
        <v>61028267</v>
      </c>
      <c r="F311" s="1">
        <f>CALCULATION!$C$11</f>
        <v>42.81</v>
      </c>
      <c r="G311" s="1">
        <v>3.84</v>
      </c>
      <c r="H311">
        <v>230.68</v>
      </c>
      <c r="I311">
        <v>8.0299999999999994</v>
      </c>
      <c r="J311" s="5">
        <v>46060</v>
      </c>
      <c r="K311">
        <f t="shared" si="4"/>
        <v>32.61</v>
      </c>
      <c r="L311" t="str" cm="1">
        <f t="array" ref="L311">_xlfn.IFS(E311&gt;=52000000,"Platinum",E311&gt;=37000000,"Gold",E311&gt;=30000000,"Sliver",E311&lt;30000000,"Bronze")</f>
        <v>Platinum</v>
      </c>
    </row>
    <row r="312" spans="1:12" x14ac:dyDescent="0.25">
      <c r="A312">
        <v>311</v>
      </c>
      <c r="B312" t="s">
        <v>332</v>
      </c>
      <c r="C312" t="s">
        <v>21</v>
      </c>
      <c r="D312" t="s">
        <v>32</v>
      </c>
      <c r="E312" s="4">
        <v>53267501</v>
      </c>
      <c r="F312" s="1">
        <f>CALCULATION!$C$11</f>
        <v>42.81</v>
      </c>
      <c r="G312" s="1">
        <v>1.02</v>
      </c>
      <c r="H312">
        <v>61.11</v>
      </c>
      <c r="I312">
        <v>2.1800000000000002</v>
      </c>
      <c r="J312" s="5">
        <v>46060</v>
      </c>
      <c r="K312">
        <f t="shared" si="4"/>
        <v>29.69</v>
      </c>
      <c r="L312" t="str" cm="1">
        <f t="array" ref="L312">_xlfn.IFS(E312&gt;=52000000,"Platinum",E312&gt;=37000000,"Gold",E312&gt;=30000000,"Sliver",E312&lt;30000000,"Bronze")</f>
        <v>Platinum</v>
      </c>
    </row>
    <row r="313" spans="1:12" x14ac:dyDescent="0.25">
      <c r="A313">
        <v>312</v>
      </c>
      <c r="B313" t="s">
        <v>333</v>
      </c>
      <c r="C313" t="s">
        <v>16</v>
      </c>
      <c r="D313" t="s">
        <v>22</v>
      </c>
      <c r="E313" s="4">
        <v>51453972</v>
      </c>
      <c r="F313">
        <v>35.69</v>
      </c>
      <c r="G313">
        <v>9.9</v>
      </c>
      <c r="H313">
        <v>594.11</v>
      </c>
      <c r="I313">
        <v>27.74</v>
      </c>
      <c r="J313" s="5">
        <v>46060</v>
      </c>
      <c r="K313">
        <f t="shared" si="4"/>
        <v>46.03</v>
      </c>
      <c r="L313" t="str" cm="1">
        <f t="array" ref="L313">_xlfn.IFS(E313&gt;=52000000,"Platinum",E313&gt;=37000000,"Gold",E313&gt;=30000000,"Sliver",E313&lt;30000000,"Bronze")</f>
        <v>Gold</v>
      </c>
    </row>
    <row r="314" spans="1:12" x14ac:dyDescent="0.25">
      <c r="A314">
        <v>313</v>
      </c>
      <c r="B314" t="s">
        <v>334</v>
      </c>
      <c r="C314" t="s">
        <v>46</v>
      </c>
      <c r="D314" t="s">
        <v>32</v>
      </c>
      <c r="E314" s="4">
        <v>61822564</v>
      </c>
      <c r="F314">
        <v>56.64</v>
      </c>
      <c r="G314">
        <v>9.0299999999999994</v>
      </c>
      <c r="H314">
        <v>542.03</v>
      </c>
      <c r="I314">
        <v>15.95</v>
      </c>
      <c r="J314" s="5">
        <v>46060</v>
      </c>
      <c r="K314">
        <f t="shared" si="4"/>
        <v>29.66</v>
      </c>
      <c r="L314" t="str" cm="1">
        <f t="array" ref="L314">_xlfn.IFS(E314&gt;=52000000,"Platinum",E314&gt;=37000000,"Gold",E314&gt;=30000000,"Sliver",E314&lt;30000000,"Bronze")</f>
        <v>Platinum</v>
      </c>
    </row>
    <row r="315" spans="1:12" x14ac:dyDescent="0.25">
      <c r="A315">
        <v>314</v>
      </c>
      <c r="B315" t="s">
        <v>335</v>
      </c>
      <c r="C315" t="s">
        <v>29</v>
      </c>
      <c r="D315" t="s">
        <v>22</v>
      </c>
      <c r="E315" s="4">
        <v>62294532</v>
      </c>
      <c r="F315">
        <v>52.86</v>
      </c>
      <c r="G315">
        <v>8.81</v>
      </c>
      <c r="H315">
        <v>528.39</v>
      </c>
      <c r="I315">
        <v>16.66</v>
      </c>
      <c r="J315" s="5">
        <v>46060</v>
      </c>
      <c r="K315">
        <f t="shared" si="4"/>
        <v>31.9</v>
      </c>
      <c r="L315" t="str" cm="1">
        <f t="array" ref="L315">_xlfn.IFS(E315&gt;=52000000,"Platinum",E315&gt;=37000000,"Gold",E315&gt;=30000000,"Sliver",E315&lt;30000000,"Bronze")</f>
        <v>Platinum</v>
      </c>
    </row>
    <row r="316" spans="1:12" x14ac:dyDescent="0.25">
      <c r="A316">
        <v>315</v>
      </c>
      <c r="B316" t="s">
        <v>336</v>
      </c>
      <c r="C316" t="s">
        <v>29</v>
      </c>
      <c r="D316" t="s">
        <v>13</v>
      </c>
      <c r="E316" s="4">
        <v>55942493</v>
      </c>
      <c r="F316">
        <v>52.92</v>
      </c>
      <c r="G316">
        <v>4.3899999999999997</v>
      </c>
      <c r="H316">
        <v>263.3</v>
      </c>
      <c r="I316">
        <v>8.2899999999999991</v>
      </c>
      <c r="J316" s="5">
        <v>46060</v>
      </c>
      <c r="K316">
        <f t="shared" si="4"/>
        <v>27.69</v>
      </c>
      <c r="L316" t="str" cm="1">
        <f t="array" ref="L316">_xlfn.IFS(E316&gt;=52000000,"Platinum",E316&gt;=37000000,"Gold",E316&gt;=30000000,"Sliver",E316&lt;30000000,"Bronze")</f>
        <v>Platinum</v>
      </c>
    </row>
    <row r="317" spans="1:12" x14ac:dyDescent="0.25">
      <c r="A317">
        <v>316</v>
      </c>
      <c r="B317" t="s">
        <v>337</v>
      </c>
      <c r="C317" t="s">
        <v>27</v>
      </c>
      <c r="D317" t="s">
        <v>11</v>
      </c>
      <c r="E317" s="4">
        <v>48055560</v>
      </c>
      <c r="F317">
        <v>23.77</v>
      </c>
      <c r="G317">
        <v>25.82</v>
      </c>
      <c r="H317">
        <v>1548.98</v>
      </c>
      <c r="I317">
        <v>108.61</v>
      </c>
      <c r="J317" s="5">
        <v>46060</v>
      </c>
      <c r="K317">
        <f t="shared" si="4"/>
        <v>92.42</v>
      </c>
      <c r="L317" t="str" cm="1">
        <f t="array" ref="L317">_xlfn.IFS(E317&gt;=52000000,"Platinum",E317&gt;=37000000,"Gold",E317&gt;=30000000,"Sliver",E317&lt;30000000,"Bronze")</f>
        <v>Gold</v>
      </c>
    </row>
    <row r="318" spans="1:12" x14ac:dyDescent="0.25">
      <c r="A318">
        <v>317</v>
      </c>
      <c r="B318" t="s">
        <v>338</v>
      </c>
      <c r="C318" t="s">
        <v>16</v>
      </c>
      <c r="D318" t="s">
        <v>17</v>
      </c>
      <c r="E318" s="4">
        <v>53563377</v>
      </c>
      <c r="F318" s="1">
        <f>CALCULATION!$C$11</f>
        <v>42.81</v>
      </c>
      <c r="G318" s="1">
        <v>2.08</v>
      </c>
      <c r="H318">
        <v>125.03</v>
      </c>
      <c r="I318">
        <v>3.7</v>
      </c>
      <c r="J318" s="5">
        <v>46060</v>
      </c>
      <c r="K318">
        <f t="shared" si="4"/>
        <v>30.45</v>
      </c>
      <c r="L318" t="str" cm="1">
        <f t="array" ref="L318">_xlfn.IFS(E318&gt;=52000000,"Platinum",E318&gt;=37000000,"Gold",E318&gt;=30000000,"Sliver",E318&lt;30000000,"Bronze")</f>
        <v>Platinum</v>
      </c>
    </row>
    <row r="319" spans="1:12" x14ac:dyDescent="0.25">
      <c r="A319">
        <v>318</v>
      </c>
      <c r="B319" t="s">
        <v>339</v>
      </c>
      <c r="C319" t="s">
        <v>10</v>
      </c>
      <c r="D319" t="s">
        <v>13</v>
      </c>
      <c r="E319" s="4">
        <v>59387882</v>
      </c>
      <c r="F319">
        <v>42.35</v>
      </c>
      <c r="G319">
        <v>4.3099999999999996</v>
      </c>
      <c r="H319">
        <v>258.61</v>
      </c>
      <c r="I319">
        <v>10.18</v>
      </c>
      <c r="J319" s="5">
        <v>46060</v>
      </c>
      <c r="K319">
        <f t="shared" si="4"/>
        <v>33.92</v>
      </c>
      <c r="L319" t="str" cm="1">
        <f t="array" ref="L319">_xlfn.IFS(E319&gt;=52000000,"Platinum",E319&gt;=37000000,"Gold",E319&gt;=30000000,"Sliver",E319&lt;30000000,"Bronze")</f>
        <v>Platinum</v>
      </c>
    </row>
    <row r="320" spans="1:12" x14ac:dyDescent="0.25">
      <c r="A320">
        <v>319</v>
      </c>
      <c r="B320" t="s">
        <v>340</v>
      </c>
      <c r="C320" t="s">
        <v>19</v>
      </c>
      <c r="D320" t="s">
        <v>11</v>
      </c>
      <c r="E320" s="4">
        <v>54241153</v>
      </c>
      <c r="F320">
        <v>44.16</v>
      </c>
      <c r="G320">
        <v>4.74</v>
      </c>
      <c r="H320">
        <v>284.41000000000003</v>
      </c>
      <c r="I320">
        <v>10.73</v>
      </c>
      <c r="J320" s="5">
        <v>46060</v>
      </c>
      <c r="K320">
        <f t="shared" si="4"/>
        <v>33.29</v>
      </c>
      <c r="L320" t="str" cm="1">
        <f t="array" ref="L320">_xlfn.IFS(E320&gt;=52000000,"Platinum",E320&gt;=37000000,"Gold",E320&gt;=30000000,"Sliver",E320&lt;30000000,"Bronze")</f>
        <v>Platinum</v>
      </c>
    </row>
    <row r="321" spans="1:12" x14ac:dyDescent="0.25">
      <c r="A321">
        <v>320</v>
      </c>
      <c r="B321" t="s">
        <v>341</v>
      </c>
      <c r="C321" t="s">
        <v>21</v>
      </c>
      <c r="D321" t="s">
        <v>11</v>
      </c>
      <c r="E321" s="4">
        <v>61281508</v>
      </c>
      <c r="F321">
        <v>43.69</v>
      </c>
      <c r="G321">
        <v>1.77</v>
      </c>
      <c r="H321">
        <v>106.17</v>
      </c>
      <c r="I321">
        <v>4.05</v>
      </c>
      <c r="J321" s="5">
        <v>46060</v>
      </c>
      <c r="K321">
        <f t="shared" si="4"/>
        <v>30.18</v>
      </c>
      <c r="L321" t="str" cm="1">
        <f t="array" ref="L321">_xlfn.IFS(E321&gt;=52000000,"Platinum",E321&gt;=37000000,"Gold",E321&gt;=30000000,"Sliver",E321&lt;30000000,"Bronze")</f>
        <v>Platinum</v>
      </c>
    </row>
    <row r="322" spans="1:12" x14ac:dyDescent="0.25">
      <c r="A322">
        <v>321</v>
      </c>
      <c r="B322" t="s">
        <v>342</v>
      </c>
      <c r="C322" t="s">
        <v>16</v>
      </c>
      <c r="D322" t="s">
        <v>13</v>
      </c>
      <c r="E322" s="4">
        <v>66892688</v>
      </c>
      <c r="F322">
        <v>59.59</v>
      </c>
      <c r="G322">
        <v>8.51</v>
      </c>
      <c r="H322">
        <v>510.4</v>
      </c>
      <c r="I322">
        <v>14.28</v>
      </c>
      <c r="J322" s="5">
        <v>46060</v>
      </c>
      <c r="K322">
        <f t="shared" si="4"/>
        <v>27.35</v>
      </c>
      <c r="L322" t="str" cm="1">
        <f t="array" ref="L322">_xlfn.IFS(E322&gt;=52000000,"Platinum",E322&gt;=37000000,"Gold",E322&gt;=30000000,"Sliver",E322&lt;30000000,"Bronze")</f>
        <v>Platinum</v>
      </c>
    </row>
    <row r="323" spans="1:12" x14ac:dyDescent="0.25">
      <c r="A323">
        <v>322</v>
      </c>
      <c r="B323" t="s">
        <v>343</v>
      </c>
      <c r="C323" t="s">
        <v>16</v>
      </c>
      <c r="D323" t="s">
        <v>32</v>
      </c>
      <c r="E323" s="4">
        <v>54386261</v>
      </c>
      <c r="F323">
        <v>48.95</v>
      </c>
      <c r="G323">
        <v>7.38</v>
      </c>
      <c r="H323">
        <v>442.88</v>
      </c>
      <c r="I323">
        <v>15.08</v>
      </c>
      <c r="J323" s="5">
        <v>46060</v>
      </c>
      <c r="K323">
        <f t="shared" ref="K323:K386" si="5">ROUND((100-F323)*0.5 + I323*0.5,2)</f>
        <v>33.07</v>
      </c>
      <c r="L323" t="str" cm="1">
        <f t="array" ref="L323">_xlfn.IFS(E323&gt;=52000000,"Platinum",E323&gt;=37000000,"Gold",E323&gt;=30000000,"Sliver",E323&lt;30000000,"Bronze")</f>
        <v>Platinum</v>
      </c>
    </row>
    <row r="324" spans="1:12" x14ac:dyDescent="0.25">
      <c r="A324">
        <v>323</v>
      </c>
      <c r="B324" t="s">
        <v>344</v>
      </c>
      <c r="C324" t="s">
        <v>27</v>
      </c>
      <c r="D324" s="1" t="s">
        <v>32</v>
      </c>
      <c r="E324" s="4">
        <v>48691617</v>
      </c>
      <c r="F324">
        <v>29.24</v>
      </c>
      <c r="G324">
        <v>19.420000000000002</v>
      </c>
      <c r="H324">
        <v>1165.1199999999999</v>
      </c>
      <c r="I324">
        <v>66.41</v>
      </c>
      <c r="J324" s="5">
        <v>46060</v>
      </c>
      <c r="K324">
        <f t="shared" si="5"/>
        <v>68.59</v>
      </c>
      <c r="L324" t="str" cm="1">
        <f t="array" ref="L324">_xlfn.IFS(E324&gt;=52000000,"Platinum",E324&gt;=37000000,"Gold",E324&gt;=30000000,"Sliver",E324&lt;30000000,"Bronze")</f>
        <v>Gold</v>
      </c>
    </row>
    <row r="325" spans="1:12" x14ac:dyDescent="0.25">
      <c r="A325">
        <v>324</v>
      </c>
      <c r="B325" t="s">
        <v>345</v>
      </c>
      <c r="C325" t="s">
        <v>27</v>
      </c>
      <c r="D325" t="s">
        <v>13</v>
      </c>
      <c r="E325" s="4">
        <v>53480492</v>
      </c>
      <c r="F325">
        <v>27.81</v>
      </c>
      <c r="G325">
        <v>34.65</v>
      </c>
      <c r="H325">
        <v>2078.9299999999998</v>
      </c>
      <c r="I325">
        <v>124.59</v>
      </c>
      <c r="J325" s="5">
        <v>46060</v>
      </c>
      <c r="K325">
        <f t="shared" si="5"/>
        <v>98.39</v>
      </c>
      <c r="L325" t="str" cm="1">
        <f t="array" ref="L325">_xlfn.IFS(E325&gt;=52000000,"Platinum",E325&gt;=37000000,"Gold",E325&gt;=30000000,"Sliver",E325&lt;30000000,"Bronze")</f>
        <v>Platinum</v>
      </c>
    </row>
    <row r="326" spans="1:12" x14ac:dyDescent="0.25">
      <c r="A326">
        <v>325</v>
      </c>
      <c r="B326" t="s">
        <v>346</v>
      </c>
      <c r="C326" t="s">
        <v>27</v>
      </c>
      <c r="D326" t="s">
        <v>17</v>
      </c>
      <c r="E326" s="4">
        <v>64424981</v>
      </c>
      <c r="F326">
        <v>19.559999999999999</v>
      </c>
      <c r="G326">
        <v>38.04</v>
      </c>
      <c r="H326">
        <v>2282.44</v>
      </c>
      <c r="I326">
        <v>194.48</v>
      </c>
      <c r="J326" s="5">
        <v>46060</v>
      </c>
      <c r="K326">
        <f t="shared" si="5"/>
        <v>137.46</v>
      </c>
      <c r="L326" t="str" cm="1">
        <f t="array" ref="L326">_xlfn.IFS(E326&gt;=52000000,"Platinum",E326&gt;=37000000,"Gold",E326&gt;=30000000,"Sliver",E326&lt;30000000,"Bronze")</f>
        <v>Platinum</v>
      </c>
    </row>
    <row r="327" spans="1:12" x14ac:dyDescent="0.25">
      <c r="A327">
        <v>326</v>
      </c>
      <c r="B327" t="s">
        <v>347</v>
      </c>
      <c r="C327" t="s">
        <v>46</v>
      </c>
      <c r="D327" t="s">
        <v>11</v>
      </c>
      <c r="E327" s="4">
        <v>62685106</v>
      </c>
      <c r="F327">
        <v>53.01</v>
      </c>
      <c r="G327">
        <v>3.78</v>
      </c>
      <c r="H327">
        <v>226.75</v>
      </c>
      <c r="I327">
        <v>7.13</v>
      </c>
      <c r="J327" s="5">
        <v>46060</v>
      </c>
      <c r="K327">
        <f t="shared" si="5"/>
        <v>27.06</v>
      </c>
      <c r="L327" t="str" cm="1">
        <f t="array" ref="L327">_xlfn.IFS(E327&gt;=52000000,"Platinum",E327&gt;=37000000,"Gold",E327&gt;=30000000,"Sliver",E327&lt;30000000,"Bronze")</f>
        <v>Platinum</v>
      </c>
    </row>
    <row r="328" spans="1:12" x14ac:dyDescent="0.25">
      <c r="A328">
        <v>327</v>
      </c>
      <c r="B328" t="s">
        <v>348</v>
      </c>
      <c r="C328" t="s">
        <v>16</v>
      </c>
      <c r="D328" t="s">
        <v>11</v>
      </c>
      <c r="E328" s="4">
        <v>66214806</v>
      </c>
      <c r="F328">
        <v>38.72</v>
      </c>
      <c r="G328">
        <v>5.72</v>
      </c>
      <c r="H328" s="1">
        <f>CALCULATION!$D$11</f>
        <v>343.315</v>
      </c>
      <c r="I328">
        <v>23.48</v>
      </c>
      <c r="J328" s="5">
        <v>46060</v>
      </c>
      <c r="K328">
        <f t="shared" si="5"/>
        <v>42.38</v>
      </c>
      <c r="L328" t="str" cm="1">
        <f t="array" ref="L328">_xlfn.IFS(E328&gt;=52000000,"Platinum",E328&gt;=37000000,"Gold",E328&gt;=30000000,"Sliver",E328&lt;30000000,"Bronze")</f>
        <v>Platinum</v>
      </c>
    </row>
    <row r="329" spans="1:12" x14ac:dyDescent="0.25">
      <c r="A329">
        <v>328</v>
      </c>
      <c r="B329" t="s">
        <v>349</v>
      </c>
      <c r="C329" t="s">
        <v>19</v>
      </c>
      <c r="D329" t="s">
        <v>17</v>
      </c>
      <c r="E329" s="4">
        <v>49299881</v>
      </c>
      <c r="F329">
        <v>45.89</v>
      </c>
      <c r="G329">
        <v>7.91</v>
      </c>
      <c r="H329">
        <v>474.38</v>
      </c>
      <c r="I329">
        <v>17.23</v>
      </c>
      <c r="J329" s="5">
        <v>46060</v>
      </c>
      <c r="K329">
        <f t="shared" si="5"/>
        <v>35.67</v>
      </c>
      <c r="L329" t="str" cm="1">
        <f t="array" ref="L329">_xlfn.IFS(E329&gt;=52000000,"Platinum",E329&gt;=37000000,"Gold",E329&gt;=30000000,"Sliver",E329&lt;30000000,"Bronze")</f>
        <v>Gold</v>
      </c>
    </row>
    <row r="330" spans="1:12" x14ac:dyDescent="0.25">
      <c r="A330">
        <v>329</v>
      </c>
      <c r="B330" t="s">
        <v>350</v>
      </c>
      <c r="C330" t="s">
        <v>27</v>
      </c>
      <c r="D330" t="s">
        <v>11</v>
      </c>
      <c r="E330" s="4">
        <v>50990869</v>
      </c>
      <c r="F330">
        <v>22.38</v>
      </c>
      <c r="G330">
        <v>24.6</v>
      </c>
      <c r="H330">
        <v>1475.72</v>
      </c>
      <c r="I330">
        <v>109.9</v>
      </c>
      <c r="J330" s="5">
        <v>46060</v>
      </c>
      <c r="K330">
        <f t="shared" si="5"/>
        <v>93.76</v>
      </c>
      <c r="L330" t="str" cm="1">
        <f t="array" ref="L330">_xlfn.IFS(E330&gt;=52000000,"Platinum",E330&gt;=37000000,"Gold",E330&gt;=30000000,"Sliver",E330&lt;30000000,"Bronze")</f>
        <v>Gold</v>
      </c>
    </row>
    <row r="331" spans="1:12" x14ac:dyDescent="0.25">
      <c r="A331">
        <v>330</v>
      </c>
      <c r="B331" t="s">
        <v>351</v>
      </c>
      <c r="C331" t="s">
        <v>21</v>
      </c>
      <c r="D331" t="s">
        <v>11</v>
      </c>
      <c r="E331" s="4">
        <v>60836729</v>
      </c>
      <c r="F331">
        <v>49.39</v>
      </c>
      <c r="G331">
        <v>1.17</v>
      </c>
      <c r="H331">
        <v>70.25</v>
      </c>
      <c r="I331">
        <v>2.37</v>
      </c>
      <c r="J331" s="5">
        <v>46060</v>
      </c>
      <c r="K331">
        <f t="shared" si="5"/>
        <v>26.49</v>
      </c>
      <c r="L331" t="str" cm="1">
        <f t="array" ref="L331">_xlfn.IFS(E331&gt;=52000000,"Platinum",E331&gt;=37000000,"Gold",E331&gt;=30000000,"Sliver",E331&lt;30000000,"Bronze")</f>
        <v>Platinum</v>
      </c>
    </row>
    <row r="332" spans="1:12" x14ac:dyDescent="0.25">
      <c r="A332">
        <v>331</v>
      </c>
      <c r="B332" t="s">
        <v>352</v>
      </c>
      <c r="C332" t="s">
        <v>21</v>
      </c>
      <c r="D332" t="s">
        <v>25</v>
      </c>
      <c r="E332" s="4">
        <v>48105270</v>
      </c>
      <c r="F332">
        <v>37.58</v>
      </c>
      <c r="G332">
        <v>1.9</v>
      </c>
      <c r="H332">
        <v>114.03</v>
      </c>
      <c r="I332">
        <v>5.0599999999999996</v>
      </c>
      <c r="J332" s="5">
        <v>46060</v>
      </c>
      <c r="K332">
        <f t="shared" si="5"/>
        <v>33.74</v>
      </c>
      <c r="L332" t="str" cm="1">
        <f t="array" ref="L332">_xlfn.IFS(E332&gt;=52000000,"Platinum",E332&gt;=37000000,"Gold",E332&gt;=30000000,"Sliver",E332&lt;30000000,"Bronze")</f>
        <v>Gold</v>
      </c>
    </row>
    <row r="333" spans="1:12" x14ac:dyDescent="0.25">
      <c r="A333">
        <v>332</v>
      </c>
      <c r="B333" t="s">
        <v>353</v>
      </c>
      <c r="C333" t="s">
        <v>19</v>
      </c>
      <c r="D333" t="s">
        <v>17</v>
      </c>
      <c r="E333" s="4">
        <v>55751014</v>
      </c>
      <c r="F333">
        <v>56.57</v>
      </c>
      <c r="G333">
        <v>5.39</v>
      </c>
      <c r="H333">
        <v>323.49</v>
      </c>
      <c r="I333">
        <v>9.5299999999999994</v>
      </c>
      <c r="J333" s="5">
        <v>46060</v>
      </c>
      <c r="K333">
        <f t="shared" si="5"/>
        <v>26.48</v>
      </c>
      <c r="L333" t="str" cm="1">
        <f t="array" ref="L333">_xlfn.IFS(E333&gt;=52000000,"Platinum",E333&gt;=37000000,"Gold",E333&gt;=30000000,"Sliver",E333&lt;30000000,"Bronze")</f>
        <v>Platinum</v>
      </c>
    </row>
    <row r="334" spans="1:12" x14ac:dyDescent="0.25">
      <c r="A334">
        <v>333</v>
      </c>
      <c r="B334" t="s">
        <v>354</v>
      </c>
      <c r="C334" t="s">
        <v>21</v>
      </c>
      <c r="D334" t="s">
        <v>17</v>
      </c>
      <c r="E334" s="4">
        <v>57199981</v>
      </c>
      <c r="F334">
        <v>40.56</v>
      </c>
      <c r="G334">
        <v>5.72</v>
      </c>
      <c r="H334" s="1">
        <f>CALCULATION!$D$11</f>
        <v>343.315</v>
      </c>
      <c r="I334">
        <v>3.1</v>
      </c>
      <c r="J334" s="5">
        <v>46060</v>
      </c>
      <c r="K334">
        <f t="shared" si="5"/>
        <v>31.27</v>
      </c>
      <c r="L334" t="str" cm="1">
        <f t="array" ref="L334">_xlfn.IFS(E334&gt;=52000000,"Platinum",E334&gt;=37000000,"Gold",E334&gt;=30000000,"Sliver",E334&lt;30000000,"Bronze")</f>
        <v>Platinum</v>
      </c>
    </row>
    <row r="335" spans="1:12" x14ac:dyDescent="0.25">
      <c r="A335">
        <v>334</v>
      </c>
      <c r="B335" t="s">
        <v>355</v>
      </c>
      <c r="C335" t="s">
        <v>16</v>
      </c>
      <c r="D335" t="s">
        <v>25</v>
      </c>
      <c r="E335" s="4">
        <v>49450659</v>
      </c>
      <c r="F335">
        <v>30.67</v>
      </c>
      <c r="G335">
        <v>9.77</v>
      </c>
      <c r="H335">
        <v>585.95000000000005</v>
      </c>
      <c r="I335">
        <v>31.84</v>
      </c>
      <c r="J335" s="5">
        <v>46060</v>
      </c>
      <c r="K335">
        <f t="shared" si="5"/>
        <v>50.59</v>
      </c>
      <c r="L335" t="str" cm="1">
        <f t="array" ref="L335">_xlfn.IFS(E335&gt;=52000000,"Platinum",E335&gt;=37000000,"Gold",E335&gt;=30000000,"Sliver",E335&lt;30000000,"Bronze")</f>
        <v>Gold</v>
      </c>
    </row>
    <row r="336" spans="1:12" x14ac:dyDescent="0.25">
      <c r="A336">
        <v>335</v>
      </c>
      <c r="B336" t="s">
        <v>356</v>
      </c>
      <c r="C336" t="s">
        <v>27</v>
      </c>
      <c r="D336" t="s">
        <v>32</v>
      </c>
      <c r="E336" s="4">
        <v>54223967</v>
      </c>
      <c r="F336">
        <v>18.02</v>
      </c>
      <c r="G336">
        <v>24.15</v>
      </c>
      <c r="H336">
        <v>1449.16</v>
      </c>
      <c r="I336">
        <v>134.03</v>
      </c>
      <c r="J336" s="5">
        <v>46060</v>
      </c>
      <c r="K336">
        <f t="shared" si="5"/>
        <v>108.01</v>
      </c>
      <c r="L336" t="str" cm="1">
        <f t="array" ref="L336">_xlfn.IFS(E336&gt;=52000000,"Platinum",E336&gt;=37000000,"Gold",E336&gt;=30000000,"Sliver",E336&lt;30000000,"Bronze")</f>
        <v>Platinum</v>
      </c>
    </row>
    <row r="337" spans="1:12" x14ac:dyDescent="0.25">
      <c r="A337">
        <v>336</v>
      </c>
      <c r="B337" t="s">
        <v>357</v>
      </c>
      <c r="C337" t="s">
        <v>29</v>
      </c>
      <c r="D337" t="s">
        <v>17</v>
      </c>
      <c r="E337" s="4">
        <v>57327763</v>
      </c>
      <c r="F337">
        <v>56.24</v>
      </c>
      <c r="G337">
        <v>6.1</v>
      </c>
      <c r="H337">
        <v>366.07</v>
      </c>
      <c r="I337">
        <v>10.85</v>
      </c>
      <c r="J337" s="5">
        <v>46060</v>
      </c>
      <c r="K337">
        <f t="shared" si="5"/>
        <v>27.31</v>
      </c>
      <c r="L337" t="str" cm="1">
        <f t="array" ref="L337">_xlfn.IFS(E337&gt;=52000000,"Platinum",E337&gt;=37000000,"Gold",E337&gt;=30000000,"Sliver",E337&lt;30000000,"Bronze")</f>
        <v>Platinum</v>
      </c>
    </row>
    <row r="338" spans="1:12" x14ac:dyDescent="0.25">
      <c r="A338">
        <v>337</v>
      </c>
      <c r="B338" t="s">
        <v>358</v>
      </c>
      <c r="C338" t="s">
        <v>27</v>
      </c>
      <c r="D338" t="s">
        <v>13</v>
      </c>
      <c r="E338" s="4">
        <v>58397144</v>
      </c>
      <c r="F338">
        <v>20.9</v>
      </c>
      <c r="G338">
        <v>26.92</v>
      </c>
      <c r="H338">
        <v>1614.94</v>
      </c>
      <c r="I338">
        <v>128.78</v>
      </c>
      <c r="J338" s="5">
        <v>46060</v>
      </c>
      <c r="K338">
        <f t="shared" si="5"/>
        <v>103.94</v>
      </c>
      <c r="L338" t="str" cm="1">
        <f t="array" ref="L338">_xlfn.IFS(E338&gt;=52000000,"Platinum",E338&gt;=37000000,"Gold",E338&gt;=30000000,"Sliver",E338&lt;30000000,"Bronze")</f>
        <v>Platinum</v>
      </c>
    </row>
    <row r="339" spans="1:12" x14ac:dyDescent="0.25">
      <c r="A339">
        <v>338</v>
      </c>
      <c r="B339" t="s">
        <v>359</v>
      </c>
      <c r="C339" t="s">
        <v>10</v>
      </c>
      <c r="D339" t="s">
        <v>17</v>
      </c>
      <c r="E339" s="4">
        <v>55656649</v>
      </c>
      <c r="F339">
        <v>45.6</v>
      </c>
      <c r="G339">
        <v>2.2999999999999998</v>
      </c>
      <c r="H339">
        <v>137.77000000000001</v>
      </c>
      <c r="I339">
        <v>5.04</v>
      </c>
      <c r="J339" s="5">
        <v>46060</v>
      </c>
      <c r="K339">
        <f t="shared" si="5"/>
        <v>29.72</v>
      </c>
      <c r="L339" t="str" cm="1">
        <f t="array" ref="L339">_xlfn.IFS(E339&gt;=52000000,"Platinum",E339&gt;=37000000,"Gold",E339&gt;=30000000,"Sliver",E339&lt;30000000,"Bronze")</f>
        <v>Platinum</v>
      </c>
    </row>
    <row r="340" spans="1:12" x14ac:dyDescent="0.25">
      <c r="A340">
        <v>339</v>
      </c>
      <c r="B340" t="s">
        <v>360</v>
      </c>
      <c r="C340" t="s">
        <v>21</v>
      </c>
      <c r="D340" t="s">
        <v>25</v>
      </c>
      <c r="E340" s="4">
        <v>56173590</v>
      </c>
      <c r="F340">
        <v>43.48</v>
      </c>
      <c r="G340">
        <v>1.34</v>
      </c>
      <c r="H340">
        <v>80.680000000000007</v>
      </c>
      <c r="I340">
        <v>3.09</v>
      </c>
      <c r="J340" s="5">
        <v>46060</v>
      </c>
      <c r="K340">
        <f t="shared" si="5"/>
        <v>29.81</v>
      </c>
      <c r="L340" t="str" cm="1">
        <f t="array" ref="L340">_xlfn.IFS(E340&gt;=52000000,"Platinum",E340&gt;=37000000,"Gold",E340&gt;=30000000,"Sliver",E340&lt;30000000,"Bronze")</f>
        <v>Platinum</v>
      </c>
    </row>
    <row r="341" spans="1:12" x14ac:dyDescent="0.25">
      <c r="A341">
        <v>340</v>
      </c>
      <c r="B341" t="s">
        <v>361</v>
      </c>
      <c r="C341" t="s">
        <v>10</v>
      </c>
      <c r="D341" t="s">
        <v>22</v>
      </c>
      <c r="E341" s="4">
        <v>58099623</v>
      </c>
      <c r="F341" s="1">
        <f>CALCULATION!$C$11</f>
        <v>42.81</v>
      </c>
      <c r="G341" s="1">
        <v>5.88</v>
      </c>
      <c r="H341">
        <v>352.68</v>
      </c>
      <c r="I341">
        <v>17.86</v>
      </c>
      <c r="J341" s="5">
        <v>46060</v>
      </c>
      <c r="K341">
        <f t="shared" si="5"/>
        <v>37.53</v>
      </c>
      <c r="L341" t="str" cm="1">
        <f t="array" ref="L341">_xlfn.IFS(E341&gt;=52000000,"Platinum",E341&gt;=37000000,"Gold",E341&gt;=30000000,"Sliver",E341&lt;30000000,"Bronze")</f>
        <v>Platinum</v>
      </c>
    </row>
    <row r="342" spans="1:12" x14ac:dyDescent="0.25">
      <c r="A342">
        <v>341</v>
      </c>
      <c r="B342" t="s">
        <v>362</v>
      </c>
      <c r="C342" t="s">
        <v>46</v>
      </c>
      <c r="D342" t="s">
        <v>13</v>
      </c>
      <c r="E342" s="4">
        <v>64363276</v>
      </c>
      <c r="F342">
        <v>36.31</v>
      </c>
      <c r="G342">
        <v>8.76</v>
      </c>
      <c r="H342">
        <v>525.75</v>
      </c>
      <c r="I342">
        <v>24.13</v>
      </c>
      <c r="J342" s="5">
        <v>46060</v>
      </c>
      <c r="K342">
        <f t="shared" si="5"/>
        <v>43.91</v>
      </c>
      <c r="L342" t="str" cm="1">
        <f t="array" ref="L342">_xlfn.IFS(E342&gt;=52000000,"Platinum",E342&gt;=37000000,"Gold",E342&gt;=30000000,"Sliver",E342&lt;30000000,"Bronze")</f>
        <v>Platinum</v>
      </c>
    </row>
    <row r="343" spans="1:12" x14ac:dyDescent="0.25">
      <c r="A343">
        <v>342</v>
      </c>
      <c r="B343" t="s">
        <v>363</v>
      </c>
      <c r="C343" t="s">
        <v>21</v>
      </c>
      <c r="D343" t="s">
        <v>11</v>
      </c>
      <c r="E343" s="4">
        <v>58121828</v>
      </c>
      <c r="F343">
        <v>38.840000000000003</v>
      </c>
      <c r="G343">
        <v>1.34</v>
      </c>
      <c r="H343">
        <v>80.55</v>
      </c>
      <c r="I343">
        <v>3.46</v>
      </c>
      <c r="J343" s="5">
        <v>46060</v>
      </c>
      <c r="K343">
        <f t="shared" si="5"/>
        <v>32.31</v>
      </c>
      <c r="L343" t="str" cm="1">
        <f t="array" ref="L343">_xlfn.IFS(E343&gt;=52000000,"Platinum",E343&gt;=37000000,"Gold",E343&gt;=30000000,"Sliver",E343&lt;30000000,"Bronze")</f>
        <v>Platinum</v>
      </c>
    </row>
    <row r="344" spans="1:12" x14ac:dyDescent="0.25">
      <c r="A344">
        <v>343</v>
      </c>
      <c r="B344" t="s">
        <v>364</v>
      </c>
      <c r="C344" t="s">
        <v>21</v>
      </c>
      <c r="D344" t="s">
        <v>13</v>
      </c>
      <c r="E344" s="4">
        <v>47339109</v>
      </c>
      <c r="F344">
        <v>45.98</v>
      </c>
      <c r="G344">
        <v>2.85</v>
      </c>
      <c r="H344">
        <v>171.23</v>
      </c>
      <c r="I344">
        <v>6.21</v>
      </c>
      <c r="J344" s="5">
        <v>46060</v>
      </c>
      <c r="K344">
        <f t="shared" si="5"/>
        <v>30.12</v>
      </c>
      <c r="L344" t="str" cm="1">
        <f t="array" ref="L344">_xlfn.IFS(E344&gt;=52000000,"Platinum",E344&gt;=37000000,"Gold",E344&gt;=30000000,"Sliver",E344&lt;30000000,"Bronze")</f>
        <v>Gold</v>
      </c>
    </row>
    <row r="345" spans="1:12" x14ac:dyDescent="0.25">
      <c r="A345">
        <v>344</v>
      </c>
      <c r="B345" t="s">
        <v>365</v>
      </c>
      <c r="C345" t="s">
        <v>27</v>
      </c>
      <c r="D345" t="s">
        <v>25</v>
      </c>
      <c r="E345" s="4">
        <v>47054183</v>
      </c>
      <c r="F345">
        <v>26.06</v>
      </c>
      <c r="G345">
        <v>17.559999999999999</v>
      </c>
      <c r="H345">
        <v>1053.3800000000001</v>
      </c>
      <c r="I345">
        <v>67.37</v>
      </c>
      <c r="J345" s="5">
        <v>46060</v>
      </c>
      <c r="K345">
        <f t="shared" si="5"/>
        <v>70.66</v>
      </c>
      <c r="L345" t="str" cm="1">
        <f t="array" ref="L345">_xlfn.IFS(E345&gt;=52000000,"Platinum",E345&gt;=37000000,"Gold",E345&gt;=30000000,"Sliver",E345&lt;30000000,"Bronze")</f>
        <v>Gold</v>
      </c>
    </row>
    <row r="346" spans="1:12" x14ac:dyDescent="0.25">
      <c r="A346">
        <v>345</v>
      </c>
      <c r="B346" t="s">
        <v>366</v>
      </c>
      <c r="C346" t="s">
        <v>21</v>
      </c>
      <c r="D346" t="s">
        <v>22</v>
      </c>
      <c r="E346" s="4">
        <v>49070889</v>
      </c>
      <c r="F346">
        <v>37.58</v>
      </c>
      <c r="G346">
        <v>1.94</v>
      </c>
      <c r="H346">
        <v>116.54</v>
      </c>
      <c r="I346">
        <v>5.17</v>
      </c>
      <c r="J346" s="5">
        <v>46060</v>
      </c>
      <c r="K346">
        <f t="shared" si="5"/>
        <v>33.799999999999997</v>
      </c>
      <c r="L346" t="str" cm="1">
        <f t="array" ref="L346">_xlfn.IFS(E346&gt;=52000000,"Platinum",E346&gt;=37000000,"Gold",E346&gt;=30000000,"Sliver",E346&lt;30000000,"Bronze")</f>
        <v>Gold</v>
      </c>
    </row>
    <row r="347" spans="1:12" x14ac:dyDescent="0.25">
      <c r="A347">
        <v>346</v>
      </c>
      <c r="B347" t="s">
        <v>367</v>
      </c>
      <c r="C347" t="s">
        <v>29</v>
      </c>
      <c r="D347" t="s">
        <v>22</v>
      </c>
      <c r="E347" s="4">
        <v>46747987</v>
      </c>
      <c r="F347">
        <v>36.380000000000003</v>
      </c>
      <c r="G347">
        <v>9.48</v>
      </c>
      <c r="H347">
        <v>568.82000000000005</v>
      </c>
      <c r="I347">
        <v>26.06</v>
      </c>
      <c r="J347" s="5">
        <v>46060</v>
      </c>
      <c r="K347">
        <f t="shared" si="5"/>
        <v>44.84</v>
      </c>
      <c r="L347" t="str" cm="1">
        <f t="array" ref="L347">_xlfn.IFS(E347&gt;=52000000,"Platinum",E347&gt;=37000000,"Gold",E347&gt;=30000000,"Sliver",E347&lt;30000000,"Bronze")</f>
        <v>Gold</v>
      </c>
    </row>
    <row r="348" spans="1:12" x14ac:dyDescent="0.25">
      <c r="A348">
        <v>347</v>
      </c>
      <c r="B348" t="s">
        <v>368</v>
      </c>
      <c r="C348" t="s">
        <v>27</v>
      </c>
      <c r="D348" t="s">
        <v>13</v>
      </c>
      <c r="E348" s="4">
        <v>43150388</v>
      </c>
      <c r="F348">
        <v>29.87</v>
      </c>
      <c r="G348">
        <v>5.72</v>
      </c>
      <c r="H348" s="1">
        <f>CALCULATION!$D$11</f>
        <v>343.315</v>
      </c>
      <c r="I348">
        <v>87.83</v>
      </c>
      <c r="J348" s="5">
        <v>46060</v>
      </c>
      <c r="K348">
        <f t="shared" si="5"/>
        <v>78.98</v>
      </c>
      <c r="L348" t="str" cm="1">
        <f t="array" ref="L348">_xlfn.IFS(E348&gt;=52000000,"Platinum",E348&gt;=37000000,"Gold",E348&gt;=30000000,"Sliver",E348&lt;30000000,"Bronze")</f>
        <v>Gold</v>
      </c>
    </row>
    <row r="349" spans="1:12" x14ac:dyDescent="0.25">
      <c r="A349">
        <v>348</v>
      </c>
      <c r="B349" t="s">
        <v>369</v>
      </c>
      <c r="C349" t="s">
        <v>16</v>
      </c>
      <c r="D349" t="s">
        <v>13</v>
      </c>
      <c r="E349" s="4">
        <v>47756975</v>
      </c>
      <c r="F349">
        <v>52.7</v>
      </c>
      <c r="G349">
        <v>4.7300000000000004</v>
      </c>
      <c r="H349">
        <v>283.86</v>
      </c>
      <c r="I349">
        <v>8.98</v>
      </c>
      <c r="J349" s="5">
        <v>46060</v>
      </c>
      <c r="K349">
        <f t="shared" si="5"/>
        <v>28.14</v>
      </c>
      <c r="L349" t="str" cm="1">
        <f t="array" ref="L349">_xlfn.IFS(E349&gt;=52000000,"Platinum",E349&gt;=37000000,"Gold",E349&gt;=30000000,"Sliver",E349&lt;30000000,"Bronze")</f>
        <v>Gold</v>
      </c>
    </row>
    <row r="350" spans="1:12" x14ac:dyDescent="0.25">
      <c r="A350">
        <v>349</v>
      </c>
      <c r="B350" t="s">
        <v>370</v>
      </c>
      <c r="C350" t="s">
        <v>29</v>
      </c>
      <c r="D350" t="s">
        <v>32</v>
      </c>
      <c r="E350" s="4">
        <v>43720623</v>
      </c>
      <c r="F350">
        <v>33.340000000000003</v>
      </c>
      <c r="G350">
        <v>9.92</v>
      </c>
      <c r="H350">
        <v>595.1</v>
      </c>
      <c r="I350">
        <v>29.75</v>
      </c>
      <c r="J350" s="5">
        <v>46060</v>
      </c>
      <c r="K350">
        <f t="shared" si="5"/>
        <v>48.21</v>
      </c>
      <c r="L350" t="str" cm="1">
        <f t="array" ref="L350">_xlfn.IFS(E350&gt;=52000000,"Platinum",E350&gt;=37000000,"Gold",E350&gt;=30000000,"Sliver",E350&lt;30000000,"Bronze")</f>
        <v>Gold</v>
      </c>
    </row>
    <row r="351" spans="1:12" x14ac:dyDescent="0.25">
      <c r="A351">
        <v>350</v>
      </c>
      <c r="B351" t="s">
        <v>371</v>
      </c>
      <c r="C351" t="s">
        <v>21</v>
      </c>
      <c r="D351" t="s">
        <v>25</v>
      </c>
      <c r="E351" s="4">
        <v>50060923</v>
      </c>
      <c r="F351">
        <v>36.229999999999997</v>
      </c>
      <c r="G351">
        <v>1.79</v>
      </c>
      <c r="H351">
        <v>107.31</v>
      </c>
      <c r="I351">
        <v>4.9400000000000004</v>
      </c>
      <c r="J351" s="5">
        <v>46060</v>
      </c>
      <c r="K351">
        <f t="shared" si="5"/>
        <v>34.36</v>
      </c>
      <c r="L351" t="str" cm="1">
        <f t="array" ref="L351">_xlfn.IFS(E351&gt;=52000000,"Platinum",E351&gt;=37000000,"Gold",E351&gt;=30000000,"Sliver",E351&lt;30000000,"Bronze")</f>
        <v>Gold</v>
      </c>
    </row>
    <row r="352" spans="1:12" x14ac:dyDescent="0.25">
      <c r="A352">
        <v>351</v>
      </c>
      <c r="B352" t="s">
        <v>372</v>
      </c>
      <c r="C352" s="1" t="s">
        <v>21</v>
      </c>
      <c r="D352" t="s">
        <v>13</v>
      </c>
      <c r="E352" s="4">
        <v>44976197</v>
      </c>
      <c r="F352">
        <v>40.4</v>
      </c>
      <c r="G352">
        <v>2.4300000000000002</v>
      </c>
      <c r="H352">
        <v>145.88999999999999</v>
      </c>
      <c r="I352">
        <v>6.02</v>
      </c>
      <c r="J352" s="5">
        <v>46060</v>
      </c>
      <c r="K352">
        <f t="shared" si="5"/>
        <v>32.81</v>
      </c>
      <c r="L352" t="str" cm="1">
        <f t="array" ref="L352">_xlfn.IFS(E352&gt;=52000000,"Platinum",E352&gt;=37000000,"Gold",E352&gt;=30000000,"Sliver",E352&lt;30000000,"Bronze")</f>
        <v>Gold</v>
      </c>
    </row>
    <row r="353" spans="1:12" x14ac:dyDescent="0.25">
      <c r="A353">
        <v>352</v>
      </c>
      <c r="B353" t="s">
        <v>373</v>
      </c>
      <c r="C353" t="s">
        <v>21</v>
      </c>
      <c r="D353" t="s">
        <v>25</v>
      </c>
      <c r="E353" s="4">
        <v>51664813</v>
      </c>
      <c r="F353">
        <v>44.43</v>
      </c>
      <c r="G353">
        <v>2.04</v>
      </c>
      <c r="H353">
        <v>122.54</v>
      </c>
      <c r="I353">
        <v>4.5999999999999996</v>
      </c>
      <c r="J353" s="5">
        <v>46060</v>
      </c>
      <c r="K353">
        <f t="shared" si="5"/>
        <v>30.09</v>
      </c>
      <c r="L353" t="str" cm="1">
        <f t="array" ref="L353">_xlfn.IFS(E353&gt;=52000000,"Platinum",E353&gt;=37000000,"Gold",E353&gt;=30000000,"Sliver",E353&lt;30000000,"Bronze")</f>
        <v>Gold</v>
      </c>
    </row>
    <row r="354" spans="1:12" x14ac:dyDescent="0.25">
      <c r="A354">
        <v>353</v>
      </c>
      <c r="B354" t="s">
        <v>374</v>
      </c>
      <c r="C354" t="s">
        <v>29</v>
      </c>
      <c r="D354" t="s">
        <v>25</v>
      </c>
      <c r="E354" s="4">
        <v>53115376</v>
      </c>
      <c r="F354">
        <v>45.03</v>
      </c>
      <c r="G354">
        <v>8.8699999999999992</v>
      </c>
      <c r="H354">
        <v>532.29999999999995</v>
      </c>
      <c r="I354">
        <v>19.7</v>
      </c>
      <c r="J354" s="5">
        <v>46060</v>
      </c>
      <c r="K354">
        <f t="shared" si="5"/>
        <v>37.340000000000003</v>
      </c>
      <c r="L354" t="str" cm="1">
        <f t="array" ref="L354">_xlfn.IFS(E354&gt;=52000000,"Platinum",E354&gt;=37000000,"Gold",E354&gt;=30000000,"Sliver",E354&lt;30000000,"Bronze")</f>
        <v>Platinum</v>
      </c>
    </row>
    <row r="355" spans="1:12" x14ac:dyDescent="0.25">
      <c r="A355">
        <v>354</v>
      </c>
      <c r="B355" t="s">
        <v>375</v>
      </c>
      <c r="C355" t="s">
        <v>21</v>
      </c>
      <c r="D355" t="s">
        <v>22</v>
      </c>
      <c r="E355" s="4">
        <v>56581953</v>
      </c>
      <c r="F355">
        <v>36.159999999999997</v>
      </c>
      <c r="G355">
        <v>1.72</v>
      </c>
      <c r="H355">
        <v>103.3</v>
      </c>
      <c r="I355">
        <v>4.76</v>
      </c>
      <c r="J355" s="5">
        <v>46060</v>
      </c>
      <c r="K355">
        <f t="shared" si="5"/>
        <v>34.299999999999997</v>
      </c>
      <c r="L355" t="str" cm="1">
        <f t="array" ref="L355">_xlfn.IFS(E355&gt;=52000000,"Platinum",E355&gt;=37000000,"Gold",E355&gt;=30000000,"Sliver",E355&lt;30000000,"Bronze")</f>
        <v>Platinum</v>
      </c>
    </row>
    <row r="356" spans="1:12" x14ac:dyDescent="0.25">
      <c r="A356">
        <v>355</v>
      </c>
      <c r="B356" t="s">
        <v>376</v>
      </c>
      <c r="C356" t="s">
        <v>27</v>
      </c>
      <c r="D356" t="s">
        <v>22</v>
      </c>
      <c r="E356" s="4">
        <v>49554473</v>
      </c>
      <c r="F356" s="1">
        <f>CALCULATION!$C$11</f>
        <v>42.81</v>
      </c>
      <c r="G356" s="1">
        <v>34.74</v>
      </c>
      <c r="H356">
        <v>2084.12</v>
      </c>
      <c r="I356">
        <v>139.61000000000001</v>
      </c>
      <c r="J356" s="5">
        <v>46060</v>
      </c>
      <c r="K356">
        <f t="shared" si="5"/>
        <v>98.4</v>
      </c>
      <c r="L356" t="str" cm="1">
        <f t="array" ref="L356">_xlfn.IFS(E356&gt;=52000000,"Platinum",E356&gt;=37000000,"Gold",E356&gt;=30000000,"Sliver",E356&lt;30000000,"Bronze")</f>
        <v>Gold</v>
      </c>
    </row>
    <row r="357" spans="1:12" x14ac:dyDescent="0.25">
      <c r="A357">
        <v>356</v>
      </c>
      <c r="B357" t="s">
        <v>377</v>
      </c>
      <c r="C357" t="s">
        <v>10</v>
      </c>
      <c r="D357" t="s">
        <v>11</v>
      </c>
      <c r="E357" s="4">
        <v>62536236</v>
      </c>
      <c r="F357">
        <v>47.19</v>
      </c>
      <c r="G357">
        <v>2.11</v>
      </c>
      <c r="H357">
        <v>126.4</v>
      </c>
      <c r="I357">
        <v>4.46</v>
      </c>
      <c r="J357" s="5">
        <v>46060</v>
      </c>
      <c r="K357">
        <f t="shared" si="5"/>
        <v>28.64</v>
      </c>
      <c r="L357" t="str" cm="1">
        <f t="array" ref="L357">_xlfn.IFS(E357&gt;=52000000,"Platinum",E357&gt;=37000000,"Gold",E357&gt;=30000000,"Sliver",E357&lt;30000000,"Bronze")</f>
        <v>Platinum</v>
      </c>
    </row>
    <row r="358" spans="1:12" x14ac:dyDescent="0.25">
      <c r="A358">
        <v>357</v>
      </c>
      <c r="B358" t="s">
        <v>378</v>
      </c>
      <c r="C358" t="s">
        <v>46</v>
      </c>
      <c r="D358" t="s">
        <v>32</v>
      </c>
      <c r="E358" s="4">
        <v>58407221</v>
      </c>
      <c r="F358">
        <v>42.98</v>
      </c>
      <c r="G358">
        <v>3.81</v>
      </c>
      <c r="H358">
        <v>228.43</v>
      </c>
      <c r="I358">
        <v>8.86</v>
      </c>
      <c r="J358" s="5">
        <v>46060</v>
      </c>
      <c r="K358">
        <f t="shared" si="5"/>
        <v>32.94</v>
      </c>
      <c r="L358" t="str" cm="1">
        <f t="array" ref="L358">_xlfn.IFS(E358&gt;=52000000,"Platinum",E358&gt;=37000000,"Gold",E358&gt;=30000000,"Sliver",E358&lt;30000000,"Bronze")</f>
        <v>Platinum</v>
      </c>
    </row>
    <row r="359" spans="1:12" x14ac:dyDescent="0.25">
      <c r="A359">
        <v>358</v>
      </c>
      <c r="B359" t="s">
        <v>379</v>
      </c>
      <c r="C359" t="s">
        <v>16</v>
      </c>
      <c r="D359" t="s">
        <v>11</v>
      </c>
      <c r="E359" s="4">
        <v>55664392</v>
      </c>
      <c r="F359">
        <v>50.16</v>
      </c>
      <c r="G359">
        <v>5.93</v>
      </c>
      <c r="H359">
        <v>356</v>
      </c>
      <c r="I359">
        <v>11.83</v>
      </c>
      <c r="J359" s="5">
        <v>46060</v>
      </c>
      <c r="K359">
        <f t="shared" si="5"/>
        <v>30.84</v>
      </c>
      <c r="L359" t="str" cm="1">
        <f t="array" ref="L359">_xlfn.IFS(E359&gt;=52000000,"Platinum",E359&gt;=37000000,"Gold",E359&gt;=30000000,"Sliver",E359&lt;30000000,"Bronze")</f>
        <v>Platinum</v>
      </c>
    </row>
    <row r="360" spans="1:12" x14ac:dyDescent="0.25">
      <c r="A360">
        <v>359</v>
      </c>
      <c r="B360" t="s">
        <v>380</v>
      </c>
      <c r="C360" t="s">
        <v>27</v>
      </c>
      <c r="D360" t="s">
        <v>32</v>
      </c>
      <c r="E360" s="4">
        <v>50829576</v>
      </c>
      <c r="F360">
        <v>16.46</v>
      </c>
      <c r="G360">
        <v>32.39</v>
      </c>
      <c r="H360">
        <v>1943.65</v>
      </c>
      <c r="I360">
        <v>196.81</v>
      </c>
      <c r="J360" s="5">
        <v>46060</v>
      </c>
      <c r="K360">
        <f t="shared" si="5"/>
        <v>140.18</v>
      </c>
      <c r="L360" t="str" cm="1">
        <f t="array" ref="L360">_xlfn.IFS(E360&gt;=52000000,"Platinum",E360&gt;=37000000,"Gold",E360&gt;=30000000,"Sliver",E360&lt;30000000,"Bronze")</f>
        <v>Gold</v>
      </c>
    </row>
    <row r="361" spans="1:12" x14ac:dyDescent="0.25">
      <c r="A361">
        <v>360</v>
      </c>
      <c r="B361" t="s">
        <v>381</v>
      </c>
      <c r="C361" t="s">
        <v>19</v>
      </c>
      <c r="D361" t="s">
        <v>25</v>
      </c>
      <c r="E361" s="4">
        <v>49292122</v>
      </c>
      <c r="F361">
        <v>38.07</v>
      </c>
      <c r="G361">
        <v>7.82</v>
      </c>
      <c r="H361">
        <v>469.05</v>
      </c>
      <c r="I361">
        <v>20.53</v>
      </c>
      <c r="J361" s="5">
        <v>46060</v>
      </c>
      <c r="K361">
        <f t="shared" si="5"/>
        <v>41.23</v>
      </c>
      <c r="L361" t="str" cm="1">
        <f t="array" ref="L361">_xlfn.IFS(E361&gt;=52000000,"Platinum",E361&gt;=37000000,"Gold",E361&gt;=30000000,"Sliver",E361&lt;30000000,"Bronze")</f>
        <v>Gold</v>
      </c>
    </row>
    <row r="362" spans="1:12" x14ac:dyDescent="0.25">
      <c r="A362">
        <v>361</v>
      </c>
      <c r="B362" t="s">
        <v>382</v>
      </c>
      <c r="C362" t="s">
        <v>16</v>
      </c>
      <c r="D362" t="s">
        <v>22</v>
      </c>
      <c r="E362" s="4">
        <v>60813318</v>
      </c>
      <c r="F362">
        <v>37.04</v>
      </c>
      <c r="G362">
        <v>6.83</v>
      </c>
      <c r="H362">
        <v>409.56</v>
      </c>
      <c r="I362">
        <v>18.43</v>
      </c>
      <c r="J362" s="5">
        <v>46060</v>
      </c>
      <c r="K362">
        <f t="shared" si="5"/>
        <v>40.700000000000003</v>
      </c>
      <c r="L362" t="str" cm="1">
        <f t="array" ref="L362">_xlfn.IFS(E362&gt;=52000000,"Platinum",E362&gt;=37000000,"Gold",E362&gt;=30000000,"Sliver",E362&lt;30000000,"Bronze")</f>
        <v>Platinum</v>
      </c>
    </row>
    <row r="363" spans="1:12" x14ac:dyDescent="0.25">
      <c r="A363">
        <v>362</v>
      </c>
      <c r="B363" t="s">
        <v>383</v>
      </c>
      <c r="C363" t="s">
        <v>29</v>
      </c>
      <c r="D363" t="s">
        <v>25</v>
      </c>
      <c r="E363" s="4">
        <v>59574988</v>
      </c>
      <c r="F363">
        <v>43.9</v>
      </c>
      <c r="G363">
        <v>8.3000000000000007</v>
      </c>
      <c r="H363">
        <v>497.79</v>
      </c>
      <c r="I363">
        <v>18.899999999999999</v>
      </c>
      <c r="J363" s="5">
        <v>46060</v>
      </c>
      <c r="K363">
        <f t="shared" si="5"/>
        <v>37.5</v>
      </c>
      <c r="L363" t="str" cm="1">
        <f t="array" ref="L363">_xlfn.IFS(E363&gt;=52000000,"Platinum",E363&gt;=37000000,"Gold",E363&gt;=30000000,"Sliver",E363&lt;30000000,"Bronze")</f>
        <v>Platinum</v>
      </c>
    </row>
    <row r="364" spans="1:12" x14ac:dyDescent="0.25">
      <c r="A364">
        <v>363</v>
      </c>
      <c r="B364" t="s">
        <v>384</v>
      </c>
      <c r="C364" t="s">
        <v>16</v>
      </c>
      <c r="D364" t="s">
        <v>25</v>
      </c>
      <c r="E364" s="4">
        <v>51117022</v>
      </c>
      <c r="F364">
        <v>54.1</v>
      </c>
      <c r="G364">
        <v>9.9499999999999993</v>
      </c>
      <c r="H364">
        <v>596.99</v>
      </c>
      <c r="I364">
        <v>18.39</v>
      </c>
      <c r="J364" s="5">
        <v>46060</v>
      </c>
      <c r="K364">
        <f t="shared" si="5"/>
        <v>32.15</v>
      </c>
      <c r="L364" t="str" cm="1">
        <f t="array" ref="L364">_xlfn.IFS(E364&gt;=52000000,"Platinum",E364&gt;=37000000,"Gold",E364&gt;=30000000,"Sliver",E364&lt;30000000,"Bronze")</f>
        <v>Gold</v>
      </c>
    </row>
    <row r="365" spans="1:12" x14ac:dyDescent="0.25">
      <c r="A365">
        <v>364</v>
      </c>
      <c r="B365" t="s">
        <v>385</v>
      </c>
      <c r="C365" s="1" t="s">
        <v>21</v>
      </c>
      <c r="D365" t="s">
        <v>22</v>
      </c>
      <c r="E365" s="4">
        <v>47143337</v>
      </c>
      <c r="F365">
        <v>47.05</v>
      </c>
      <c r="G365">
        <v>1.88</v>
      </c>
      <c r="H365">
        <v>112.66</v>
      </c>
      <c r="I365">
        <v>3.99</v>
      </c>
      <c r="J365" s="5">
        <v>46060</v>
      </c>
      <c r="K365">
        <f t="shared" si="5"/>
        <v>28.47</v>
      </c>
      <c r="L365" t="str" cm="1">
        <f t="array" ref="L365">_xlfn.IFS(E365&gt;=52000000,"Platinum",E365&gt;=37000000,"Gold",E365&gt;=30000000,"Sliver",E365&lt;30000000,"Bronze")</f>
        <v>Gold</v>
      </c>
    </row>
    <row r="366" spans="1:12" x14ac:dyDescent="0.25">
      <c r="A366">
        <v>365</v>
      </c>
      <c r="B366" t="s">
        <v>386</v>
      </c>
      <c r="C366" t="s">
        <v>27</v>
      </c>
      <c r="D366" t="s">
        <v>17</v>
      </c>
      <c r="E366" s="4">
        <v>55507116</v>
      </c>
      <c r="F366">
        <v>19.63</v>
      </c>
      <c r="G366">
        <v>36.47</v>
      </c>
      <c r="H366">
        <v>2188.08</v>
      </c>
      <c r="I366">
        <v>185.78</v>
      </c>
      <c r="J366" s="5">
        <v>46060</v>
      </c>
      <c r="K366">
        <f t="shared" si="5"/>
        <v>133.08000000000001</v>
      </c>
      <c r="L366" t="str" cm="1">
        <f t="array" ref="L366">_xlfn.IFS(E366&gt;=52000000,"Platinum",E366&gt;=37000000,"Gold",E366&gt;=30000000,"Sliver",E366&lt;30000000,"Bronze")</f>
        <v>Platinum</v>
      </c>
    </row>
    <row r="367" spans="1:12" x14ac:dyDescent="0.25">
      <c r="A367">
        <v>366</v>
      </c>
      <c r="B367" t="s">
        <v>387</v>
      </c>
      <c r="C367" t="s">
        <v>46</v>
      </c>
      <c r="D367" t="s">
        <v>13</v>
      </c>
      <c r="E367" s="4">
        <v>52116110</v>
      </c>
      <c r="F367" s="1">
        <f>CALCULATION!$C$11</f>
        <v>42.81</v>
      </c>
      <c r="G367" s="1">
        <v>5.93</v>
      </c>
      <c r="H367">
        <v>355.98</v>
      </c>
      <c r="I367">
        <v>11.85</v>
      </c>
      <c r="J367" s="5">
        <v>46060</v>
      </c>
      <c r="K367">
        <f t="shared" si="5"/>
        <v>34.520000000000003</v>
      </c>
      <c r="L367" t="str" cm="1">
        <f t="array" ref="L367">_xlfn.IFS(E367&gt;=52000000,"Platinum",E367&gt;=37000000,"Gold",E367&gt;=30000000,"Sliver",E367&lt;30000000,"Bronze")</f>
        <v>Platinum</v>
      </c>
    </row>
    <row r="368" spans="1:12" x14ac:dyDescent="0.25">
      <c r="A368">
        <v>367</v>
      </c>
      <c r="B368" t="s">
        <v>388</v>
      </c>
      <c r="C368" t="s">
        <v>10</v>
      </c>
      <c r="D368" t="s">
        <v>11</v>
      </c>
      <c r="E368" s="4">
        <v>49536942</v>
      </c>
      <c r="F368">
        <v>36.94</v>
      </c>
      <c r="G368">
        <v>8.5399999999999991</v>
      </c>
      <c r="H368">
        <v>512.4</v>
      </c>
      <c r="I368">
        <v>23.12</v>
      </c>
      <c r="J368" s="5">
        <v>46060</v>
      </c>
      <c r="K368">
        <f t="shared" si="5"/>
        <v>43.09</v>
      </c>
      <c r="L368" t="str" cm="1">
        <f t="array" ref="L368">_xlfn.IFS(E368&gt;=52000000,"Platinum",E368&gt;=37000000,"Gold",E368&gt;=30000000,"Sliver",E368&lt;30000000,"Bronze")</f>
        <v>Gold</v>
      </c>
    </row>
    <row r="369" spans="1:12" x14ac:dyDescent="0.25">
      <c r="A369">
        <v>368</v>
      </c>
      <c r="B369" t="s">
        <v>389</v>
      </c>
      <c r="C369" t="s">
        <v>19</v>
      </c>
      <c r="D369" t="s">
        <v>11</v>
      </c>
      <c r="E369" s="4">
        <v>54537398</v>
      </c>
      <c r="F369">
        <v>30.29</v>
      </c>
      <c r="G369">
        <v>5.58</v>
      </c>
      <c r="H369">
        <v>334.76</v>
      </c>
      <c r="I369">
        <v>18.420000000000002</v>
      </c>
      <c r="J369" s="5">
        <v>46060</v>
      </c>
      <c r="K369">
        <f t="shared" si="5"/>
        <v>44.07</v>
      </c>
      <c r="L369" t="str" cm="1">
        <f t="array" ref="L369">_xlfn.IFS(E369&gt;=52000000,"Platinum",E369&gt;=37000000,"Gold",E369&gt;=30000000,"Sliver",E369&lt;30000000,"Bronze")</f>
        <v>Platinum</v>
      </c>
    </row>
    <row r="370" spans="1:12" x14ac:dyDescent="0.25">
      <c r="A370">
        <v>369</v>
      </c>
      <c r="B370" t="s">
        <v>390</v>
      </c>
      <c r="C370" t="s">
        <v>19</v>
      </c>
      <c r="D370" t="s">
        <v>25</v>
      </c>
      <c r="E370" s="4">
        <v>60244204</v>
      </c>
      <c r="F370">
        <v>44.82</v>
      </c>
      <c r="G370">
        <v>7.62</v>
      </c>
      <c r="H370">
        <v>457.34</v>
      </c>
      <c r="I370">
        <v>17.010000000000002</v>
      </c>
      <c r="J370" s="5">
        <v>46060</v>
      </c>
      <c r="K370">
        <f t="shared" si="5"/>
        <v>36.1</v>
      </c>
      <c r="L370" t="str" cm="1">
        <f t="array" ref="L370">_xlfn.IFS(E370&gt;=52000000,"Platinum",E370&gt;=37000000,"Gold",E370&gt;=30000000,"Sliver",E370&lt;30000000,"Bronze")</f>
        <v>Platinum</v>
      </c>
    </row>
    <row r="371" spans="1:12" x14ac:dyDescent="0.25">
      <c r="A371">
        <v>370</v>
      </c>
      <c r="B371" t="s">
        <v>391</v>
      </c>
      <c r="C371" s="1" t="s">
        <v>21</v>
      </c>
      <c r="D371" t="s">
        <v>13</v>
      </c>
      <c r="E371" s="4">
        <v>47144492</v>
      </c>
      <c r="F371">
        <v>39.659999999999997</v>
      </c>
      <c r="G371">
        <v>6.46</v>
      </c>
      <c r="H371">
        <v>387.65</v>
      </c>
      <c r="I371">
        <v>16.29</v>
      </c>
      <c r="J371" s="5">
        <v>46060</v>
      </c>
      <c r="K371">
        <f t="shared" si="5"/>
        <v>38.32</v>
      </c>
      <c r="L371" t="str" cm="1">
        <f t="array" ref="L371">_xlfn.IFS(E371&gt;=52000000,"Platinum",E371&gt;=37000000,"Gold",E371&gt;=30000000,"Sliver",E371&lt;30000000,"Bronze")</f>
        <v>Gold</v>
      </c>
    </row>
    <row r="372" spans="1:12" x14ac:dyDescent="0.25">
      <c r="A372">
        <v>371</v>
      </c>
      <c r="B372" t="s">
        <v>392</v>
      </c>
      <c r="C372" t="s">
        <v>16</v>
      </c>
      <c r="D372" t="s">
        <v>13</v>
      </c>
      <c r="E372" s="4">
        <v>43573225</v>
      </c>
      <c r="F372">
        <v>47.52</v>
      </c>
      <c r="G372">
        <v>5.72</v>
      </c>
      <c r="H372" s="1">
        <f>CALCULATION!$D$11</f>
        <v>343.315</v>
      </c>
      <c r="I372">
        <v>7.36</v>
      </c>
      <c r="J372" s="5">
        <v>46060</v>
      </c>
      <c r="K372">
        <f t="shared" si="5"/>
        <v>29.92</v>
      </c>
      <c r="L372" t="str" cm="1">
        <f t="array" ref="L372">_xlfn.IFS(E372&gt;=52000000,"Platinum",E372&gt;=37000000,"Gold",E372&gt;=30000000,"Sliver",E372&lt;30000000,"Bronze")</f>
        <v>Gold</v>
      </c>
    </row>
    <row r="373" spans="1:12" x14ac:dyDescent="0.25">
      <c r="A373">
        <v>372</v>
      </c>
      <c r="B373" t="s">
        <v>393</v>
      </c>
      <c r="C373" t="s">
        <v>21</v>
      </c>
      <c r="D373" t="s">
        <v>32</v>
      </c>
      <c r="E373" s="4">
        <v>56462209</v>
      </c>
      <c r="F373">
        <v>45.1</v>
      </c>
      <c r="G373">
        <v>2.44</v>
      </c>
      <c r="H373">
        <v>146.6</v>
      </c>
      <c r="I373">
        <v>5.42</v>
      </c>
      <c r="J373" s="5">
        <v>46060</v>
      </c>
      <c r="K373">
        <f t="shared" si="5"/>
        <v>30.16</v>
      </c>
      <c r="L373" t="str" cm="1">
        <f t="array" ref="L373">_xlfn.IFS(E373&gt;=52000000,"Platinum",E373&gt;=37000000,"Gold",E373&gt;=30000000,"Sliver",E373&lt;30000000,"Bronze")</f>
        <v>Platinum</v>
      </c>
    </row>
    <row r="374" spans="1:12" x14ac:dyDescent="0.25">
      <c r="A374">
        <v>373</v>
      </c>
      <c r="B374" t="s">
        <v>394</v>
      </c>
      <c r="C374" t="s">
        <v>29</v>
      </c>
      <c r="D374" t="s">
        <v>25</v>
      </c>
      <c r="E374" s="4">
        <v>58249292</v>
      </c>
      <c r="F374">
        <v>42.56</v>
      </c>
      <c r="G374">
        <v>7.71</v>
      </c>
      <c r="H374">
        <v>462.72</v>
      </c>
      <c r="I374">
        <v>18.12</v>
      </c>
      <c r="J374" s="5">
        <v>46060</v>
      </c>
      <c r="K374">
        <f t="shared" si="5"/>
        <v>37.78</v>
      </c>
      <c r="L374" t="str" cm="1">
        <f t="array" ref="L374">_xlfn.IFS(E374&gt;=52000000,"Platinum",E374&gt;=37000000,"Gold",E374&gt;=30000000,"Sliver",E374&lt;30000000,"Bronze")</f>
        <v>Platinum</v>
      </c>
    </row>
    <row r="375" spans="1:12" x14ac:dyDescent="0.25">
      <c r="A375">
        <v>374</v>
      </c>
      <c r="B375" t="s">
        <v>395</v>
      </c>
      <c r="C375" t="s">
        <v>46</v>
      </c>
      <c r="D375" t="s">
        <v>32</v>
      </c>
      <c r="E375" s="4">
        <v>50946828</v>
      </c>
      <c r="F375">
        <v>35.89</v>
      </c>
      <c r="G375">
        <v>6.69</v>
      </c>
      <c r="H375">
        <v>401.32</v>
      </c>
      <c r="I375">
        <v>18.64</v>
      </c>
      <c r="J375" s="5">
        <v>46060</v>
      </c>
      <c r="K375">
        <f t="shared" si="5"/>
        <v>41.38</v>
      </c>
      <c r="L375" t="str" cm="1">
        <f t="array" ref="L375">_xlfn.IFS(E375&gt;=52000000,"Platinum",E375&gt;=37000000,"Gold",E375&gt;=30000000,"Sliver",E375&lt;30000000,"Bronze")</f>
        <v>Gold</v>
      </c>
    </row>
    <row r="376" spans="1:12" x14ac:dyDescent="0.25">
      <c r="A376">
        <v>375</v>
      </c>
      <c r="B376" t="s">
        <v>396</v>
      </c>
      <c r="C376" t="s">
        <v>46</v>
      </c>
      <c r="D376" t="s">
        <v>32</v>
      </c>
      <c r="E376" s="4">
        <v>51955851</v>
      </c>
      <c r="F376">
        <v>56.69</v>
      </c>
      <c r="G376">
        <v>8.09</v>
      </c>
      <c r="H376">
        <v>485.15</v>
      </c>
      <c r="I376">
        <v>14.26</v>
      </c>
      <c r="J376" s="5">
        <v>46060</v>
      </c>
      <c r="K376">
        <f t="shared" si="5"/>
        <v>28.79</v>
      </c>
      <c r="L376" t="str" cm="1">
        <f t="array" ref="L376">_xlfn.IFS(E376&gt;=52000000,"Platinum",E376&gt;=37000000,"Gold",E376&gt;=30000000,"Sliver",E376&lt;30000000,"Bronze")</f>
        <v>Gold</v>
      </c>
    </row>
    <row r="377" spans="1:12" x14ac:dyDescent="0.25">
      <c r="A377">
        <v>376</v>
      </c>
      <c r="B377" t="s">
        <v>397</v>
      </c>
      <c r="C377" t="s">
        <v>21</v>
      </c>
      <c r="D377" t="s">
        <v>11</v>
      </c>
      <c r="E377" s="4">
        <v>53038250</v>
      </c>
      <c r="F377">
        <v>35.770000000000003</v>
      </c>
      <c r="G377">
        <v>2.78</v>
      </c>
      <c r="H377">
        <v>166.97</v>
      </c>
      <c r="I377">
        <v>7.78</v>
      </c>
      <c r="J377" s="5">
        <v>46060</v>
      </c>
      <c r="K377">
        <f t="shared" si="5"/>
        <v>36.01</v>
      </c>
      <c r="L377" t="str" cm="1">
        <f t="array" ref="L377">_xlfn.IFS(E377&gt;=52000000,"Platinum",E377&gt;=37000000,"Gold",E377&gt;=30000000,"Sliver",E377&lt;30000000,"Bronze")</f>
        <v>Platinum</v>
      </c>
    </row>
    <row r="378" spans="1:12" x14ac:dyDescent="0.25">
      <c r="A378">
        <v>377</v>
      </c>
      <c r="B378" t="s">
        <v>398</v>
      </c>
      <c r="C378" t="s">
        <v>21</v>
      </c>
      <c r="D378" t="s">
        <v>13</v>
      </c>
      <c r="E378" s="4">
        <v>58182442</v>
      </c>
      <c r="F378">
        <v>36.03</v>
      </c>
      <c r="G378">
        <v>1.77</v>
      </c>
      <c r="H378">
        <v>106.2</v>
      </c>
      <c r="I378">
        <v>4.91</v>
      </c>
      <c r="J378" s="5">
        <v>46060</v>
      </c>
      <c r="K378">
        <f t="shared" si="5"/>
        <v>34.44</v>
      </c>
      <c r="L378" t="str" cm="1">
        <f t="array" ref="L378">_xlfn.IFS(E378&gt;=52000000,"Platinum",E378&gt;=37000000,"Gold",E378&gt;=30000000,"Sliver",E378&lt;30000000,"Bronze")</f>
        <v>Platinum</v>
      </c>
    </row>
    <row r="379" spans="1:12" x14ac:dyDescent="0.25">
      <c r="A379">
        <v>378</v>
      </c>
      <c r="B379" t="s">
        <v>399</v>
      </c>
      <c r="C379" t="s">
        <v>10</v>
      </c>
      <c r="D379" t="s">
        <v>32</v>
      </c>
      <c r="E379" s="4">
        <v>46189405</v>
      </c>
      <c r="F379">
        <v>54.39</v>
      </c>
      <c r="G379">
        <v>7.61</v>
      </c>
      <c r="H379">
        <v>456.44</v>
      </c>
      <c r="I379">
        <v>13.99</v>
      </c>
      <c r="J379" s="5">
        <v>46060</v>
      </c>
      <c r="K379">
        <f t="shared" si="5"/>
        <v>29.8</v>
      </c>
      <c r="L379" t="str" cm="1">
        <f t="array" ref="L379">_xlfn.IFS(E379&gt;=52000000,"Platinum",E379&gt;=37000000,"Gold",E379&gt;=30000000,"Sliver",E379&lt;30000000,"Bronze")</f>
        <v>Gold</v>
      </c>
    </row>
    <row r="380" spans="1:12" x14ac:dyDescent="0.25">
      <c r="A380">
        <v>379</v>
      </c>
      <c r="B380" t="s">
        <v>400</v>
      </c>
      <c r="C380" t="s">
        <v>27</v>
      </c>
      <c r="D380" t="s">
        <v>13</v>
      </c>
      <c r="E380" s="4">
        <v>42554417</v>
      </c>
      <c r="F380">
        <v>29.98</v>
      </c>
      <c r="G380">
        <v>21.39</v>
      </c>
      <c r="H380">
        <v>1283.5999999999999</v>
      </c>
      <c r="I380">
        <v>71.36</v>
      </c>
      <c r="J380" s="5">
        <v>46060</v>
      </c>
      <c r="K380">
        <f t="shared" si="5"/>
        <v>70.69</v>
      </c>
      <c r="L380" t="str" cm="1">
        <f t="array" ref="L380">_xlfn.IFS(E380&gt;=52000000,"Platinum",E380&gt;=37000000,"Gold",E380&gt;=30000000,"Sliver",E380&lt;30000000,"Bronze")</f>
        <v>Gold</v>
      </c>
    </row>
    <row r="381" spans="1:12" x14ac:dyDescent="0.25">
      <c r="A381">
        <v>380</v>
      </c>
      <c r="B381" t="s">
        <v>401</v>
      </c>
      <c r="C381" t="s">
        <v>19</v>
      </c>
      <c r="D381" t="s">
        <v>13</v>
      </c>
      <c r="E381" s="4">
        <v>47804372</v>
      </c>
      <c r="F381">
        <v>43.12</v>
      </c>
      <c r="G381">
        <v>4.2</v>
      </c>
      <c r="H381">
        <v>251.97</v>
      </c>
      <c r="I381">
        <v>9.74</v>
      </c>
      <c r="J381" s="5">
        <v>46060</v>
      </c>
      <c r="K381">
        <f t="shared" si="5"/>
        <v>33.31</v>
      </c>
      <c r="L381" t="str" cm="1">
        <f t="array" ref="L381">_xlfn.IFS(E381&gt;=52000000,"Platinum",E381&gt;=37000000,"Gold",E381&gt;=30000000,"Sliver",E381&lt;30000000,"Bronze")</f>
        <v>Gold</v>
      </c>
    </row>
    <row r="382" spans="1:12" x14ac:dyDescent="0.25">
      <c r="A382">
        <v>381</v>
      </c>
      <c r="B382" t="s">
        <v>402</v>
      </c>
      <c r="C382" t="s">
        <v>10</v>
      </c>
      <c r="D382" t="s">
        <v>32</v>
      </c>
      <c r="E382" s="4">
        <v>54676627</v>
      </c>
      <c r="F382">
        <v>32.46</v>
      </c>
      <c r="G382">
        <v>3.64</v>
      </c>
      <c r="H382">
        <v>218.66</v>
      </c>
      <c r="I382">
        <v>11.23</v>
      </c>
      <c r="J382" s="5">
        <v>46060</v>
      </c>
      <c r="K382">
        <f t="shared" si="5"/>
        <v>39.39</v>
      </c>
      <c r="L382" t="str" cm="1">
        <f t="array" ref="L382">_xlfn.IFS(E382&gt;=52000000,"Platinum",E382&gt;=37000000,"Gold",E382&gt;=30000000,"Sliver",E382&lt;30000000,"Bronze")</f>
        <v>Platinum</v>
      </c>
    </row>
    <row r="383" spans="1:12" x14ac:dyDescent="0.25">
      <c r="A383">
        <v>382</v>
      </c>
      <c r="B383" t="s">
        <v>403</v>
      </c>
      <c r="C383" t="s">
        <v>10</v>
      </c>
      <c r="D383" t="s">
        <v>22</v>
      </c>
      <c r="E383" s="4">
        <v>53034508</v>
      </c>
      <c r="F383">
        <v>31.13</v>
      </c>
      <c r="G383">
        <v>8.3000000000000007</v>
      </c>
      <c r="H383">
        <v>498.18</v>
      </c>
      <c r="I383">
        <v>26.67</v>
      </c>
      <c r="J383" s="5">
        <v>46060</v>
      </c>
      <c r="K383">
        <f t="shared" si="5"/>
        <v>47.77</v>
      </c>
      <c r="L383" t="str" cm="1">
        <f t="array" ref="L383">_xlfn.IFS(E383&gt;=52000000,"Platinum",E383&gt;=37000000,"Gold",E383&gt;=30000000,"Sliver",E383&lt;30000000,"Bronze")</f>
        <v>Platinum</v>
      </c>
    </row>
    <row r="384" spans="1:12" x14ac:dyDescent="0.25">
      <c r="A384">
        <v>383</v>
      </c>
      <c r="B384" t="s">
        <v>404</v>
      </c>
      <c r="C384" t="s">
        <v>29</v>
      </c>
      <c r="D384" t="s">
        <v>13</v>
      </c>
      <c r="E384" s="4">
        <v>44148925</v>
      </c>
      <c r="F384">
        <v>40.24</v>
      </c>
      <c r="G384">
        <v>2.61</v>
      </c>
      <c r="H384">
        <v>156.83000000000001</v>
      </c>
      <c r="I384">
        <v>6.5</v>
      </c>
      <c r="J384" s="5">
        <v>46060</v>
      </c>
      <c r="K384">
        <f t="shared" si="5"/>
        <v>33.130000000000003</v>
      </c>
      <c r="L384" t="str" cm="1">
        <f t="array" ref="L384">_xlfn.IFS(E384&gt;=52000000,"Platinum",E384&gt;=37000000,"Gold",E384&gt;=30000000,"Sliver",E384&lt;30000000,"Bronze")</f>
        <v>Gold</v>
      </c>
    </row>
    <row r="385" spans="1:12" x14ac:dyDescent="0.25">
      <c r="A385">
        <v>384</v>
      </c>
      <c r="B385" t="s">
        <v>405</v>
      </c>
      <c r="C385" t="s">
        <v>29</v>
      </c>
      <c r="D385" t="s">
        <v>13</v>
      </c>
      <c r="E385" s="4">
        <v>46470080</v>
      </c>
      <c r="F385">
        <v>31.59</v>
      </c>
      <c r="G385">
        <v>8.06</v>
      </c>
      <c r="H385">
        <v>483.44</v>
      </c>
      <c r="I385">
        <v>25.51</v>
      </c>
      <c r="J385" s="5">
        <v>46060</v>
      </c>
      <c r="K385">
        <f t="shared" si="5"/>
        <v>46.96</v>
      </c>
      <c r="L385" t="str" cm="1">
        <f t="array" ref="L385">_xlfn.IFS(E385&gt;=52000000,"Platinum",E385&gt;=37000000,"Gold",E385&gt;=30000000,"Sliver",E385&lt;30000000,"Bronze")</f>
        <v>Gold</v>
      </c>
    </row>
    <row r="386" spans="1:12" x14ac:dyDescent="0.25">
      <c r="A386">
        <v>385</v>
      </c>
      <c r="B386" t="s">
        <v>406</v>
      </c>
      <c r="C386" t="s">
        <v>10</v>
      </c>
      <c r="D386" t="s">
        <v>17</v>
      </c>
      <c r="E386" s="4">
        <v>43809331</v>
      </c>
      <c r="F386">
        <v>43.68</v>
      </c>
      <c r="G386">
        <v>6.6</v>
      </c>
      <c r="H386">
        <v>395.73</v>
      </c>
      <c r="I386">
        <v>15.1</v>
      </c>
      <c r="J386" s="5">
        <v>46060</v>
      </c>
      <c r="K386">
        <f t="shared" si="5"/>
        <v>35.71</v>
      </c>
      <c r="L386" t="str" cm="1">
        <f t="array" ref="L386">_xlfn.IFS(E386&gt;=52000000,"Platinum",E386&gt;=37000000,"Gold",E386&gt;=30000000,"Sliver",E386&lt;30000000,"Bronze")</f>
        <v>Gold</v>
      </c>
    </row>
    <row r="387" spans="1:12" x14ac:dyDescent="0.25">
      <c r="A387">
        <v>386</v>
      </c>
      <c r="B387" t="s">
        <v>407</v>
      </c>
      <c r="C387" t="s">
        <v>27</v>
      </c>
      <c r="D387" t="s">
        <v>13</v>
      </c>
      <c r="E387" s="4">
        <v>45046279</v>
      </c>
      <c r="F387">
        <v>17.940000000000001</v>
      </c>
      <c r="G387">
        <v>21.59</v>
      </c>
      <c r="H387">
        <v>1295.3499999999999</v>
      </c>
      <c r="I387">
        <v>120.34</v>
      </c>
      <c r="J387" s="5">
        <v>46060</v>
      </c>
      <c r="K387">
        <f t="shared" ref="K387:K450" si="6">ROUND((100-F387)*0.5 + I387*0.5,2)</f>
        <v>101.2</v>
      </c>
      <c r="L387" t="str" cm="1">
        <f t="array" ref="L387">_xlfn.IFS(E387&gt;=52000000,"Platinum",E387&gt;=37000000,"Gold",E387&gt;=30000000,"Sliver",E387&lt;30000000,"Bronze")</f>
        <v>Gold</v>
      </c>
    </row>
    <row r="388" spans="1:12" x14ac:dyDescent="0.25">
      <c r="A388">
        <v>387</v>
      </c>
      <c r="B388" t="s">
        <v>408</v>
      </c>
      <c r="C388" t="s">
        <v>16</v>
      </c>
      <c r="D388" t="s">
        <v>22</v>
      </c>
      <c r="E388" s="4">
        <v>51117711</v>
      </c>
      <c r="F388">
        <v>39.979999999999997</v>
      </c>
      <c r="G388">
        <v>7.59</v>
      </c>
      <c r="H388">
        <v>455.46</v>
      </c>
      <c r="I388">
        <v>18.989999999999998</v>
      </c>
      <c r="J388" s="5">
        <v>46060</v>
      </c>
      <c r="K388">
        <f t="shared" si="6"/>
        <v>39.51</v>
      </c>
      <c r="L388" t="str" cm="1">
        <f t="array" ref="L388">_xlfn.IFS(E388&gt;=52000000,"Platinum",E388&gt;=37000000,"Gold",E388&gt;=30000000,"Sliver",E388&lt;30000000,"Bronze")</f>
        <v>Gold</v>
      </c>
    </row>
    <row r="389" spans="1:12" x14ac:dyDescent="0.25">
      <c r="A389">
        <v>388</v>
      </c>
      <c r="B389" t="s">
        <v>409</v>
      </c>
      <c r="C389" t="s">
        <v>10</v>
      </c>
      <c r="D389" t="s">
        <v>17</v>
      </c>
      <c r="E389" s="4">
        <v>59644947</v>
      </c>
      <c r="F389">
        <v>36.78</v>
      </c>
      <c r="G389">
        <v>8.3000000000000007</v>
      </c>
      <c r="H389">
        <v>498.27</v>
      </c>
      <c r="I389">
        <v>22.58</v>
      </c>
      <c r="J389" s="5">
        <v>46060</v>
      </c>
      <c r="K389">
        <f t="shared" si="6"/>
        <v>42.9</v>
      </c>
      <c r="L389" t="str" cm="1">
        <f t="array" ref="L389">_xlfn.IFS(E389&gt;=52000000,"Platinum",E389&gt;=37000000,"Gold",E389&gt;=30000000,"Sliver",E389&lt;30000000,"Bronze")</f>
        <v>Platinum</v>
      </c>
    </row>
    <row r="390" spans="1:12" x14ac:dyDescent="0.25">
      <c r="A390">
        <v>389</v>
      </c>
      <c r="B390" t="s">
        <v>410</v>
      </c>
      <c r="C390" t="s">
        <v>19</v>
      </c>
      <c r="D390" t="s">
        <v>25</v>
      </c>
      <c r="E390" s="4">
        <v>42110462</v>
      </c>
      <c r="F390">
        <v>51.17</v>
      </c>
      <c r="G390">
        <v>5.19</v>
      </c>
      <c r="H390">
        <v>311.52999999999997</v>
      </c>
      <c r="I390">
        <v>10.15</v>
      </c>
      <c r="J390" s="5">
        <v>46060</v>
      </c>
      <c r="K390">
        <f t="shared" si="6"/>
        <v>29.49</v>
      </c>
      <c r="L390" t="str" cm="1">
        <f t="array" ref="L390">_xlfn.IFS(E390&gt;=52000000,"Platinum",E390&gt;=37000000,"Gold",E390&gt;=30000000,"Sliver",E390&lt;30000000,"Bronze")</f>
        <v>Gold</v>
      </c>
    </row>
    <row r="391" spans="1:12" x14ac:dyDescent="0.25">
      <c r="A391">
        <v>390</v>
      </c>
      <c r="B391" t="s">
        <v>411</v>
      </c>
      <c r="C391" t="s">
        <v>46</v>
      </c>
      <c r="D391" t="s">
        <v>22</v>
      </c>
      <c r="E391" s="4">
        <v>54398533</v>
      </c>
      <c r="F391">
        <v>35.29</v>
      </c>
      <c r="G391">
        <v>5.97</v>
      </c>
      <c r="H391">
        <v>358.47</v>
      </c>
      <c r="I391">
        <v>16.93</v>
      </c>
      <c r="J391" s="5">
        <v>46060</v>
      </c>
      <c r="K391">
        <f t="shared" si="6"/>
        <v>40.82</v>
      </c>
      <c r="L391" t="str" cm="1">
        <f t="array" ref="L391">_xlfn.IFS(E391&gt;=52000000,"Platinum",E391&gt;=37000000,"Gold",E391&gt;=30000000,"Sliver",E391&lt;30000000,"Bronze")</f>
        <v>Platinum</v>
      </c>
    </row>
    <row r="392" spans="1:12" x14ac:dyDescent="0.25">
      <c r="A392">
        <v>391</v>
      </c>
      <c r="B392" t="s">
        <v>412</v>
      </c>
      <c r="C392" t="s">
        <v>16</v>
      </c>
      <c r="D392" t="s">
        <v>11</v>
      </c>
      <c r="E392" s="4">
        <v>46912647</v>
      </c>
      <c r="F392">
        <v>34.71</v>
      </c>
      <c r="G392">
        <v>8.6199999999999992</v>
      </c>
      <c r="H392">
        <v>517.34</v>
      </c>
      <c r="I392">
        <v>24.84</v>
      </c>
      <c r="J392" s="5">
        <v>46060</v>
      </c>
      <c r="K392">
        <f t="shared" si="6"/>
        <v>45.07</v>
      </c>
      <c r="L392" t="str" cm="1">
        <f t="array" ref="L392">_xlfn.IFS(E392&gt;=52000000,"Platinum",E392&gt;=37000000,"Gold",E392&gt;=30000000,"Sliver",E392&lt;30000000,"Bronze")</f>
        <v>Gold</v>
      </c>
    </row>
    <row r="393" spans="1:12" x14ac:dyDescent="0.25">
      <c r="A393">
        <v>392</v>
      </c>
      <c r="B393" t="s">
        <v>413</v>
      </c>
      <c r="C393" t="s">
        <v>46</v>
      </c>
      <c r="D393" t="s">
        <v>32</v>
      </c>
      <c r="E393" s="4">
        <v>54366224</v>
      </c>
      <c r="F393">
        <v>38.07</v>
      </c>
      <c r="G393">
        <v>6.97</v>
      </c>
      <c r="H393">
        <v>418.08</v>
      </c>
      <c r="I393">
        <v>18.3</v>
      </c>
      <c r="J393" s="5">
        <v>46060</v>
      </c>
      <c r="K393">
        <f t="shared" si="6"/>
        <v>40.119999999999997</v>
      </c>
      <c r="L393" t="str" cm="1">
        <f t="array" ref="L393">_xlfn.IFS(E393&gt;=52000000,"Platinum",E393&gt;=37000000,"Gold",E393&gt;=30000000,"Sliver",E393&lt;30000000,"Bronze")</f>
        <v>Platinum</v>
      </c>
    </row>
    <row r="394" spans="1:12" x14ac:dyDescent="0.25">
      <c r="A394">
        <v>393</v>
      </c>
      <c r="B394" t="s">
        <v>414</v>
      </c>
      <c r="C394" t="s">
        <v>21</v>
      </c>
      <c r="D394" t="s">
        <v>17</v>
      </c>
      <c r="E394" s="4">
        <v>42661932</v>
      </c>
      <c r="F394">
        <v>47.17</v>
      </c>
      <c r="G394">
        <v>2.2200000000000002</v>
      </c>
      <c r="H394">
        <v>132.94</v>
      </c>
      <c r="I394">
        <v>4.7</v>
      </c>
      <c r="J394" s="5">
        <v>46060</v>
      </c>
      <c r="K394">
        <f t="shared" si="6"/>
        <v>28.77</v>
      </c>
      <c r="L394" t="str" cm="1">
        <f t="array" ref="L394">_xlfn.IFS(E394&gt;=52000000,"Platinum",E394&gt;=37000000,"Gold",E394&gt;=30000000,"Sliver",E394&lt;30000000,"Bronze")</f>
        <v>Gold</v>
      </c>
    </row>
    <row r="395" spans="1:12" x14ac:dyDescent="0.25">
      <c r="A395">
        <v>394</v>
      </c>
      <c r="B395" t="s">
        <v>415</v>
      </c>
      <c r="C395" t="s">
        <v>29</v>
      </c>
      <c r="D395" t="s">
        <v>22</v>
      </c>
      <c r="E395" s="4">
        <v>51781920</v>
      </c>
      <c r="F395">
        <v>34.26</v>
      </c>
      <c r="G395">
        <v>3.46</v>
      </c>
      <c r="H395">
        <v>207.86</v>
      </c>
      <c r="I395">
        <v>10.11</v>
      </c>
      <c r="J395" s="5">
        <v>46060</v>
      </c>
      <c r="K395">
        <f t="shared" si="6"/>
        <v>37.93</v>
      </c>
      <c r="L395" t="str" cm="1">
        <f t="array" ref="L395">_xlfn.IFS(E395&gt;=52000000,"Platinum",E395&gt;=37000000,"Gold",E395&gt;=30000000,"Sliver",E395&lt;30000000,"Bronze")</f>
        <v>Gold</v>
      </c>
    </row>
    <row r="396" spans="1:12" x14ac:dyDescent="0.25">
      <c r="A396">
        <v>395</v>
      </c>
      <c r="B396" t="s">
        <v>416</v>
      </c>
      <c r="C396" t="s">
        <v>21</v>
      </c>
      <c r="D396" t="s">
        <v>32</v>
      </c>
      <c r="E396" s="4">
        <v>54059647</v>
      </c>
      <c r="F396">
        <v>37.43</v>
      </c>
      <c r="G396">
        <v>2.31</v>
      </c>
      <c r="H396">
        <v>138.38999999999999</v>
      </c>
      <c r="I396">
        <v>6.16</v>
      </c>
      <c r="J396" s="5">
        <v>46060</v>
      </c>
      <c r="K396">
        <f t="shared" si="6"/>
        <v>34.369999999999997</v>
      </c>
      <c r="L396" t="str" cm="1">
        <f t="array" ref="L396">_xlfn.IFS(E396&gt;=52000000,"Platinum",E396&gt;=37000000,"Gold",E396&gt;=30000000,"Sliver",E396&lt;30000000,"Bronze")</f>
        <v>Platinum</v>
      </c>
    </row>
    <row r="397" spans="1:12" x14ac:dyDescent="0.25">
      <c r="A397">
        <v>396</v>
      </c>
      <c r="B397" t="s">
        <v>417</v>
      </c>
      <c r="C397" t="s">
        <v>27</v>
      </c>
      <c r="D397" t="s">
        <v>13</v>
      </c>
      <c r="E397" s="4">
        <v>56233776</v>
      </c>
      <c r="F397">
        <v>22.72</v>
      </c>
      <c r="G397">
        <v>31.23</v>
      </c>
      <c r="H397">
        <v>1873.51</v>
      </c>
      <c r="I397">
        <v>137.43</v>
      </c>
      <c r="J397" s="5">
        <v>46060</v>
      </c>
      <c r="K397">
        <f t="shared" si="6"/>
        <v>107.36</v>
      </c>
      <c r="L397" t="str" cm="1">
        <f t="array" ref="L397">_xlfn.IFS(E397&gt;=52000000,"Platinum",E397&gt;=37000000,"Gold",E397&gt;=30000000,"Sliver",E397&lt;30000000,"Bronze")</f>
        <v>Platinum</v>
      </c>
    </row>
    <row r="398" spans="1:12" x14ac:dyDescent="0.25">
      <c r="A398">
        <v>397</v>
      </c>
      <c r="B398" t="s">
        <v>418</v>
      </c>
      <c r="C398" t="s">
        <v>21</v>
      </c>
      <c r="D398" t="s">
        <v>25</v>
      </c>
      <c r="E398" s="4">
        <v>59345588</v>
      </c>
      <c r="F398">
        <v>45.05</v>
      </c>
      <c r="G398">
        <v>1.46</v>
      </c>
      <c r="H398">
        <v>87.32</v>
      </c>
      <c r="I398">
        <v>3.23</v>
      </c>
      <c r="J398" s="5">
        <v>46060</v>
      </c>
      <c r="K398">
        <f t="shared" si="6"/>
        <v>29.09</v>
      </c>
      <c r="L398" t="str" cm="1">
        <f t="array" ref="L398">_xlfn.IFS(E398&gt;=52000000,"Platinum",E398&gt;=37000000,"Gold",E398&gt;=30000000,"Sliver",E398&lt;30000000,"Bronze")</f>
        <v>Platinum</v>
      </c>
    </row>
    <row r="399" spans="1:12" x14ac:dyDescent="0.25">
      <c r="A399">
        <v>398</v>
      </c>
      <c r="B399" t="s">
        <v>419</v>
      </c>
      <c r="C399" t="s">
        <v>29</v>
      </c>
      <c r="D399" t="s">
        <v>13</v>
      </c>
      <c r="E399" s="4">
        <v>50144189</v>
      </c>
      <c r="F399">
        <v>54.63</v>
      </c>
      <c r="G399">
        <v>8.64</v>
      </c>
      <c r="H399">
        <v>518.65</v>
      </c>
      <c r="I399">
        <v>15.82</v>
      </c>
      <c r="J399" s="5">
        <v>46060</v>
      </c>
      <c r="K399">
        <f t="shared" si="6"/>
        <v>30.6</v>
      </c>
      <c r="L399" t="str" cm="1">
        <f t="array" ref="L399">_xlfn.IFS(E399&gt;=52000000,"Platinum",E399&gt;=37000000,"Gold",E399&gt;=30000000,"Sliver",E399&lt;30000000,"Bronze")</f>
        <v>Gold</v>
      </c>
    </row>
    <row r="400" spans="1:12" x14ac:dyDescent="0.25">
      <c r="A400">
        <v>399</v>
      </c>
      <c r="B400" t="s">
        <v>420</v>
      </c>
      <c r="C400" t="s">
        <v>29</v>
      </c>
      <c r="D400" t="s">
        <v>22</v>
      </c>
      <c r="E400" s="4">
        <v>55534712</v>
      </c>
      <c r="F400">
        <v>37.71</v>
      </c>
      <c r="G400">
        <v>8.1199999999999992</v>
      </c>
      <c r="H400">
        <v>487.38</v>
      </c>
      <c r="I400">
        <v>21.54</v>
      </c>
      <c r="J400" s="5">
        <v>46060</v>
      </c>
      <c r="K400">
        <f t="shared" si="6"/>
        <v>41.92</v>
      </c>
      <c r="L400" t="str" cm="1">
        <f t="array" ref="L400">_xlfn.IFS(E400&gt;=52000000,"Platinum",E400&gt;=37000000,"Gold",E400&gt;=30000000,"Sliver",E400&lt;30000000,"Bronze")</f>
        <v>Platinum</v>
      </c>
    </row>
    <row r="401" spans="1:12" x14ac:dyDescent="0.25">
      <c r="A401">
        <v>400</v>
      </c>
      <c r="B401" t="s">
        <v>421</v>
      </c>
      <c r="C401" t="s">
        <v>16</v>
      </c>
      <c r="D401" t="s">
        <v>11</v>
      </c>
      <c r="E401" s="4">
        <v>42068488</v>
      </c>
      <c r="F401">
        <v>35.700000000000003</v>
      </c>
      <c r="G401">
        <v>2.58</v>
      </c>
      <c r="H401">
        <v>154.53</v>
      </c>
      <c r="I401">
        <v>7.21</v>
      </c>
      <c r="J401" s="5">
        <v>46060</v>
      </c>
      <c r="K401">
        <f t="shared" si="6"/>
        <v>35.76</v>
      </c>
      <c r="L401" t="str" cm="1">
        <f t="array" ref="L401">_xlfn.IFS(E401&gt;=52000000,"Platinum",E401&gt;=37000000,"Gold",E401&gt;=30000000,"Sliver",E401&lt;30000000,"Bronze")</f>
        <v>Gold</v>
      </c>
    </row>
    <row r="402" spans="1:12" x14ac:dyDescent="0.25">
      <c r="A402">
        <v>401</v>
      </c>
      <c r="B402" t="s">
        <v>422</v>
      </c>
      <c r="C402" t="s">
        <v>46</v>
      </c>
      <c r="D402" t="s">
        <v>25</v>
      </c>
      <c r="E402" s="4">
        <v>46558385</v>
      </c>
      <c r="F402">
        <v>32.840000000000003</v>
      </c>
      <c r="G402">
        <v>3.57</v>
      </c>
      <c r="H402">
        <v>214.28</v>
      </c>
      <c r="I402">
        <v>10.87</v>
      </c>
      <c r="J402" s="5">
        <v>46060</v>
      </c>
      <c r="K402">
        <f t="shared" si="6"/>
        <v>39.020000000000003</v>
      </c>
      <c r="L402" t="str" cm="1">
        <f t="array" ref="L402">_xlfn.IFS(E402&gt;=52000000,"Platinum",E402&gt;=37000000,"Gold",E402&gt;=30000000,"Sliver",E402&lt;30000000,"Bronze")</f>
        <v>Gold</v>
      </c>
    </row>
    <row r="403" spans="1:12" x14ac:dyDescent="0.25">
      <c r="A403">
        <v>402</v>
      </c>
      <c r="B403" t="s">
        <v>423</v>
      </c>
      <c r="C403" t="s">
        <v>19</v>
      </c>
      <c r="D403" t="s">
        <v>17</v>
      </c>
      <c r="E403" s="4">
        <v>42803459</v>
      </c>
      <c r="F403">
        <v>56.96</v>
      </c>
      <c r="G403">
        <v>4.3600000000000003</v>
      </c>
      <c r="H403">
        <v>261.82</v>
      </c>
      <c r="I403">
        <v>7.66</v>
      </c>
      <c r="J403" s="5">
        <v>46060</v>
      </c>
      <c r="K403">
        <f t="shared" si="6"/>
        <v>25.35</v>
      </c>
      <c r="L403" t="str" cm="1">
        <f t="array" ref="L403">_xlfn.IFS(E403&gt;=52000000,"Platinum",E403&gt;=37000000,"Gold",E403&gt;=30000000,"Sliver",E403&lt;30000000,"Bronze")</f>
        <v>Gold</v>
      </c>
    </row>
    <row r="404" spans="1:12" x14ac:dyDescent="0.25">
      <c r="A404">
        <v>403</v>
      </c>
      <c r="B404" t="s">
        <v>424</v>
      </c>
      <c r="C404" t="s">
        <v>10</v>
      </c>
      <c r="D404" s="1" t="s">
        <v>32</v>
      </c>
      <c r="E404" s="4">
        <v>49770927</v>
      </c>
      <c r="F404">
        <v>39.28</v>
      </c>
      <c r="G404">
        <v>7.95</v>
      </c>
      <c r="H404">
        <v>476.74</v>
      </c>
      <c r="I404">
        <v>20.23</v>
      </c>
      <c r="J404" s="5">
        <v>46060</v>
      </c>
      <c r="K404">
        <f t="shared" si="6"/>
        <v>40.479999999999997</v>
      </c>
      <c r="L404" t="str" cm="1">
        <f t="array" ref="L404">_xlfn.IFS(E404&gt;=52000000,"Platinum",E404&gt;=37000000,"Gold",E404&gt;=30000000,"Sliver",E404&lt;30000000,"Bronze")</f>
        <v>Gold</v>
      </c>
    </row>
    <row r="405" spans="1:12" x14ac:dyDescent="0.25">
      <c r="A405">
        <v>404</v>
      </c>
      <c r="B405" t="s">
        <v>425</v>
      </c>
      <c r="C405" t="s">
        <v>21</v>
      </c>
      <c r="D405" t="s">
        <v>11</v>
      </c>
      <c r="E405" s="4">
        <v>44077688</v>
      </c>
      <c r="F405">
        <v>47.66</v>
      </c>
      <c r="G405">
        <v>2.0699999999999998</v>
      </c>
      <c r="H405">
        <v>124.08</v>
      </c>
      <c r="I405">
        <v>4.34</v>
      </c>
      <c r="J405" s="5">
        <v>46060</v>
      </c>
      <c r="K405">
        <f t="shared" si="6"/>
        <v>28.34</v>
      </c>
      <c r="L405" t="str" cm="1">
        <f t="array" ref="L405">_xlfn.IFS(E405&gt;=52000000,"Platinum",E405&gt;=37000000,"Gold",E405&gt;=30000000,"Sliver",E405&lt;30000000,"Bronze")</f>
        <v>Gold</v>
      </c>
    </row>
    <row r="406" spans="1:12" x14ac:dyDescent="0.25">
      <c r="A406">
        <v>405</v>
      </c>
      <c r="B406" t="s">
        <v>426</v>
      </c>
      <c r="C406" t="s">
        <v>29</v>
      </c>
      <c r="D406" t="s">
        <v>13</v>
      </c>
      <c r="E406" s="4">
        <v>52260300</v>
      </c>
      <c r="F406">
        <v>50.69</v>
      </c>
      <c r="G406">
        <v>5.39</v>
      </c>
      <c r="H406">
        <v>323.68</v>
      </c>
      <c r="I406">
        <v>10.64</v>
      </c>
      <c r="J406" s="5">
        <v>46060</v>
      </c>
      <c r="K406">
        <f t="shared" si="6"/>
        <v>29.98</v>
      </c>
      <c r="L406" t="str" cm="1">
        <f t="array" ref="L406">_xlfn.IFS(E406&gt;=52000000,"Platinum",E406&gt;=37000000,"Gold",E406&gt;=30000000,"Sliver",E406&lt;30000000,"Bronze")</f>
        <v>Platinum</v>
      </c>
    </row>
    <row r="407" spans="1:12" x14ac:dyDescent="0.25">
      <c r="A407">
        <v>406</v>
      </c>
      <c r="B407" t="s">
        <v>427</v>
      </c>
      <c r="C407" t="s">
        <v>16</v>
      </c>
      <c r="D407" t="s">
        <v>25</v>
      </c>
      <c r="E407" s="4">
        <v>43483403</v>
      </c>
      <c r="F407">
        <v>43.24</v>
      </c>
      <c r="G407">
        <v>7.56</v>
      </c>
      <c r="H407">
        <v>453.64</v>
      </c>
      <c r="I407">
        <v>17.489999999999998</v>
      </c>
      <c r="J407" s="5">
        <v>46060</v>
      </c>
      <c r="K407">
        <f t="shared" si="6"/>
        <v>37.130000000000003</v>
      </c>
      <c r="L407" t="str" cm="1">
        <f t="array" ref="L407">_xlfn.IFS(E407&gt;=52000000,"Platinum",E407&gt;=37000000,"Gold",E407&gt;=30000000,"Sliver",E407&lt;30000000,"Bronze")</f>
        <v>Gold</v>
      </c>
    </row>
    <row r="408" spans="1:12" x14ac:dyDescent="0.25">
      <c r="A408">
        <v>407</v>
      </c>
      <c r="B408" t="s">
        <v>428</v>
      </c>
      <c r="C408" t="s">
        <v>29</v>
      </c>
      <c r="D408" t="s">
        <v>11</v>
      </c>
      <c r="E408" s="4">
        <v>43806204</v>
      </c>
      <c r="F408">
        <v>37.729999999999997</v>
      </c>
      <c r="G408">
        <v>6.51</v>
      </c>
      <c r="H408">
        <v>390.78</v>
      </c>
      <c r="I408">
        <v>17.260000000000002</v>
      </c>
      <c r="J408" s="5">
        <v>46060</v>
      </c>
      <c r="K408">
        <f t="shared" si="6"/>
        <v>39.770000000000003</v>
      </c>
      <c r="L408" t="str" cm="1">
        <f t="array" ref="L408">_xlfn.IFS(E408&gt;=52000000,"Platinum",E408&gt;=37000000,"Gold",E408&gt;=30000000,"Sliver",E408&lt;30000000,"Bronze")</f>
        <v>Gold</v>
      </c>
    </row>
    <row r="409" spans="1:12" x14ac:dyDescent="0.25">
      <c r="A409">
        <v>408</v>
      </c>
      <c r="B409" t="s">
        <v>429</v>
      </c>
      <c r="C409" t="s">
        <v>21</v>
      </c>
      <c r="D409" t="s">
        <v>22</v>
      </c>
      <c r="E409" s="4">
        <v>41500075</v>
      </c>
      <c r="F409">
        <v>35.83</v>
      </c>
      <c r="G409">
        <v>1.01</v>
      </c>
      <c r="H409">
        <v>60.76</v>
      </c>
      <c r="I409">
        <v>2.83</v>
      </c>
      <c r="J409" s="5">
        <v>46060</v>
      </c>
      <c r="K409">
        <f t="shared" si="6"/>
        <v>33.5</v>
      </c>
      <c r="L409" t="str" cm="1">
        <f t="array" ref="L409">_xlfn.IFS(E409&gt;=52000000,"Platinum",E409&gt;=37000000,"Gold",E409&gt;=30000000,"Sliver",E409&lt;30000000,"Bronze")</f>
        <v>Gold</v>
      </c>
    </row>
    <row r="410" spans="1:12" x14ac:dyDescent="0.25">
      <c r="A410">
        <v>409</v>
      </c>
      <c r="B410" t="s">
        <v>430</v>
      </c>
      <c r="C410" t="s">
        <v>16</v>
      </c>
      <c r="D410" t="s">
        <v>13</v>
      </c>
      <c r="E410" s="4">
        <v>39626333</v>
      </c>
      <c r="F410">
        <v>31.5</v>
      </c>
      <c r="G410">
        <v>7.07</v>
      </c>
      <c r="H410">
        <v>423.96</v>
      </c>
      <c r="I410">
        <v>22.43</v>
      </c>
      <c r="J410" s="5">
        <v>46060</v>
      </c>
      <c r="K410">
        <f t="shared" si="6"/>
        <v>45.47</v>
      </c>
      <c r="L410" t="str" cm="1">
        <f t="array" ref="L410">_xlfn.IFS(E410&gt;=52000000,"Platinum",E410&gt;=37000000,"Gold",E410&gt;=30000000,"Sliver",E410&lt;30000000,"Bronze")</f>
        <v>Gold</v>
      </c>
    </row>
    <row r="411" spans="1:12" x14ac:dyDescent="0.25">
      <c r="A411">
        <v>410</v>
      </c>
      <c r="B411" t="s">
        <v>431</v>
      </c>
      <c r="C411" t="s">
        <v>16</v>
      </c>
      <c r="D411" t="s">
        <v>13</v>
      </c>
      <c r="E411" s="4">
        <v>57496418</v>
      </c>
      <c r="F411">
        <v>49.16</v>
      </c>
      <c r="G411">
        <v>6.18</v>
      </c>
      <c r="H411">
        <v>370.52</v>
      </c>
      <c r="I411">
        <v>12.56</v>
      </c>
      <c r="J411" s="5">
        <v>46060</v>
      </c>
      <c r="K411">
        <f t="shared" si="6"/>
        <v>31.7</v>
      </c>
      <c r="L411" t="str" cm="1">
        <f t="array" ref="L411">_xlfn.IFS(E411&gt;=52000000,"Platinum",E411&gt;=37000000,"Gold",E411&gt;=30000000,"Sliver",E411&lt;30000000,"Bronze")</f>
        <v>Platinum</v>
      </c>
    </row>
    <row r="412" spans="1:12" x14ac:dyDescent="0.25">
      <c r="A412">
        <v>411</v>
      </c>
      <c r="B412" t="s">
        <v>432</v>
      </c>
      <c r="C412" t="s">
        <v>21</v>
      </c>
      <c r="D412" t="s">
        <v>11</v>
      </c>
      <c r="E412" s="4">
        <v>44143017</v>
      </c>
      <c r="F412">
        <v>42.99</v>
      </c>
      <c r="G412">
        <v>1.1000000000000001</v>
      </c>
      <c r="H412">
        <v>65.87</v>
      </c>
      <c r="I412">
        <v>2.5499999999999998</v>
      </c>
      <c r="J412" s="5">
        <v>46060</v>
      </c>
      <c r="K412">
        <f t="shared" si="6"/>
        <v>29.78</v>
      </c>
      <c r="L412" t="str" cm="1">
        <f t="array" ref="L412">_xlfn.IFS(E412&gt;=52000000,"Platinum",E412&gt;=37000000,"Gold",E412&gt;=30000000,"Sliver",E412&lt;30000000,"Bronze")</f>
        <v>Gold</v>
      </c>
    </row>
    <row r="413" spans="1:12" x14ac:dyDescent="0.25">
      <c r="A413">
        <v>412</v>
      </c>
      <c r="B413" t="s">
        <v>433</v>
      </c>
      <c r="C413" t="s">
        <v>29</v>
      </c>
      <c r="D413" t="s">
        <v>11</v>
      </c>
      <c r="E413" s="4">
        <v>52090697</v>
      </c>
      <c r="F413">
        <v>43.94</v>
      </c>
      <c r="G413">
        <v>2.0299999999999998</v>
      </c>
      <c r="H413">
        <v>121.73</v>
      </c>
      <c r="I413">
        <v>4.62</v>
      </c>
      <c r="J413" s="5">
        <v>46060</v>
      </c>
      <c r="K413">
        <f t="shared" si="6"/>
        <v>30.34</v>
      </c>
      <c r="L413" t="str" cm="1">
        <f t="array" ref="L413">_xlfn.IFS(E413&gt;=52000000,"Platinum",E413&gt;=37000000,"Gold",E413&gt;=30000000,"Sliver",E413&lt;30000000,"Bronze")</f>
        <v>Platinum</v>
      </c>
    </row>
    <row r="414" spans="1:12" x14ac:dyDescent="0.25">
      <c r="A414">
        <v>413</v>
      </c>
      <c r="B414" t="s">
        <v>434</v>
      </c>
      <c r="C414" t="s">
        <v>19</v>
      </c>
      <c r="D414" t="s">
        <v>13</v>
      </c>
      <c r="E414" s="4">
        <v>56773960</v>
      </c>
      <c r="F414">
        <v>34.020000000000003</v>
      </c>
      <c r="G414">
        <v>9.58</v>
      </c>
      <c r="H414">
        <v>574.99</v>
      </c>
      <c r="I414">
        <v>28.17</v>
      </c>
      <c r="J414" s="5">
        <v>46060</v>
      </c>
      <c r="K414">
        <f t="shared" si="6"/>
        <v>47.08</v>
      </c>
      <c r="L414" t="str" cm="1">
        <f t="array" ref="L414">_xlfn.IFS(E414&gt;=52000000,"Platinum",E414&gt;=37000000,"Gold",E414&gt;=30000000,"Sliver",E414&lt;30000000,"Bronze")</f>
        <v>Platinum</v>
      </c>
    </row>
    <row r="415" spans="1:12" x14ac:dyDescent="0.25">
      <c r="A415">
        <v>414</v>
      </c>
      <c r="B415" t="s">
        <v>435</v>
      </c>
      <c r="C415" t="s">
        <v>10</v>
      </c>
      <c r="D415" t="s">
        <v>17</v>
      </c>
      <c r="E415" s="4">
        <v>48227425</v>
      </c>
      <c r="F415" s="1">
        <f>CALCULATION!$C$11</f>
        <v>42.81</v>
      </c>
      <c r="G415" s="1">
        <v>4.2699999999999996</v>
      </c>
      <c r="H415">
        <v>255.99</v>
      </c>
      <c r="I415">
        <v>7.19</v>
      </c>
      <c r="J415" s="5">
        <v>46060</v>
      </c>
      <c r="K415">
        <f t="shared" si="6"/>
        <v>32.19</v>
      </c>
      <c r="L415" t="str" cm="1">
        <f t="array" ref="L415">_xlfn.IFS(E415&gt;=52000000,"Platinum",E415&gt;=37000000,"Gold",E415&gt;=30000000,"Sliver",E415&lt;30000000,"Bronze")</f>
        <v>Gold</v>
      </c>
    </row>
    <row r="416" spans="1:12" x14ac:dyDescent="0.25">
      <c r="A416">
        <v>415</v>
      </c>
      <c r="B416" t="s">
        <v>436</v>
      </c>
      <c r="C416" t="s">
        <v>29</v>
      </c>
      <c r="D416" t="s">
        <v>11</v>
      </c>
      <c r="E416" s="4">
        <v>43463823</v>
      </c>
      <c r="F416">
        <v>52.99</v>
      </c>
      <c r="G416">
        <v>2.4</v>
      </c>
      <c r="H416">
        <v>144.22999999999999</v>
      </c>
      <c r="I416">
        <v>4.54</v>
      </c>
      <c r="J416" s="5">
        <v>46060</v>
      </c>
      <c r="K416">
        <f t="shared" si="6"/>
        <v>25.78</v>
      </c>
      <c r="L416" t="str" cm="1">
        <f t="array" ref="L416">_xlfn.IFS(E416&gt;=52000000,"Platinum",E416&gt;=37000000,"Gold",E416&gt;=30000000,"Sliver",E416&lt;30000000,"Bronze")</f>
        <v>Gold</v>
      </c>
    </row>
    <row r="417" spans="1:12" x14ac:dyDescent="0.25">
      <c r="A417">
        <v>416</v>
      </c>
      <c r="B417" t="s">
        <v>437</v>
      </c>
      <c r="C417" t="s">
        <v>19</v>
      </c>
      <c r="D417" t="s">
        <v>17</v>
      </c>
      <c r="E417" s="4">
        <v>42896910</v>
      </c>
      <c r="F417">
        <v>37.729999999999997</v>
      </c>
      <c r="G417">
        <v>8.23</v>
      </c>
      <c r="H417">
        <v>493.75</v>
      </c>
      <c r="I417">
        <v>21.81</v>
      </c>
      <c r="J417" s="5">
        <v>46060</v>
      </c>
      <c r="K417">
        <f t="shared" si="6"/>
        <v>42.04</v>
      </c>
      <c r="L417" t="str" cm="1">
        <f t="array" ref="L417">_xlfn.IFS(E417&gt;=52000000,"Platinum",E417&gt;=37000000,"Gold",E417&gt;=30000000,"Sliver",E417&lt;30000000,"Bronze")</f>
        <v>Gold</v>
      </c>
    </row>
    <row r="418" spans="1:12" x14ac:dyDescent="0.25">
      <c r="A418">
        <v>417</v>
      </c>
      <c r="B418" t="s">
        <v>438</v>
      </c>
      <c r="C418" t="s">
        <v>10</v>
      </c>
      <c r="D418" t="s">
        <v>13</v>
      </c>
      <c r="E418" s="4">
        <v>48153387</v>
      </c>
      <c r="F418">
        <v>39.090000000000003</v>
      </c>
      <c r="G418">
        <v>8.8699999999999992</v>
      </c>
      <c r="H418">
        <v>532.02</v>
      </c>
      <c r="I418">
        <v>22.68</v>
      </c>
      <c r="J418" s="5">
        <v>46060</v>
      </c>
      <c r="K418">
        <f t="shared" si="6"/>
        <v>41.8</v>
      </c>
      <c r="L418" t="str" cm="1">
        <f t="array" ref="L418">_xlfn.IFS(E418&gt;=52000000,"Platinum",E418&gt;=37000000,"Gold",E418&gt;=30000000,"Sliver",E418&lt;30000000,"Bronze")</f>
        <v>Gold</v>
      </c>
    </row>
    <row r="419" spans="1:12" x14ac:dyDescent="0.25">
      <c r="A419">
        <v>418</v>
      </c>
      <c r="B419" t="s">
        <v>439</v>
      </c>
      <c r="C419" t="s">
        <v>21</v>
      </c>
      <c r="D419" t="s">
        <v>32</v>
      </c>
      <c r="E419" s="4">
        <v>44624433</v>
      </c>
      <c r="F419">
        <v>41.49</v>
      </c>
      <c r="G419">
        <v>2.2200000000000002</v>
      </c>
      <c r="H419">
        <v>133.19</v>
      </c>
      <c r="I419">
        <v>5.35</v>
      </c>
      <c r="J419" s="5">
        <v>46060</v>
      </c>
      <c r="K419">
        <f t="shared" si="6"/>
        <v>31.93</v>
      </c>
      <c r="L419" t="str" cm="1">
        <f t="array" ref="L419">_xlfn.IFS(E419&gt;=52000000,"Platinum",E419&gt;=37000000,"Gold",E419&gt;=30000000,"Sliver",E419&lt;30000000,"Bronze")</f>
        <v>Gold</v>
      </c>
    </row>
    <row r="420" spans="1:12" x14ac:dyDescent="0.25">
      <c r="A420">
        <v>419</v>
      </c>
      <c r="B420" t="s">
        <v>440</v>
      </c>
      <c r="C420" t="s">
        <v>16</v>
      </c>
      <c r="D420" t="s">
        <v>25</v>
      </c>
      <c r="E420" s="4">
        <v>43135340</v>
      </c>
      <c r="F420">
        <v>38.270000000000003</v>
      </c>
      <c r="G420">
        <v>2.88</v>
      </c>
      <c r="H420">
        <v>172.85</v>
      </c>
      <c r="I420">
        <v>7.53</v>
      </c>
      <c r="J420" s="5">
        <v>46060</v>
      </c>
      <c r="K420">
        <f t="shared" si="6"/>
        <v>34.630000000000003</v>
      </c>
      <c r="L420" t="str" cm="1">
        <f t="array" ref="L420">_xlfn.IFS(E420&gt;=52000000,"Platinum",E420&gt;=37000000,"Gold",E420&gt;=30000000,"Sliver",E420&lt;30000000,"Bronze")</f>
        <v>Gold</v>
      </c>
    </row>
    <row r="421" spans="1:12" x14ac:dyDescent="0.25">
      <c r="A421">
        <v>420</v>
      </c>
      <c r="B421" t="s">
        <v>441</v>
      </c>
      <c r="C421" t="s">
        <v>46</v>
      </c>
      <c r="D421" t="s">
        <v>17</v>
      </c>
      <c r="E421" s="4">
        <v>52278813</v>
      </c>
      <c r="F421">
        <v>30.36</v>
      </c>
      <c r="G421">
        <v>6.19</v>
      </c>
      <c r="H421">
        <v>371.35</v>
      </c>
      <c r="I421">
        <v>20.39</v>
      </c>
      <c r="J421" s="5">
        <v>46060</v>
      </c>
      <c r="K421">
        <f t="shared" si="6"/>
        <v>45.02</v>
      </c>
      <c r="L421" t="str" cm="1">
        <f t="array" ref="L421">_xlfn.IFS(E421&gt;=52000000,"Platinum",E421&gt;=37000000,"Gold",E421&gt;=30000000,"Sliver",E421&lt;30000000,"Bronze")</f>
        <v>Platinum</v>
      </c>
    </row>
    <row r="422" spans="1:12" x14ac:dyDescent="0.25">
      <c r="A422">
        <v>421</v>
      </c>
      <c r="B422" t="s">
        <v>442</v>
      </c>
      <c r="C422" t="s">
        <v>21</v>
      </c>
      <c r="D422" t="s">
        <v>25</v>
      </c>
      <c r="E422" s="4">
        <v>53007724</v>
      </c>
      <c r="F422">
        <v>36.99</v>
      </c>
      <c r="G422">
        <v>1.2</v>
      </c>
      <c r="H422">
        <v>71.89</v>
      </c>
      <c r="I422">
        <v>3.24</v>
      </c>
      <c r="J422" s="5">
        <v>46060</v>
      </c>
      <c r="K422">
        <f t="shared" si="6"/>
        <v>33.130000000000003</v>
      </c>
      <c r="L422" t="str" cm="1">
        <f t="array" ref="L422">_xlfn.IFS(E422&gt;=52000000,"Platinum",E422&gt;=37000000,"Gold",E422&gt;=30000000,"Sliver",E422&lt;30000000,"Bronze")</f>
        <v>Platinum</v>
      </c>
    </row>
    <row r="423" spans="1:12" x14ac:dyDescent="0.25">
      <c r="A423">
        <v>422</v>
      </c>
      <c r="B423" t="s">
        <v>443</v>
      </c>
      <c r="C423" t="s">
        <v>46</v>
      </c>
      <c r="D423" t="s">
        <v>13</v>
      </c>
      <c r="E423" s="4">
        <v>44516457</v>
      </c>
      <c r="F423">
        <v>44.1</v>
      </c>
      <c r="G423">
        <v>4.0199999999999996</v>
      </c>
      <c r="H423">
        <v>241.28</v>
      </c>
      <c r="I423">
        <v>9.1199999999999992</v>
      </c>
      <c r="J423" s="5">
        <v>46060</v>
      </c>
      <c r="K423">
        <f t="shared" si="6"/>
        <v>32.51</v>
      </c>
      <c r="L423" t="str" cm="1">
        <f t="array" ref="L423">_xlfn.IFS(E423&gt;=52000000,"Platinum",E423&gt;=37000000,"Gold",E423&gt;=30000000,"Sliver",E423&lt;30000000,"Bronze")</f>
        <v>Gold</v>
      </c>
    </row>
    <row r="424" spans="1:12" x14ac:dyDescent="0.25">
      <c r="A424">
        <v>423</v>
      </c>
      <c r="B424" t="s">
        <v>444</v>
      </c>
      <c r="C424" t="s">
        <v>29</v>
      </c>
      <c r="D424" t="s">
        <v>22</v>
      </c>
      <c r="E424" s="4">
        <v>51141860</v>
      </c>
      <c r="F424" s="1">
        <f>CALCULATION!$C$11</f>
        <v>42.81</v>
      </c>
      <c r="G424" s="1">
        <v>8.51</v>
      </c>
      <c r="H424">
        <v>510.54</v>
      </c>
      <c r="I424">
        <v>25.07</v>
      </c>
      <c r="J424" s="5">
        <v>46060</v>
      </c>
      <c r="K424">
        <f t="shared" si="6"/>
        <v>41.13</v>
      </c>
      <c r="L424" t="str" cm="1">
        <f t="array" ref="L424">_xlfn.IFS(E424&gt;=52000000,"Platinum",E424&gt;=37000000,"Gold",E424&gt;=30000000,"Sliver",E424&lt;30000000,"Bronze")</f>
        <v>Gold</v>
      </c>
    </row>
    <row r="425" spans="1:12" x14ac:dyDescent="0.25">
      <c r="A425">
        <v>424</v>
      </c>
      <c r="B425" t="s">
        <v>445</v>
      </c>
      <c r="C425" t="s">
        <v>27</v>
      </c>
      <c r="D425" t="s">
        <v>25</v>
      </c>
      <c r="E425" s="4">
        <v>55923105</v>
      </c>
      <c r="F425" s="1">
        <f>CALCULATION!$C$11</f>
        <v>42.81</v>
      </c>
      <c r="G425" s="1">
        <v>26.25</v>
      </c>
      <c r="H425">
        <v>1574.96</v>
      </c>
      <c r="I425">
        <v>108.16</v>
      </c>
      <c r="J425" s="5">
        <v>46060</v>
      </c>
      <c r="K425">
        <f t="shared" si="6"/>
        <v>82.68</v>
      </c>
      <c r="L425" t="str" cm="1">
        <f t="array" ref="L425">_xlfn.IFS(E425&gt;=52000000,"Platinum",E425&gt;=37000000,"Gold",E425&gt;=30000000,"Sliver",E425&lt;30000000,"Bronze")</f>
        <v>Platinum</v>
      </c>
    </row>
    <row r="426" spans="1:12" x14ac:dyDescent="0.25">
      <c r="A426">
        <v>425</v>
      </c>
      <c r="B426" t="s">
        <v>446</v>
      </c>
      <c r="C426" t="s">
        <v>16</v>
      </c>
      <c r="D426" t="s">
        <v>32</v>
      </c>
      <c r="E426" s="4">
        <v>52524481</v>
      </c>
      <c r="F426">
        <v>32.659999999999997</v>
      </c>
      <c r="G426">
        <v>5.51</v>
      </c>
      <c r="H426">
        <v>330.78</v>
      </c>
      <c r="I426">
        <v>16.88</v>
      </c>
      <c r="J426" s="5">
        <v>46060</v>
      </c>
      <c r="K426">
        <f t="shared" si="6"/>
        <v>42.11</v>
      </c>
      <c r="L426" t="str" cm="1">
        <f t="array" ref="L426">_xlfn.IFS(E426&gt;=52000000,"Platinum",E426&gt;=37000000,"Gold",E426&gt;=30000000,"Sliver",E426&lt;30000000,"Bronze")</f>
        <v>Platinum</v>
      </c>
    </row>
    <row r="427" spans="1:12" x14ac:dyDescent="0.25">
      <c r="A427">
        <v>426</v>
      </c>
      <c r="B427" t="s">
        <v>447</v>
      </c>
      <c r="C427" t="s">
        <v>29</v>
      </c>
      <c r="D427" t="s">
        <v>13</v>
      </c>
      <c r="E427" s="4">
        <v>48354617</v>
      </c>
      <c r="F427">
        <v>54.36</v>
      </c>
      <c r="G427">
        <v>9.8000000000000007</v>
      </c>
      <c r="H427">
        <v>588.07000000000005</v>
      </c>
      <c r="I427">
        <v>18.03</v>
      </c>
      <c r="J427" s="5">
        <v>46060</v>
      </c>
      <c r="K427">
        <f t="shared" si="6"/>
        <v>31.84</v>
      </c>
      <c r="L427" t="str" cm="1">
        <f t="array" ref="L427">_xlfn.IFS(E427&gt;=52000000,"Platinum",E427&gt;=37000000,"Gold",E427&gt;=30000000,"Sliver",E427&lt;30000000,"Bronze")</f>
        <v>Gold</v>
      </c>
    </row>
    <row r="428" spans="1:12" x14ac:dyDescent="0.25">
      <c r="A428">
        <v>427</v>
      </c>
      <c r="B428" t="s">
        <v>448</v>
      </c>
      <c r="C428" t="s">
        <v>27</v>
      </c>
      <c r="D428" t="s">
        <v>32</v>
      </c>
      <c r="E428" s="4">
        <v>54493595</v>
      </c>
      <c r="F428">
        <v>16.3</v>
      </c>
      <c r="G428">
        <v>29.14</v>
      </c>
      <c r="H428">
        <v>1748.4</v>
      </c>
      <c r="I428">
        <v>178.77</v>
      </c>
      <c r="J428" s="5">
        <v>46060</v>
      </c>
      <c r="K428">
        <f t="shared" si="6"/>
        <v>131.24</v>
      </c>
      <c r="L428" t="str" cm="1">
        <f t="array" ref="L428">_xlfn.IFS(E428&gt;=52000000,"Platinum",E428&gt;=37000000,"Gold",E428&gt;=30000000,"Sliver",E428&lt;30000000,"Bronze")</f>
        <v>Platinum</v>
      </c>
    </row>
    <row r="429" spans="1:12" x14ac:dyDescent="0.25">
      <c r="A429">
        <v>428</v>
      </c>
      <c r="B429" t="s">
        <v>449</v>
      </c>
      <c r="C429" t="s">
        <v>27</v>
      </c>
      <c r="D429" t="s">
        <v>13</v>
      </c>
      <c r="E429" s="4">
        <v>39596096</v>
      </c>
      <c r="F429">
        <v>25.38</v>
      </c>
      <c r="G429">
        <v>38.659999999999997</v>
      </c>
      <c r="H429">
        <v>2319.56</v>
      </c>
      <c r="I429">
        <v>152.32</v>
      </c>
      <c r="J429" s="5">
        <v>46060</v>
      </c>
      <c r="K429">
        <f t="shared" si="6"/>
        <v>113.47</v>
      </c>
      <c r="L429" t="str" cm="1">
        <f t="array" ref="L429">_xlfn.IFS(E429&gt;=52000000,"Platinum",E429&gt;=37000000,"Gold",E429&gt;=30000000,"Sliver",E429&lt;30000000,"Bronze")</f>
        <v>Gold</v>
      </c>
    </row>
    <row r="430" spans="1:12" x14ac:dyDescent="0.25">
      <c r="A430">
        <v>429</v>
      </c>
      <c r="B430" t="s">
        <v>450</v>
      </c>
      <c r="C430" t="s">
        <v>21</v>
      </c>
      <c r="D430" t="s">
        <v>11</v>
      </c>
      <c r="E430" s="4">
        <v>47299063</v>
      </c>
      <c r="F430" s="1">
        <f>CALCULATION!$C$11</f>
        <v>42.81</v>
      </c>
      <c r="G430" s="1">
        <v>2.11</v>
      </c>
      <c r="H430">
        <v>126.77</v>
      </c>
      <c r="I430">
        <v>4.79</v>
      </c>
      <c r="J430" s="5">
        <v>46060</v>
      </c>
      <c r="K430">
        <f t="shared" si="6"/>
        <v>30.99</v>
      </c>
      <c r="L430" t="str" cm="1">
        <f t="array" ref="L430">_xlfn.IFS(E430&gt;=52000000,"Platinum",E430&gt;=37000000,"Gold",E430&gt;=30000000,"Sliver",E430&lt;30000000,"Bronze")</f>
        <v>Gold</v>
      </c>
    </row>
    <row r="431" spans="1:12" x14ac:dyDescent="0.25">
      <c r="A431">
        <v>430</v>
      </c>
      <c r="B431" t="s">
        <v>451</v>
      </c>
      <c r="C431" t="s">
        <v>16</v>
      </c>
      <c r="D431" t="s">
        <v>25</v>
      </c>
      <c r="E431" s="4">
        <v>47513964</v>
      </c>
      <c r="F431">
        <v>58.4</v>
      </c>
      <c r="G431">
        <v>4.16</v>
      </c>
      <c r="H431">
        <v>249.71</v>
      </c>
      <c r="I431">
        <v>7.13</v>
      </c>
      <c r="J431" s="5">
        <v>46060</v>
      </c>
      <c r="K431">
        <f t="shared" si="6"/>
        <v>24.37</v>
      </c>
      <c r="L431" t="str" cm="1">
        <f t="array" ref="L431">_xlfn.IFS(E431&gt;=52000000,"Platinum",E431&gt;=37000000,"Gold",E431&gt;=30000000,"Sliver",E431&lt;30000000,"Bronze")</f>
        <v>Gold</v>
      </c>
    </row>
    <row r="432" spans="1:12" x14ac:dyDescent="0.25">
      <c r="A432">
        <v>431</v>
      </c>
      <c r="B432" t="s">
        <v>452</v>
      </c>
      <c r="C432" t="s">
        <v>46</v>
      </c>
      <c r="D432" t="s">
        <v>17</v>
      </c>
      <c r="E432" s="4">
        <v>44273973</v>
      </c>
      <c r="F432">
        <v>54.87</v>
      </c>
      <c r="G432">
        <v>5.44</v>
      </c>
      <c r="H432">
        <v>326.25</v>
      </c>
      <c r="I432">
        <v>9.91</v>
      </c>
      <c r="J432" s="5">
        <v>46060</v>
      </c>
      <c r="K432">
        <f t="shared" si="6"/>
        <v>27.52</v>
      </c>
      <c r="L432" t="str" cm="1">
        <f t="array" ref="L432">_xlfn.IFS(E432&gt;=52000000,"Platinum",E432&gt;=37000000,"Gold",E432&gt;=30000000,"Sliver",E432&lt;30000000,"Bronze")</f>
        <v>Gold</v>
      </c>
    </row>
    <row r="433" spans="1:12" x14ac:dyDescent="0.25">
      <c r="A433">
        <v>432</v>
      </c>
      <c r="B433" t="s">
        <v>453</v>
      </c>
      <c r="C433" t="s">
        <v>10</v>
      </c>
      <c r="D433" t="s">
        <v>22</v>
      </c>
      <c r="E433" s="4">
        <v>40514324</v>
      </c>
      <c r="F433">
        <v>43.41</v>
      </c>
      <c r="G433">
        <v>5.23</v>
      </c>
      <c r="H433">
        <v>313.75</v>
      </c>
      <c r="I433">
        <v>12.05</v>
      </c>
      <c r="J433" s="5">
        <v>46060</v>
      </c>
      <c r="K433">
        <f t="shared" si="6"/>
        <v>34.32</v>
      </c>
      <c r="L433" t="str" cm="1">
        <f t="array" ref="L433">_xlfn.IFS(E433&gt;=52000000,"Platinum",E433&gt;=37000000,"Gold",E433&gt;=30000000,"Sliver",E433&lt;30000000,"Bronze")</f>
        <v>Gold</v>
      </c>
    </row>
    <row r="434" spans="1:12" x14ac:dyDescent="0.25">
      <c r="A434">
        <v>433</v>
      </c>
      <c r="B434" t="s">
        <v>454</v>
      </c>
      <c r="C434" t="s">
        <v>19</v>
      </c>
      <c r="D434" t="s">
        <v>22</v>
      </c>
      <c r="E434" s="4">
        <v>40959310</v>
      </c>
      <c r="F434" s="1">
        <f>CALCULATION!$C$11</f>
        <v>42.81</v>
      </c>
      <c r="G434" s="1">
        <v>8.76</v>
      </c>
      <c r="H434">
        <v>525.32000000000005</v>
      </c>
      <c r="I434">
        <v>15.92</v>
      </c>
      <c r="J434" s="5">
        <v>46060</v>
      </c>
      <c r="K434">
        <f t="shared" si="6"/>
        <v>36.56</v>
      </c>
      <c r="L434" t="str" cm="1">
        <f t="array" ref="L434">_xlfn.IFS(E434&gt;=52000000,"Platinum",E434&gt;=37000000,"Gold",E434&gt;=30000000,"Sliver",E434&lt;30000000,"Bronze")</f>
        <v>Gold</v>
      </c>
    </row>
    <row r="435" spans="1:12" x14ac:dyDescent="0.25">
      <c r="A435">
        <v>434</v>
      </c>
      <c r="B435" t="s">
        <v>455</v>
      </c>
      <c r="C435" t="s">
        <v>29</v>
      </c>
      <c r="D435" t="s">
        <v>25</v>
      </c>
      <c r="E435" s="4">
        <v>45336916</v>
      </c>
      <c r="F435" s="1">
        <f>CALCULATION!$C$11</f>
        <v>42.81</v>
      </c>
      <c r="G435" s="1">
        <v>4.29</v>
      </c>
      <c r="H435">
        <v>257.14999999999998</v>
      </c>
      <c r="I435">
        <v>10.71</v>
      </c>
      <c r="J435" s="5">
        <v>46060</v>
      </c>
      <c r="K435">
        <f t="shared" si="6"/>
        <v>33.950000000000003</v>
      </c>
      <c r="L435" t="str" cm="1">
        <f t="array" ref="L435">_xlfn.IFS(E435&gt;=52000000,"Platinum",E435&gt;=37000000,"Gold",E435&gt;=30000000,"Sliver",E435&lt;30000000,"Bronze")</f>
        <v>Gold</v>
      </c>
    </row>
    <row r="436" spans="1:12" x14ac:dyDescent="0.25">
      <c r="A436">
        <v>435</v>
      </c>
      <c r="B436" t="s">
        <v>456</v>
      </c>
      <c r="C436" t="s">
        <v>27</v>
      </c>
      <c r="D436" t="s">
        <v>11</v>
      </c>
      <c r="E436" s="4">
        <v>55485378</v>
      </c>
      <c r="F436">
        <v>23.64</v>
      </c>
      <c r="G436">
        <v>12.42</v>
      </c>
      <c r="H436">
        <v>745.01</v>
      </c>
      <c r="I436">
        <v>52.52</v>
      </c>
      <c r="J436" s="5">
        <v>46060</v>
      </c>
      <c r="K436">
        <f t="shared" si="6"/>
        <v>64.44</v>
      </c>
      <c r="L436" t="str" cm="1">
        <f t="array" ref="L436">_xlfn.IFS(E436&gt;=52000000,"Platinum",E436&gt;=37000000,"Gold",E436&gt;=30000000,"Sliver",E436&lt;30000000,"Bronze")</f>
        <v>Platinum</v>
      </c>
    </row>
    <row r="437" spans="1:12" x14ac:dyDescent="0.25">
      <c r="A437">
        <v>436</v>
      </c>
      <c r="B437" t="s">
        <v>457</v>
      </c>
      <c r="C437" t="s">
        <v>16</v>
      </c>
      <c r="D437" t="s">
        <v>11</v>
      </c>
      <c r="E437" s="4">
        <v>50376416</v>
      </c>
      <c r="F437">
        <v>52.39</v>
      </c>
      <c r="G437">
        <v>7.31</v>
      </c>
      <c r="H437">
        <v>438.66</v>
      </c>
      <c r="I437">
        <v>13.95</v>
      </c>
      <c r="J437" s="5">
        <v>46060</v>
      </c>
      <c r="K437">
        <f t="shared" si="6"/>
        <v>30.78</v>
      </c>
      <c r="L437" t="str" cm="1">
        <f t="array" ref="L437">_xlfn.IFS(E437&gt;=52000000,"Platinum",E437&gt;=37000000,"Gold",E437&gt;=30000000,"Sliver",E437&lt;30000000,"Bronze")</f>
        <v>Gold</v>
      </c>
    </row>
    <row r="438" spans="1:12" x14ac:dyDescent="0.25">
      <c r="A438">
        <v>437</v>
      </c>
      <c r="B438" t="s">
        <v>458</v>
      </c>
      <c r="C438" t="s">
        <v>16</v>
      </c>
      <c r="D438" t="s">
        <v>17</v>
      </c>
      <c r="E438" s="4">
        <v>41035915</v>
      </c>
      <c r="F438">
        <v>37.75</v>
      </c>
      <c r="G438">
        <v>8.35</v>
      </c>
      <c r="H438">
        <v>501.19</v>
      </c>
      <c r="I438">
        <v>22.13</v>
      </c>
      <c r="J438" s="5">
        <v>46060</v>
      </c>
      <c r="K438">
        <f t="shared" si="6"/>
        <v>42.19</v>
      </c>
      <c r="L438" t="str" cm="1">
        <f t="array" ref="L438">_xlfn.IFS(E438&gt;=52000000,"Platinum",E438&gt;=37000000,"Gold",E438&gt;=30000000,"Sliver",E438&lt;30000000,"Bronze")</f>
        <v>Gold</v>
      </c>
    </row>
    <row r="439" spans="1:12" x14ac:dyDescent="0.25">
      <c r="A439">
        <v>438</v>
      </c>
      <c r="B439" t="s">
        <v>459</v>
      </c>
      <c r="C439" t="s">
        <v>29</v>
      </c>
      <c r="D439" t="s">
        <v>32</v>
      </c>
      <c r="E439" s="4">
        <v>41139302</v>
      </c>
      <c r="F439">
        <v>34</v>
      </c>
      <c r="G439">
        <v>5.72</v>
      </c>
      <c r="H439" s="1">
        <f>CALCULATION!$D$11</f>
        <v>343.315</v>
      </c>
      <c r="I439">
        <v>9.7100000000000009</v>
      </c>
      <c r="J439" s="5">
        <v>46060</v>
      </c>
      <c r="K439">
        <f t="shared" si="6"/>
        <v>37.86</v>
      </c>
      <c r="L439" t="str" cm="1">
        <f t="array" ref="L439">_xlfn.IFS(E439&gt;=52000000,"Platinum",E439&gt;=37000000,"Gold",E439&gt;=30000000,"Sliver",E439&lt;30000000,"Bronze")</f>
        <v>Gold</v>
      </c>
    </row>
    <row r="440" spans="1:12" x14ac:dyDescent="0.25">
      <c r="A440">
        <v>439</v>
      </c>
      <c r="B440" t="s">
        <v>460</v>
      </c>
      <c r="C440" t="s">
        <v>29</v>
      </c>
      <c r="D440" t="s">
        <v>11</v>
      </c>
      <c r="E440" s="4">
        <v>47745116</v>
      </c>
      <c r="F440">
        <v>42.69</v>
      </c>
      <c r="G440">
        <v>6.84</v>
      </c>
      <c r="H440">
        <v>410.18</v>
      </c>
      <c r="I440">
        <v>16.010000000000002</v>
      </c>
      <c r="J440" s="5">
        <v>46060</v>
      </c>
      <c r="K440">
        <f t="shared" si="6"/>
        <v>36.659999999999997</v>
      </c>
      <c r="L440" t="str" cm="1">
        <f t="array" ref="L440">_xlfn.IFS(E440&gt;=52000000,"Platinum",E440&gt;=37000000,"Gold",E440&gt;=30000000,"Sliver",E440&lt;30000000,"Bronze")</f>
        <v>Gold</v>
      </c>
    </row>
    <row r="441" spans="1:12" x14ac:dyDescent="0.25">
      <c r="A441">
        <v>440</v>
      </c>
      <c r="B441" t="s">
        <v>461</v>
      </c>
      <c r="C441" t="s">
        <v>27</v>
      </c>
      <c r="D441" t="s">
        <v>32</v>
      </c>
      <c r="E441" s="4">
        <v>40752485</v>
      </c>
      <c r="F441" s="1">
        <f>CALCULATION!$C$11</f>
        <v>42.81</v>
      </c>
      <c r="G441" s="1">
        <v>38.49</v>
      </c>
      <c r="H441">
        <v>2309.6799999999998</v>
      </c>
      <c r="I441">
        <v>256.45999999999998</v>
      </c>
      <c r="J441" s="5">
        <v>46060</v>
      </c>
      <c r="K441">
        <f t="shared" si="6"/>
        <v>156.83000000000001</v>
      </c>
      <c r="L441" t="str" cm="1">
        <f t="array" ref="L441">_xlfn.IFS(E441&gt;=52000000,"Platinum",E441&gt;=37000000,"Gold",E441&gt;=30000000,"Sliver",E441&lt;30000000,"Bronze")</f>
        <v>Gold</v>
      </c>
    </row>
    <row r="442" spans="1:12" x14ac:dyDescent="0.25">
      <c r="A442">
        <v>441</v>
      </c>
      <c r="B442" t="s">
        <v>462</v>
      </c>
      <c r="C442" t="s">
        <v>10</v>
      </c>
      <c r="D442" t="s">
        <v>11</v>
      </c>
      <c r="E442" s="4">
        <v>49721424</v>
      </c>
      <c r="F442">
        <v>37.93</v>
      </c>
      <c r="G442">
        <v>4.78</v>
      </c>
      <c r="H442">
        <v>287.02999999999997</v>
      </c>
      <c r="I442">
        <v>12.61</v>
      </c>
      <c r="J442" s="5">
        <v>46060</v>
      </c>
      <c r="K442">
        <f t="shared" si="6"/>
        <v>37.340000000000003</v>
      </c>
      <c r="L442" t="str" cm="1">
        <f t="array" ref="L442">_xlfn.IFS(E442&gt;=52000000,"Platinum",E442&gt;=37000000,"Gold",E442&gt;=30000000,"Sliver",E442&lt;30000000,"Bronze")</f>
        <v>Gold</v>
      </c>
    </row>
    <row r="443" spans="1:12" x14ac:dyDescent="0.25">
      <c r="A443">
        <v>442</v>
      </c>
      <c r="B443" t="s">
        <v>463</v>
      </c>
      <c r="C443" t="s">
        <v>19</v>
      </c>
      <c r="D443" t="s">
        <v>13</v>
      </c>
      <c r="E443" s="4">
        <v>54889318</v>
      </c>
      <c r="F443">
        <v>37.61</v>
      </c>
      <c r="G443">
        <v>4.07</v>
      </c>
      <c r="H443">
        <v>244.08</v>
      </c>
      <c r="I443">
        <v>10.82</v>
      </c>
      <c r="J443" s="5">
        <v>46060</v>
      </c>
      <c r="K443">
        <f t="shared" si="6"/>
        <v>36.61</v>
      </c>
      <c r="L443" t="str" cm="1">
        <f t="array" ref="L443">_xlfn.IFS(E443&gt;=52000000,"Platinum",E443&gt;=37000000,"Gold",E443&gt;=30000000,"Sliver",E443&lt;30000000,"Bronze")</f>
        <v>Platinum</v>
      </c>
    </row>
    <row r="444" spans="1:12" x14ac:dyDescent="0.25">
      <c r="A444">
        <v>443</v>
      </c>
      <c r="B444" t="s">
        <v>464</v>
      </c>
      <c r="C444" t="s">
        <v>27</v>
      </c>
      <c r="D444" t="s">
        <v>17</v>
      </c>
      <c r="E444" s="4">
        <v>42989828</v>
      </c>
      <c r="F444">
        <v>29.98</v>
      </c>
      <c r="G444">
        <v>25.73</v>
      </c>
      <c r="H444">
        <v>1543.91</v>
      </c>
      <c r="I444">
        <v>85.83</v>
      </c>
      <c r="J444" s="5">
        <v>46060</v>
      </c>
      <c r="K444">
        <f t="shared" si="6"/>
        <v>77.930000000000007</v>
      </c>
      <c r="L444" t="str" cm="1">
        <f t="array" ref="L444">_xlfn.IFS(E444&gt;=52000000,"Platinum",E444&gt;=37000000,"Gold",E444&gt;=30000000,"Sliver",E444&lt;30000000,"Bronze")</f>
        <v>Gold</v>
      </c>
    </row>
    <row r="445" spans="1:12" x14ac:dyDescent="0.25">
      <c r="A445">
        <v>444</v>
      </c>
      <c r="B445" t="s">
        <v>465</v>
      </c>
      <c r="C445" t="s">
        <v>19</v>
      </c>
      <c r="D445" t="s">
        <v>11</v>
      </c>
      <c r="E445" s="4">
        <v>48913472</v>
      </c>
      <c r="F445">
        <v>46.9</v>
      </c>
      <c r="G445">
        <v>9.1999999999999993</v>
      </c>
      <c r="H445">
        <v>551.70000000000005</v>
      </c>
      <c r="I445">
        <v>19.61</v>
      </c>
      <c r="J445" s="5">
        <v>46060</v>
      </c>
      <c r="K445">
        <f t="shared" si="6"/>
        <v>36.36</v>
      </c>
      <c r="L445" t="str" cm="1">
        <f t="array" ref="L445">_xlfn.IFS(E445&gt;=52000000,"Platinum",E445&gt;=37000000,"Gold",E445&gt;=30000000,"Sliver",E445&lt;30000000,"Bronze")</f>
        <v>Gold</v>
      </c>
    </row>
    <row r="446" spans="1:12" x14ac:dyDescent="0.25">
      <c r="A446">
        <v>445</v>
      </c>
      <c r="B446" t="s">
        <v>466</v>
      </c>
      <c r="C446" t="s">
        <v>27</v>
      </c>
      <c r="D446" t="s">
        <v>32</v>
      </c>
      <c r="E446" s="4">
        <v>50783833</v>
      </c>
      <c r="F446">
        <v>17.97</v>
      </c>
      <c r="G446">
        <v>28.32</v>
      </c>
      <c r="H446">
        <v>1699.14</v>
      </c>
      <c r="I446">
        <v>157.59</v>
      </c>
      <c r="J446" s="5">
        <v>46060</v>
      </c>
      <c r="K446">
        <f t="shared" si="6"/>
        <v>119.81</v>
      </c>
      <c r="L446" t="str" cm="1">
        <f t="array" ref="L446">_xlfn.IFS(E446&gt;=52000000,"Platinum",E446&gt;=37000000,"Gold",E446&gt;=30000000,"Sliver",E446&lt;30000000,"Bronze")</f>
        <v>Gold</v>
      </c>
    </row>
    <row r="447" spans="1:12" x14ac:dyDescent="0.25">
      <c r="A447">
        <v>446</v>
      </c>
      <c r="B447" t="s">
        <v>467</v>
      </c>
      <c r="C447" t="s">
        <v>21</v>
      </c>
      <c r="D447" t="s">
        <v>25</v>
      </c>
      <c r="E447" s="4">
        <v>48236118</v>
      </c>
      <c r="F447">
        <v>49.55</v>
      </c>
      <c r="G447">
        <v>2.06</v>
      </c>
      <c r="H447">
        <v>123.37</v>
      </c>
      <c r="I447">
        <v>4.1500000000000004</v>
      </c>
      <c r="J447" s="5">
        <v>46060</v>
      </c>
      <c r="K447">
        <f t="shared" si="6"/>
        <v>27.3</v>
      </c>
      <c r="L447" t="str" cm="1">
        <f t="array" ref="L447">_xlfn.IFS(E447&gt;=52000000,"Platinum",E447&gt;=37000000,"Gold",E447&gt;=30000000,"Sliver",E447&lt;30000000,"Bronze")</f>
        <v>Gold</v>
      </c>
    </row>
    <row r="448" spans="1:12" x14ac:dyDescent="0.25">
      <c r="A448">
        <v>447</v>
      </c>
      <c r="B448" t="s">
        <v>468</v>
      </c>
      <c r="C448" t="s">
        <v>10</v>
      </c>
      <c r="D448" t="s">
        <v>25</v>
      </c>
      <c r="E448" s="4">
        <v>55913214</v>
      </c>
      <c r="F448">
        <v>46.52</v>
      </c>
      <c r="G448">
        <v>9.6199999999999992</v>
      </c>
      <c r="H448">
        <v>577.11</v>
      </c>
      <c r="I448">
        <v>20.68</v>
      </c>
      <c r="J448" s="5">
        <v>46060</v>
      </c>
      <c r="K448">
        <f t="shared" si="6"/>
        <v>37.08</v>
      </c>
      <c r="L448" t="str" cm="1">
        <f t="array" ref="L448">_xlfn.IFS(E448&gt;=52000000,"Platinum",E448&gt;=37000000,"Gold",E448&gt;=30000000,"Sliver",E448&lt;30000000,"Bronze")</f>
        <v>Platinum</v>
      </c>
    </row>
    <row r="449" spans="1:12" x14ac:dyDescent="0.25">
      <c r="A449">
        <v>448</v>
      </c>
      <c r="B449" t="s">
        <v>469</v>
      </c>
      <c r="C449" t="s">
        <v>19</v>
      </c>
      <c r="D449" t="s">
        <v>25</v>
      </c>
      <c r="E449" s="4">
        <v>56529367</v>
      </c>
      <c r="F449">
        <v>37.049999999999997</v>
      </c>
      <c r="G449">
        <v>5.21</v>
      </c>
      <c r="H449">
        <v>312.83</v>
      </c>
      <c r="I449">
        <v>14.07</v>
      </c>
      <c r="J449" s="5">
        <v>46060</v>
      </c>
      <c r="K449">
        <f t="shared" si="6"/>
        <v>38.51</v>
      </c>
      <c r="L449" t="str" cm="1">
        <f t="array" ref="L449">_xlfn.IFS(E449&gt;=52000000,"Platinum",E449&gt;=37000000,"Gold",E449&gt;=30000000,"Sliver",E449&lt;30000000,"Bronze")</f>
        <v>Platinum</v>
      </c>
    </row>
    <row r="450" spans="1:12" x14ac:dyDescent="0.25">
      <c r="A450">
        <v>449</v>
      </c>
      <c r="B450" t="s">
        <v>470</v>
      </c>
      <c r="C450" t="s">
        <v>16</v>
      </c>
      <c r="D450" t="s">
        <v>32</v>
      </c>
      <c r="E450" s="4">
        <v>38642979</v>
      </c>
      <c r="F450">
        <v>31.71</v>
      </c>
      <c r="G450">
        <v>3.8</v>
      </c>
      <c r="H450">
        <v>227.87</v>
      </c>
      <c r="I450">
        <v>11.98</v>
      </c>
      <c r="J450" s="5">
        <v>46060</v>
      </c>
      <c r="K450">
        <f t="shared" si="6"/>
        <v>40.14</v>
      </c>
      <c r="L450" t="str" cm="1">
        <f t="array" ref="L450">_xlfn.IFS(E450&gt;=52000000,"Platinum",E450&gt;=37000000,"Gold",E450&gt;=30000000,"Sliver",E450&lt;30000000,"Bronze")</f>
        <v>Gold</v>
      </c>
    </row>
    <row r="451" spans="1:12" x14ac:dyDescent="0.25">
      <c r="A451">
        <v>450</v>
      </c>
      <c r="B451" t="s">
        <v>471</v>
      </c>
      <c r="C451" t="s">
        <v>21</v>
      </c>
      <c r="D451" t="s">
        <v>25</v>
      </c>
      <c r="E451" s="4">
        <v>53171046</v>
      </c>
      <c r="F451">
        <v>49.66</v>
      </c>
      <c r="G451">
        <v>1.74</v>
      </c>
      <c r="H451">
        <v>104.65</v>
      </c>
      <c r="I451">
        <v>3.51</v>
      </c>
      <c r="J451" s="5">
        <v>46060</v>
      </c>
      <c r="K451">
        <f t="shared" ref="K451:K514" si="7">ROUND((100-F451)*0.5 + I451*0.5,2)</f>
        <v>26.93</v>
      </c>
      <c r="L451" t="str" cm="1">
        <f t="array" ref="L451">_xlfn.IFS(E451&gt;=52000000,"Platinum",E451&gt;=37000000,"Gold",E451&gt;=30000000,"Sliver",E451&lt;30000000,"Bronze")</f>
        <v>Platinum</v>
      </c>
    </row>
    <row r="452" spans="1:12" x14ac:dyDescent="0.25">
      <c r="A452">
        <v>451</v>
      </c>
      <c r="B452" t="s">
        <v>472</v>
      </c>
      <c r="C452" t="s">
        <v>16</v>
      </c>
      <c r="D452" t="s">
        <v>22</v>
      </c>
      <c r="E452" s="4">
        <v>51304770</v>
      </c>
      <c r="F452">
        <v>56.57</v>
      </c>
      <c r="G452">
        <v>5.72</v>
      </c>
      <c r="H452" s="1">
        <f>CALCULATION!$D$11</f>
        <v>343.315</v>
      </c>
      <c r="I452">
        <v>4.22</v>
      </c>
      <c r="J452" s="5">
        <v>46060</v>
      </c>
      <c r="K452">
        <f t="shared" si="7"/>
        <v>23.83</v>
      </c>
      <c r="L452" t="str" cm="1">
        <f t="array" ref="L452">_xlfn.IFS(E452&gt;=52000000,"Platinum",E452&gt;=37000000,"Gold",E452&gt;=30000000,"Sliver",E452&lt;30000000,"Bronze")</f>
        <v>Gold</v>
      </c>
    </row>
    <row r="453" spans="1:12" x14ac:dyDescent="0.25">
      <c r="A453">
        <v>452</v>
      </c>
      <c r="B453" t="s">
        <v>473</v>
      </c>
      <c r="C453" t="s">
        <v>27</v>
      </c>
      <c r="D453" t="s">
        <v>25</v>
      </c>
      <c r="E453" s="4">
        <v>54228221</v>
      </c>
      <c r="F453" s="1">
        <f>CALCULATION!$C$11</f>
        <v>42.81</v>
      </c>
      <c r="G453" s="1">
        <v>16.670000000000002</v>
      </c>
      <c r="H453">
        <v>1000.25</v>
      </c>
      <c r="I453">
        <v>85.54</v>
      </c>
      <c r="J453" s="5">
        <v>46060</v>
      </c>
      <c r="K453">
        <f t="shared" si="7"/>
        <v>71.37</v>
      </c>
      <c r="L453" t="str" cm="1">
        <f t="array" ref="L453">_xlfn.IFS(E453&gt;=52000000,"Platinum",E453&gt;=37000000,"Gold",E453&gt;=30000000,"Sliver",E453&lt;30000000,"Bronze")</f>
        <v>Platinum</v>
      </c>
    </row>
    <row r="454" spans="1:12" x14ac:dyDescent="0.25">
      <c r="A454">
        <v>453</v>
      </c>
      <c r="B454" t="s">
        <v>474</v>
      </c>
      <c r="C454" t="s">
        <v>27</v>
      </c>
      <c r="D454" t="s">
        <v>32</v>
      </c>
      <c r="E454" s="4">
        <v>46764433</v>
      </c>
      <c r="F454">
        <v>28.43</v>
      </c>
      <c r="G454">
        <v>17.46</v>
      </c>
      <c r="H454">
        <v>1047.3800000000001</v>
      </c>
      <c r="I454">
        <v>61.4</v>
      </c>
      <c r="J454" s="5">
        <v>46060</v>
      </c>
      <c r="K454">
        <f t="shared" si="7"/>
        <v>66.489999999999995</v>
      </c>
      <c r="L454" t="str" cm="1">
        <f t="array" ref="L454">_xlfn.IFS(E454&gt;=52000000,"Platinum",E454&gt;=37000000,"Gold",E454&gt;=30000000,"Sliver",E454&lt;30000000,"Bronze")</f>
        <v>Gold</v>
      </c>
    </row>
    <row r="455" spans="1:12" x14ac:dyDescent="0.25">
      <c r="A455">
        <v>454</v>
      </c>
      <c r="B455" t="s">
        <v>475</v>
      </c>
      <c r="C455" t="s">
        <v>27</v>
      </c>
      <c r="D455" t="s">
        <v>13</v>
      </c>
      <c r="E455" s="4">
        <v>55646159</v>
      </c>
      <c r="F455">
        <v>15.48</v>
      </c>
      <c r="G455">
        <v>12.65</v>
      </c>
      <c r="H455">
        <v>759.25</v>
      </c>
      <c r="I455">
        <v>81.75</v>
      </c>
      <c r="J455" s="5">
        <v>46060</v>
      </c>
      <c r="K455">
        <f t="shared" si="7"/>
        <v>83.14</v>
      </c>
      <c r="L455" t="str" cm="1">
        <f t="array" ref="L455">_xlfn.IFS(E455&gt;=52000000,"Platinum",E455&gt;=37000000,"Gold",E455&gt;=30000000,"Sliver",E455&lt;30000000,"Bronze")</f>
        <v>Platinum</v>
      </c>
    </row>
    <row r="456" spans="1:12" x14ac:dyDescent="0.25">
      <c r="A456">
        <v>455</v>
      </c>
      <c r="B456" t="s">
        <v>476</v>
      </c>
      <c r="C456" t="s">
        <v>29</v>
      </c>
      <c r="D456" t="s">
        <v>17</v>
      </c>
      <c r="E456" s="4">
        <v>40292525</v>
      </c>
      <c r="F456">
        <v>56.76</v>
      </c>
      <c r="G456">
        <v>4.9800000000000004</v>
      </c>
      <c r="H456">
        <v>299.04000000000002</v>
      </c>
      <c r="I456">
        <v>8.7799999999999994</v>
      </c>
      <c r="J456" s="5">
        <v>46060</v>
      </c>
      <c r="K456">
        <f t="shared" si="7"/>
        <v>26.01</v>
      </c>
      <c r="L456" t="str" cm="1">
        <f t="array" ref="L456">_xlfn.IFS(E456&gt;=52000000,"Platinum",E456&gt;=37000000,"Gold",E456&gt;=30000000,"Sliver",E456&lt;30000000,"Bronze")</f>
        <v>Gold</v>
      </c>
    </row>
    <row r="457" spans="1:12" x14ac:dyDescent="0.25">
      <c r="A457">
        <v>456</v>
      </c>
      <c r="B457" t="s">
        <v>477</v>
      </c>
      <c r="C457" t="s">
        <v>16</v>
      </c>
      <c r="D457" t="s">
        <v>17</v>
      </c>
      <c r="E457" s="4">
        <v>42082703</v>
      </c>
      <c r="F457">
        <v>42.15</v>
      </c>
      <c r="G457">
        <v>2.91</v>
      </c>
      <c r="H457">
        <v>174.7</v>
      </c>
      <c r="I457">
        <v>6.91</v>
      </c>
      <c r="J457" s="5">
        <v>46060</v>
      </c>
      <c r="K457">
        <f t="shared" si="7"/>
        <v>32.380000000000003</v>
      </c>
      <c r="L457" t="str" cm="1">
        <f t="array" ref="L457">_xlfn.IFS(E457&gt;=52000000,"Platinum",E457&gt;=37000000,"Gold",E457&gt;=30000000,"Sliver",E457&lt;30000000,"Bronze")</f>
        <v>Gold</v>
      </c>
    </row>
    <row r="458" spans="1:12" x14ac:dyDescent="0.25">
      <c r="A458">
        <v>457</v>
      </c>
      <c r="B458" t="s">
        <v>478</v>
      </c>
      <c r="C458" t="s">
        <v>27</v>
      </c>
      <c r="D458" t="s">
        <v>11</v>
      </c>
      <c r="E458" s="4">
        <v>43333532</v>
      </c>
      <c r="F458">
        <v>24.8</v>
      </c>
      <c r="G458">
        <v>22.48</v>
      </c>
      <c r="H458">
        <v>1348.96</v>
      </c>
      <c r="I458">
        <v>90.66</v>
      </c>
      <c r="J458" s="5">
        <v>46060</v>
      </c>
      <c r="K458">
        <f t="shared" si="7"/>
        <v>82.93</v>
      </c>
      <c r="L458" t="str" cm="1">
        <f t="array" ref="L458">_xlfn.IFS(E458&gt;=52000000,"Platinum",E458&gt;=37000000,"Gold",E458&gt;=30000000,"Sliver",E458&lt;30000000,"Bronze")</f>
        <v>Gold</v>
      </c>
    </row>
    <row r="459" spans="1:12" x14ac:dyDescent="0.25">
      <c r="A459">
        <v>458</v>
      </c>
      <c r="B459" t="s">
        <v>479</v>
      </c>
      <c r="C459" t="s">
        <v>27</v>
      </c>
      <c r="D459" t="s">
        <v>17</v>
      </c>
      <c r="E459" s="4">
        <v>51185238</v>
      </c>
      <c r="F459">
        <v>27.03</v>
      </c>
      <c r="G459">
        <v>12.26</v>
      </c>
      <c r="H459">
        <v>735.43</v>
      </c>
      <c r="I459">
        <v>45.35</v>
      </c>
      <c r="J459" s="5">
        <v>46060</v>
      </c>
      <c r="K459">
        <f t="shared" si="7"/>
        <v>59.16</v>
      </c>
      <c r="L459" t="str" cm="1">
        <f t="array" ref="L459">_xlfn.IFS(E459&gt;=52000000,"Platinum",E459&gt;=37000000,"Gold",E459&gt;=30000000,"Sliver",E459&lt;30000000,"Bronze")</f>
        <v>Gold</v>
      </c>
    </row>
    <row r="460" spans="1:12" x14ac:dyDescent="0.25">
      <c r="A460">
        <v>459</v>
      </c>
      <c r="B460" t="s">
        <v>480</v>
      </c>
      <c r="C460" t="s">
        <v>21</v>
      </c>
      <c r="D460" t="s">
        <v>25</v>
      </c>
      <c r="E460" s="4">
        <v>54242172</v>
      </c>
      <c r="F460">
        <v>39.39</v>
      </c>
      <c r="G460">
        <v>2.66</v>
      </c>
      <c r="H460">
        <v>159.72</v>
      </c>
      <c r="I460">
        <v>6.76</v>
      </c>
      <c r="J460" s="5">
        <v>46060</v>
      </c>
      <c r="K460">
        <f t="shared" si="7"/>
        <v>33.69</v>
      </c>
      <c r="L460" t="str" cm="1">
        <f t="array" ref="L460">_xlfn.IFS(E460&gt;=52000000,"Platinum",E460&gt;=37000000,"Gold",E460&gt;=30000000,"Sliver",E460&lt;30000000,"Bronze")</f>
        <v>Platinum</v>
      </c>
    </row>
    <row r="461" spans="1:12" x14ac:dyDescent="0.25">
      <c r="A461">
        <v>460</v>
      </c>
      <c r="B461" t="s">
        <v>481</v>
      </c>
      <c r="C461" t="s">
        <v>10</v>
      </c>
      <c r="D461" t="s">
        <v>32</v>
      </c>
      <c r="E461" s="4">
        <v>45909645</v>
      </c>
      <c r="F461">
        <v>33.82</v>
      </c>
      <c r="G461">
        <v>5.87</v>
      </c>
      <c r="H461">
        <v>351.97</v>
      </c>
      <c r="I461">
        <v>17.350000000000001</v>
      </c>
      <c r="J461" s="5">
        <v>46060</v>
      </c>
      <c r="K461">
        <f t="shared" si="7"/>
        <v>41.77</v>
      </c>
      <c r="L461" t="str" cm="1">
        <f t="array" ref="L461">_xlfn.IFS(E461&gt;=52000000,"Platinum",E461&gt;=37000000,"Gold",E461&gt;=30000000,"Sliver",E461&lt;30000000,"Bronze")</f>
        <v>Gold</v>
      </c>
    </row>
    <row r="462" spans="1:12" x14ac:dyDescent="0.25">
      <c r="A462">
        <v>461</v>
      </c>
      <c r="B462" t="s">
        <v>482</v>
      </c>
      <c r="C462" t="s">
        <v>19</v>
      </c>
      <c r="D462" t="s">
        <v>17</v>
      </c>
      <c r="E462" s="4">
        <v>42083000</v>
      </c>
      <c r="F462">
        <v>57.21</v>
      </c>
      <c r="G462">
        <v>3.93</v>
      </c>
      <c r="H462">
        <v>236.01</v>
      </c>
      <c r="I462">
        <v>6.88</v>
      </c>
      <c r="J462" s="5">
        <v>46060</v>
      </c>
      <c r="K462">
        <f t="shared" si="7"/>
        <v>24.84</v>
      </c>
      <c r="L462" t="str" cm="1">
        <f t="array" ref="L462">_xlfn.IFS(E462&gt;=52000000,"Platinum",E462&gt;=37000000,"Gold",E462&gt;=30000000,"Sliver",E462&lt;30000000,"Bronze")</f>
        <v>Gold</v>
      </c>
    </row>
    <row r="463" spans="1:12" x14ac:dyDescent="0.25">
      <c r="A463">
        <v>462</v>
      </c>
      <c r="B463" t="s">
        <v>483</v>
      </c>
      <c r="C463" t="s">
        <v>21</v>
      </c>
      <c r="D463" t="s">
        <v>11</v>
      </c>
      <c r="E463" s="4">
        <v>44373963</v>
      </c>
      <c r="F463">
        <v>39.35</v>
      </c>
      <c r="G463">
        <v>1.87</v>
      </c>
      <c r="H463">
        <v>112.16</v>
      </c>
      <c r="I463">
        <v>4.75</v>
      </c>
      <c r="J463" s="5">
        <v>46060</v>
      </c>
      <c r="K463">
        <f t="shared" si="7"/>
        <v>32.700000000000003</v>
      </c>
      <c r="L463" t="str" cm="1">
        <f t="array" ref="L463">_xlfn.IFS(E463&gt;=52000000,"Platinum",E463&gt;=37000000,"Gold",E463&gt;=30000000,"Sliver",E463&lt;30000000,"Bronze")</f>
        <v>Gold</v>
      </c>
    </row>
    <row r="464" spans="1:12" x14ac:dyDescent="0.25">
      <c r="A464">
        <v>463</v>
      </c>
      <c r="B464" t="s">
        <v>484</v>
      </c>
      <c r="C464" t="s">
        <v>19</v>
      </c>
      <c r="D464" t="s">
        <v>17</v>
      </c>
      <c r="E464" s="4">
        <v>53658377</v>
      </c>
      <c r="F464">
        <v>58.39</v>
      </c>
      <c r="G464">
        <v>4.09</v>
      </c>
      <c r="H464">
        <v>245.63</v>
      </c>
      <c r="I464">
        <v>7.01</v>
      </c>
      <c r="J464" s="5">
        <v>46060</v>
      </c>
      <c r="K464">
        <f t="shared" si="7"/>
        <v>24.31</v>
      </c>
      <c r="L464" t="str" cm="1">
        <f t="array" ref="L464">_xlfn.IFS(E464&gt;=52000000,"Platinum",E464&gt;=37000000,"Gold",E464&gt;=30000000,"Sliver",E464&lt;30000000,"Bronze")</f>
        <v>Platinum</v>
      </c>
    </row>
    <row r="465" spans="1:12" x14ac:dyDescent="0.25">
      <c r="A465">
        <v>464</v>
      </c>
      <c r="B465" t="s">
        <v>485</v>
      </c>
      <c r="C465" t="s">
        <v>29</v>
      </c>
      <c r="D465" t="s">
        <v>11</v>
      </c>
      <c r="E465" s="4">
        <v>47734953</v>
      </c>
      <c r="F465">
        <v>43.73</v>
      </c>
      <c r="G465">
        <v>5.72</v>
      </c>
      <c r="H465" s="1">
        <f>CALCULATION!$D$11</f>
        <v>343.315</v>
      </c>
      <c r="I465">
        <v>17.690000000000001</v>
      </c>
      <c r="J465" s="5">
        <v>46060</v>
      </c>
      <c r="K465">
        <f t="shared" si="7"/>
        <v>36.979999999999997</v>
      </c>
      <c r="L465" t="str" cm="1">
        <f t="array" ref="L465">_xlfn.IFS(E465&gt;=52000000,"Platinum",E465&gt;=37000000,"Gold",E465&gt;=30000000,"Sliver",E465&lt;30000000,"Bronze")</f>
        <v>Gold</v>
      </c>
    </row>
    <row r="466" spans="1:12" x14ac:dyDescent="0.25">
      <c r="A466">
        <v>465</v>
      </c>
      <c r="B466" t="s">
        <v>486</v>
      </c>
      <c r="C466" t="s">
        <v>19</v>
      </c>
      <c r="D466" t="s">
        <v>17</v>
      </c>
      <c r="E466" s="4">
        <v>42838281</v>
      </c>
      <c r="F466">
        <v>54.92</v>
      </c>
      <c r="G466">
        <v>5.25</v>
      </c>
      <c r="H466">
        <v>315.25</v>
      </c>
      <c r="I466">
        <v>9.57</v>
      </c>
      <c r="J466" s="5">
        <v>46060</v>
      </c>
      <c r="K466">
        <f t="shared" si="7"/>
        <v>27.33</v>
      </c>
      <c r="L466" t="str" cm="1">
        <f t="array" ref="L466">_xlfn.IFS(E466&gt;=52000000,"Platinum",E466&gt;=37000000,"Gold",E466&gt;=30000000,"Sliver",E466&lt;30000000,"Bronze")</f>
        <v>Gold</v>
      </c>
    </row>
    <row r="467" spans="1:12" x14ac:dyDescent="0.25">
      <c r="A467">
        <v>466</v>
      </c>
      <c r="B467" t="s">
        <v>487</v>
      </c>
      <c r="C467" s="1" t="s">
        <v>21</v>
      </c>
      <c r="D467" s="1" t="s">
        <v>32</v>
      </c>
      <c r="E467" s="4">
        <v>46547095</v>
      </c>
      <c r="F467">
        <v>50.1</v>
      </c>
      <c r="G467">
        <v>2.88</v>
      </c>
      <c r="H467">
        <v>173.09</v>
      </c>
      <c r="I467">
        <v>5.76</v>
      </c>
      <c r="J467" s="5">
        <v>46060</v>
      </c>
      <c r="K467">
        <f t="shared" si="7"/>
        <v>27.83</v>
      </c>
      <c r="L467" t="str" cm="1">
        <f t="array" ref="L467">_xlfn.IFS(E467&gt;=52000000,"Platinum",E467&gt;=37000000,"Gold",E467&gt;=30000000,"Sliver",E467&lt;30000000,"Bronze")</f>
        <v>Gold</v>
      </c>
    </row>
    <row r="468" spans="1:12" x14ac:dyDescent="0.25">
      <c r="A468">
        <v>467</v>
      </c>
      <c r="B468" t="s">
        <v>488</v>
      </c>
      <c r="C468" t="s">
        <v>27</v>
      </c>
      <c r="D468" t="s">
        <v>22</v>
      </c>
      <c r="E468" s="4">
        <v>51457768</v>
      </c>
      <c r="F468">
        <v>26.32</v>
      </c>
      <c r="G468">
        <v>15.99</v>
      </c>
      <c r="H468">
        <v>959.62</v>
      </c>
      <c r="I468">
        <v>60.77</v>
      </c>
      <c r="J468" s="5">
        <v>46060</v>
      </c>
      <c r="K468">
        <f t="shared" si="7"/>
        <v>67.23</v>
      </c>
      <c r="L468" t="str" cm="1">
        <f t="array" ref="L468">_xlfn.IFS(E468&gt;=52000000,"Platinum",E468&gt;=37000000,"Gold",E468&gt;=30000000,"Sliver",E468&lt;30000000,"Bronze")</f>
        <v>Gold</v>
      </c>
    </row>
    <row r="469" spans="1:12" x14ac:dyDescent="0.25">
      <c r="A469">
        <v>468</v>
      </c>
      <c r="B469" t="s">
        <v>489</v>
      </c>
      <c r="C469" t="s">
        <v>10</v>
      </c>
      <c r="D469" t="s">
        <v>32</v>
      </c>
      <c r="E469" s="4">
        <v>40465695</v>
      </c>
      <c r="F469">
        <v>48.53</v>
      </c>
      <c r="G469">
        <v>9.43</v>
      </c>
      <c r="H469">
        <v>565.78</v>
      </c>
      <c r="I469">
        <v>19.43</v>
      </c>
      <c r="J469" s="5">
        <v>46060</v>
      </c>
      <c r="K469">
        <f t="shared" si="7"/>
        <v>35.450000000000003</v>
      </c>
      <c r="L469" t="str" cm="1">
        <f t="array" ref="L469">_xlfn.IFS(E469&gt;=52000000,"Platinum",E469&gt;=37000000,"Gold",E469&gt;=30000000,"Sliver",E469&lt;30000000,"Bronze")</f>
        <v>Gold</v>
      </c>
    </row>
    <row r="470" spans="1:12" x14ac:dyDescent="0.25">
      <c r="A470">
        <v>469</v>
      </c>
      <c r="B470" t="s">
        <v>490</v>
      </c>
      <c r="C470" t="s">
        <v>46</v>
      </c>
      <c r="D470" t="s">
        <v>32</v>
      </c>
      <c r="E470" s="4">
        <v>43998804</v>
      </c>
      <c r="F470">
        <v>45.09</v>
      </c>
      <c r="G470">
        <v>7.82</v>
      </c>
      <c r="H470">
        <v>469.36</v>
      </c>
      <c r="I470">
        <v>17.350000000000001</v>
      </c>
      <c r="J470" s="5">
        <v>46060</v>
      </c>
      <c r="K470">
        <f t="shared" si="7"/>
        <v>36.130000000000003</v>
      </c>
      <c r="L470" t="str" cm="1">
        <f t="array" ref="L470">_xlfn.IFS(E470&gt;=52000000,"Platinum",E470&gt;=37000000,"Gold",E470&gt;=30000000,"Sliver",E470&lt;30000000,"Bronze")</f>
        <v>Gold</v>
      </c>
    </row>
    <row r="471" spans="1:12" x14ac:dyDescent="0.25">
      <c r="A471">
        <v>470</v>
      </c>
      <c r="B471" t="s">
        <v>491</v>
      </c>
      <c r="C471" t="s">
        <v>16</v>
      </c>
      <c r="D471" t="s">
        <v>17</v>
      </c>
      <c r="E471" s="4">
        <v>51019143</v>
      </c>
      <c r="F471">
        <v>54.3</v>
      </c>
      <c r="G471">
        <v>5.62</v>
      </c>
      <c r="H471">
        <v>337.36</v>
      </c>
      <c r="I471">
        <v>10.35</v>
      </c>
      <c r="J471" s="5">
        <v>46060</v>
      </c>
      <c r="K471">
        <f t="shared" si="7"/>
        <v>28.03</v>
      </c>
      <c r="L471" t="str" cm="1">
        <f t="array" ref="L471">_xlfn.IFS(E471&gt;=52000000,"Platinum",E471&gt;=37000000,"Gold",E471&gt;=30000000,"Sliver",E471&lt;30000000,"Bronze")</f>
        <v>Gold</v>
      </c>
    </row>
    <row r="472" spans="1:12" x14ac:dyDescent="0.25">
      <c r="A472">
        <v>471</v>
      </c>
      <c r="B472" t="s">
        <v>492</v>
      </c>
      <c r="C472" t="s">
        <v>19</v>
      </c>
      <c r="D472" t="s">
        <v>22</v>
      </c>
      <c r="E472" s="4">
        <v>41544782</v>
      </c>
      <c r="F472">
        <v>34.049999999999997</v>
      </c>
      <c r="G472">
        <v>3.89</v>
      </c>
      <c r="H472">
        <v>233.27</v>
      </c>
      <c r="I472">
        <v>11.42</v>
      </c>
      <c r="J472" s="5">
        <v>46060</v>
      </c>
      <c r="K472">
        <f t="shared" si="7"/>
        <v>38.69</v>
      </c>
      <c r="L472" t="str" cm="1">
        <f t="array" ref="L472">_xlfn.IFS(E472&gt;=52000000,"Platinum",E472&gt;=37000000,"Gold",E472&gt;=30000000,"Sliver",E472&lt;30000000,"Bronze")</f>
        <v>Gold</v>
      </c>
    </row>
    <row r="473" spans="1:12" x14ac:dyDescent="0.25">
      <c r="A473">
        <v>472</v>
      </c>
      <c r="B473" t="s">
        <v>493</v>
      </c>
      <c r="C473" t="s">
        <v>10</v>
      </c>
      <c r="D473" t="s">
        <v>32</v>
      </c>
      <c r="E473" s="4">
        <v>51775650</v>
      </c>
      <c r="F473">
        <v>53.71</v>
      </c>
      <c r="G473">
        <v>6.92</v>
      </c>
      <c r="H473">
        <v>415.46</v>
      </c>
      <c r="I473">
        <v>12.89</v>
      </c>
      <c r="J473" s="5">
        <v>46060</v>
      </c>
      <c r="K473">
        <f t="shared" si="7"/>
        <v>29.59</v>
      </c>
      <c r="L473" t="str" cm="1">
        <f t="array" ref="L473">_xlfn.IFS(E473&gt;=52000000,"Platinum",E473&gt;=37000000,"Gold",E473&gt;=30000000,"Sliver",E473&lt;30000000,"Bronze")</f>
        <v>Gold</v>
      </c>
    </row>
    <row r="474" spans="1:12" x14ac:dyDescent="0.25">
      <c r="A474">
        <v>473</v>
      </c>
      <c r="B474" t="s">
        <v>494</v>
      </c>
      <c r="C474" t="s">
        <v>19</v>
      </c>
      <c r="D474" t="s">
        <v>32</v>
      </c>
      <c r="E474" s="4">
        <v>46831852</v>
      </c>
      <c r="F474">
        <v>34.520000000000003</v>
      </c>
      <c r="G474">
        <v>5.4</v>
      </c>
      <c r="H474">
        <v>324.19</v>
      </c>
      <c r="I474">
        <v>15.65</v>
      </c>
      <c r="J474" s="5">
        <v>46060</v>
      </c>
      <c r="K474">
        <f t="shared" si="7"/>
        <v>40.57</v>
      </c>
      <c r="L474" t="str" cm="1">
        <f t="array" ref="L474">_xlfn.IFS(E474&gt;=52000000,"Platinum",E474&gt;=37000000,"Gold",E474&gt;=30000000,"Sliver",E474&lt;30000000,"Bronze")</f>
        <v>Gold</v>
      </c>
    </row>
    <row r="475" spans="1:12" x14ac:dyDescent="0.25">
      <c r="A475">
        <v>474</v>
      </c>
      <c r="B475" t="s">
        <v>495</v>
      </c>
      <c r="C475" t="s">
        <v>16</v>
      </c>
      <c r="D475" t="s">
        <v>32</v>
      </c>
      <c r="E475" s="4">
        <v>46786700</v>
      </c>
      <c r="F475">
        <v>49.59</v>
      </c>
      <c r="G475">
        <v>6.25</v>
      </c>
      <c r="H475">
        <v>374.83</v>
      </c>
      <c r="I475">
        <v>12.6</v>
      </c>
      <c r="J475" s="5">
        <v>46060</v>
      </c>
      <c r="K475">
        <f t="shared" si="7"/>
        <v>31.51</v>
      </c>
      <c r="L475" t="str" cm="1">
        <f t="array" ref="L475">_xlfn.IFS(E475&gt;=52000000,"Platinum",E475&gt;=37000000,"Gold",E475&gt;=30000000,"Sliver",E475&lt;30000000,"Bronze")</f>
        <v>Gold</v>
      </c>
    </row>
    <row r="476" spans="1:12" x14ac:dyDescent="0.25">
      <c r="A476">
        <v>475</v>
      </c>
      <c r="B476" t="s">
        <v>496</v>
      </c>
      <c r="C476" t="s">
        <v>29</v>
      </c>
      <c r="D476" t="s">
        <v>13</v>
      </c>
      <c r="E476" s="4">
        <v>46180997</v>
      </c>
      <c r="F476">
        <v>40.68</v>
      </c>
      <c r="G476">
        <v>5.72</v>
      </c>
      <c r="H476" s="1">
        <f>CALCULATION!$D$11</f>
        <v>343.315</v>
      </c>
      <c r="I476">
        <v>6.28</v>
      </c>
      <c r="J476" s="5">
        <v>46060</v>
      </c>
      <c r="K476">
        <f t="shared" si="7"/>
        <v>32.799999999999997</v>
      </c>
      <c r="L476" t="str" cm="1">
        <f t="array" ref="L476">_xlfn.IFS(E476&gt;=52000000,"Platinum",E476&gt;=37000000,"Gold",E476&gt;=30000000,"Sliver",E476&lt;30000000,"Bronze")</f>
        <v>Gold</v>
      </c>
    </row>
    <row r="477" spans="1:12" x14ac:dyDescent="0.25">
      <c r="A477">
        <v>476</v>
      </c>
      <c r="B477" t="s">
        <v>497</v>
      </c>
      <c r="C477" t="s">
        <v>27</v>
      </c>
      <c r="D477" t="s">
        <v>25</v>
      </c>
      <c r="E477" s="4">
        <v>47418624</v>
      </c>
      <c r="F477">
        <v>26.81</v>
      </c>
      <c r="G477">
        <v>17.329999999999998</v>
      </c>
      <c r="H477">
        <v>1040.07</v>
      </c>
      <c r="I477">
        <v>64.66</v>
      </c>
      <c r="J477" s="5">
        <v>46060</v>
      </c>
      <c r="K477">
        <f t="shared" si="7"/>
        <v>68.930000000000007</v>
      </c>
      <c r="L477" t="str" cm="1">
        <f t="array" ref="L477">_xlfn.IFS(E477&gt;=52000000,"Platinum",E477&gt;=37000000,"Gold",E477&gt;=30000000,"Sliver",E477&lt;30000000,"Bronze")</f>
        <v>Gold</v>
      </c>
    </row>
    <row r="478" spans="1:12" x14ac:dyDescent="0.25">
      <c r="A478">
        <v>477</v>
      </c>
      <c r="B478" t="s">
        <v>498</v>
      </c>
      <c r="C478" t="s">
        <v>16</v>
      </c>
      <c r="D478" t="s">
        <v>25</v>
      </c>
      <c r="E478" s="4">
        <v>43511648</v>
      </c>
      <c r="F478">
        <v>39.799999999999997</v>
      </c>
      <c r="G478">
        <v>9.2899999999999991</v>
      </c>
      <c r="H478">
        <v>557.28</v>
      </c>
      <c r="I478">
        <v>23.34</v>
      </c>
      <c r="J478" s="5">
        <v>46060</v>
      </c>
      <c r="K478">
        <f t="shared" si="7"/>
        <v>41.77</v>
      </c>
      <c r="L478" t="str" cm="1">
        <f t="array" ref="L478">_xlfn.IFS(E478&gt;=52000000,"Platinum",E478&gt;=37000000,"Gold",E478&gt;=30000000,"Sliver",E478&lt;30000000,"Bronze")</f>
        <v>Gold</v>
      </c>
    </row>
    <row r="479" spans="1:12" x14ac:dyDescent="0.25">
      <c r="A479">
        <v>478</v>
      </c>
      <c r="B479" t="s">
        <v>499</v>
      </c>
      <c r="C479" t="s">
        <v>29</v>
      </c>
      <c r="D479" t="s">
        <v>25</v>
      </c>
      <c r="E479" s="4">
        <v>37332244</v>
      </c>
      <c r="F479">
        <v>35.229999999999997</v>
      </c>
      <c r="G479">
        <v>2.67</v>
      </c>
      <c r="H479">
        <v>160.44999999999999</v>
      </c>
      <c r="I479">
        <v>7.59</v>
      </c>
      <c r="J479" s="5">
        <v>46060</v>
      </c>
      <c r="K479">
        <f t="shared" si="7"/>
        <v>36.18</v>
      </c>
      <c r="L479" t="str" cm="1">
        <f t="array" ref="L479">_xlfn.IFS(E479&gt;=52000000,"Platinum",E479&gt;=37000000,"Gold",E479&gt;=30000000,"Sliver",E479&lt;30000000,"Bronze")</f>
        <v>Gold</v>
      </c>
    </row>
    <row r="480" spans="1:12" x14ac:dyDescent="0.25">
      <c r="A480">
        <v>479</v>
      </c>
      <c r="B480" t="s">
        <v>500</v>
      </c>
      <c r="C480" t="s">
        <v>27</v>
      </c>
      <c r="D480" t="s">
        <v>32</v>
      </c>
      <c r="E480" s="4">
        <v>53231197</v>
      </c>
      <c r="F480">
        <v>29.99</v>
      </c>
      <c r="G480">
        <v>29.84</v>
      </c>
      <c r="H480">
        <v>1790.18</v>
      </c>
      <c r="I480">
        <v>99.49</v>
      </c>
      <c r="J480" s="5">
        <v>46060</v>
      </c>
      <c r="K480">
        <f t="shared" si="7"/>
        <v>84.75</v>
      </c>
      <c r="L480" t="str" cm="1">
        <f t="array" ref="L480">_xlfn.IFS(E480&gt;=52000000,"Platinum",E480&gt;=37000000,"Gold",E480&gt;=30000000,"Sliver",E480&lt;30000000,"Bronze")</f>
        <v>Platinum</v>
      </c>
    </row>
    <row r="481" spans="1:12" x14ac:dyDescent="0.25">
      <c r="A481">
        <v>480</v>
      </c>
      <c r="B481" t="s">
        <v>501</v>
      </c>
      <c r="C481" t="s">
        <v>46</v>
      </c>
      <c r="D481" t="s">
        <v>32</v>
      </c>
      <c r="E481" s="4">
        <v>39111524</v>
      </c>
      <c r="F481">
        <v>57.73</v>
      </c>
      <c r="G481">
        <v>5.72</v>
      </c>
      <c r="H481" s="1">
        <f>CALCULATION!$D$11</f>
        <v>343.315</v>
      </c>
      <c r="I481">
        <v>4.18</v>
      </c>
      <c r="J481" s="5">
        <v>46060</v>
      </c>
      <c r="K481">
        <f t="shared" si="7"/>
        <v>23.23</v>
      </c>
      <c r="L481" t="str" cm="1">
        <f t="array" ref="L481">_xlfn.IFS(E481&gt;=52000000,"Platinum",E481&gt;=37000000,"Gold",E481&gt;=30000000,"Sliver",E481&lt;30000000,"Bronze")</f>
        <v>Gold</v>
      </c>
    </row>
    <row r="482" spans="1:12" x14ac:dyDescent="0.25">
      <c r="A482">
        <v>481</v>
      </c>
      <c r="B482" t="s">
        <v>502</v>
      </c>
      <c r="C482" t="s">
        <v>46</v>
      </c>
      <c r="D482" t="s">
        <v>32</v>
      </c>
      <c r="E482" s="4">
        <v>42510241</v>
      </c>
      <c r="F482">
        <v>52.56</v>
      </c>
      <c r="G482">
        <v>7.04</v>
      </c>
      <c r="H482">
        <v>422.34</v>
      </c>
      <c r="I482">
        <v>13.39</v>
      </c>
      <c r="J482" s="5">
        <v>46060</v>
      </c>
      <c r="K482">
        <f t="shared" si="7"/>
        <v>30.42</v>
      </c>
      <c r="L482" t="str" cm="1">
        <f t="array" ref="L482">_xlfn.IFS(E482&gt;=52000000,"Platinum",E482&gt;=37000000,"Gold",E482&gt;=30000000,"Sliver",E482&lt;30000000,"Bronze")</f>
        <v>Gold</v>
      </c>
    </row>
    <row r="483" spans="1:12" x14ac:dyDescent="0.25">
      <c r="A483">
        <v>482</v>
      </c>
      <c r="B483" t="s">
        <v>503</v>
      </c>
      <c r="C483" t="s">
        <v>46</v>
      </c>
      <c r="D483" t="s">
        <v>25</v>
      </c>
      <c r="E483" s="4">
        <v>51565816</v>
      </c>
      <c r="F483">
        <v>46.08</v>
      </c>
      <c r="G483">
        <v>6.59</v>
      </c>
      <c r="H483">
        <v>395.3</v>
      </c>
      <c r="I483">
        <v>14.3</v>
      </c>
      <c r="J483" s="5">
        <v>46060</v>
      </c>
      <c r="K483">
        <f t="shared" si="7"/>
        <v>34.11</v>
      </c>
      <c r="L483" t="str" cm="1">
        <f t="array" ref="L483">_xlfn.IFS(E483&gt;=52000000,"Platinum",E483&gt;=37000000,"Gold",E483&gt;=30000000,"Sliver",E483&lt;30000000,"Bronze")</f>
        <v>Gold</v>
      </c>
    </row>
    <row r="484" spans="1:12" x14ac:dyDescent="0.25">
      <c r="A484">
        <v>483</v>
      </c>
      <c r="B484" t="s">
        <v>504</v>
      </c>
      <c r="C484" t="s">
        <v>46</v>
      </c>
      <c r="D484" t="s">
        <v>22</v>
      </c>
      <c r="E484" s="4">
        <v>42954579</v>
      </c>
      <c r="F484">
        <v>52.45</v>
      </c>
      <c r="G484">
        <v>6.36</v>
      </c>
      <c r="H484">
        <v>381.66</v>
      </c>
      <c r="I484">
        <v>12.13</v>
      </c>
      <c r="J484" s="5">
        <v>46060</v>
      </c>
      <c r="K484">
        <f t="shared" si="7"/>
        <v>29.84</v>
      </c>
      <c r="L484" t="str" cm="1">
        <f t="array" ref="L484">_xlfn.IFS(E484&gt;=52000000,"Platinum",E484&gt;=37000000,"Gold",E484&gt;=30000000,"Sliver",E484&lt;30000000,"Bronze")</f>
        <v>Gold</v>
      </c>
    </row>
    <row r="485" spans="1:12" x14ac:dyDescent="0.25">
      <c r="A485">
        <v>484</v>
      </c>
      <c r="B485" t="s">
        <v>505</v>
      </c>
      <c r="C485" t="s">
        <v>46</v>
      </c>
      <c r="D485" t="s">
        <v>11</v>
      </c>
      <c r="E485" s="4">
        <v>40527871</v>
      </c>
      <c r="F485">
        <v>37.51</v>
      </c>
      <c r="G485">
        <v>2.2400000000000002</v>
      </c>
      <c r="H485">
        <v>134.31</v>
      </c>
      <c r="I485">
        <v>5.97</v>
      </c>
      <c r="J485" s="5">
        <v>46060</v>
      </c>
      <c r="K485">
        <f t="shared" si="7"/>
        <v>34.229999999999997</v>
      </c>
      <c r="L485" t="str" cm="1">
        <f t="array" ref="L485">_xlfn.IFS(E485&gt;=52000000,"Platinum",E485&gt;=37000000,"Gold",E485&gt;=30000000,"Sliver",E485&lt;30000000,"Bronze")</f>
        <v>Gold</v>
      </c>
    </row>
    <row r="486" spans="1:12" x14ac:dyDescent="0.25">
      <c r="A486">
        <v>485</v>
      </c>
      <c r="B486" t="s">
        <v>506</v>
      </c>
      <c r="C486" t="s">
        <v>19</v>
      </c>
      <c r="D486" t="s">
        <v>11</v>
      </c>
      <c r="E486" s="4">
        <v>48749939</v>
      </c>
      <c r="F486">
        <v>58.02</v>
      </c>
      <c r="G486">
        <v>9.7200000000000006</v>
      </c>
      <c r="H486">
        <v>583.11</v>
      </c>
      <c r="I486">
        <v>16.75</v>
      </c>
      <c r="J486" s="5">
        <v>46060</v>
      </c>
      <c r="K486">
        <f t="shared" si="7"/>
        <v>29.37</v>
      </c>
      <c r="L486" t="str" cm="1">
        <f t="array" ref="L486">_xlfn.IFS(E486&gt;=52000000,"Platinum",E486&gt;=37000000,"Gold",E486&gt;=30000000,"Sliver",E486&lt;30000000,"Bronze")</f>
        <v>Gold</v>
      </c>
    </row>
    <row r="487" spans="1:12" x14ac:dyDescent="0.25">
      <c r="A487">
        <v>486</v>
      </c>
      <c r="B487" t="s">
        <v>507</v>
      </c>
      <c r="C487" t="s">
        <v>29</v>
      </c>
      <c r="D487" t="s">
        <v>25</v>
      </c>
      <c r="E487" s="4">
        <v>40822297</v>
      </c>
      <c r="F487">
        <v>41.58</v>
      </c>
      <c r="G487">
        <v>6.13</v>
      </c>
      <c r="H487">
        <v>367.52</v>
      </c>
      <c r="I487">
        <v>14.73</v>
      </c>
      <c r="J487" s="5">
        <v>46060</v>
      </c>
      <c r="K487">
        <f t="shared" si="7"/>
        <v>36.58</v>
      </c>
      <c r="L487" t="str" cm="1">
        <f t="array" ref="L487">_xlfn.IFS(E487&gt;=52000000,"Platinum",E487&gt;=37000000,"Gold",E487&gt;=30000000,"Sliver",E487&lt;30000000,"Bronze")</f>
        <v>Gold</v>
      </c>
    </row>
    <row r="488" spans="1:12" x14ac:dyDescent="0.25">
      <c r="A488">
        <v>487</v>
      </c>
      <c r="B488" t="s">
        <v>508</v>
      </c>
      <c r="C488" t="s">
        <v>19</v>
      </c>
      <c r="D488" t="s">
        <v>11</v>
      </c>
      <c r="E488" s="4">
        <v>42072025</v>
      </c>
      <c r="F488" s="1">
        <f>CALCULATION!$C$11</f>
        <v>42.81</v>
      </c>
      <c r="G488" s="1">
        <v>2.08</v>
      </c>
      <c r="H488">
        <v>124.58</v>
      </c>
      <c r="I488">
        <v>4.57</v>
      </c>
      <c r="J488" s="5">
        <v>46060</v>
      </c>
      <c r="K488">
        <f t="shared" si="7"/>
        <v>30.88</v>
      </c>
      <c r="L488" t="str" cm="1">
        <f t="array" ref="L488">_xlfn.IFS(E488&gt;=52000000,"Platinum",E488&gt;=37000000,"Gold",E488&gt;=30000000,"Sliver",E488&lt;30000000,"Bronze")</f>
        <v>Gold</v>
      </c>
    </row>
    <row r="489" spans="1:12" x14ac:dyDescent="0.25">
      <c r="A489">
        <v>488</v>
      </c>
      <c r="B489" t="s">
        <v>509</v>
      </c>
      <c r="C489" t="s">
        <v>19</v>
      </c>
      <c r="D489" t="s">
        <v>32</v>
      </c>
      <c r="E489" s="4">
        <v>48004945</v>
      </c>
      <c r="F489">
        <v>39.32</v>
      </c>
      <c r="G489">
        <v>2.14</v>
      </c>
      <c r="H489">
        <v>128.6</v>
      </c>
      <c r="I489">
        <v>5.45</v>
      </c>
      <c r="J489" s="5">
        <v>46060</v>
      </c>
      <c r="K489">
        <f t="shared" si="7"/>
        <v>33.07</v>
      </c>
      <c r="L489" t="str" cm="1">
        <f t="array" ref="L489">_xlfn.IFS(E489&gt;=52000000,"Platinum",E489&gt;=37000000,"Gold",E489&gt;=30000000,"Sliver",E489&lt;30000000,"Bronze")</f>
        <v>Gold</v>
      </c>
    </row>
    <row r="490" spans="1:12" x14ac:dyDescent="0.25">
      <c r="A490">
        <v>489</v>
      </c>
      <c r="B490" t="s">
        <v>510</v>
      </c>
      <c r="C490" t="s">
        <v>27</v>
      </c>
      <c r="D490" t="s">
        <v>11</v>
      </c>
      <c r="E490" s="4">
        <v>53152372</v>
      </c>
      <c r="F490">
        <v>17.739999999999998</v>
      </c>
      <c r="G490">
        <v>31.6</v>
      </c>
      <c r="H490">
        <v>1895.9</v>
      </c>
      <c r="I490">
        <v>178.12</v>
      </c>
      <c r="J490" s="5">
        <v>46060</v>
      </c>
      <c r="K490">
        <f t="shared" si="7"/>
        <v>130.19</v>
      </c>
      <c r="L490" t="str" cm="1">
        <f t="array" ref="L490">_xlfn.IFS(E490&gt;=52000000,"Platinum",E490&gt;=37000000,"Gold",E490&gt;=30000000,"Sliver",E490&lt;30000000,"Bronze")</f>
        <v>Platinum</v>
      </c>
    </row>
    <row r="491" spans="1:12" x14ac:dyDescent="0.25">
      <c r="A491">
        <v>490</v>
      </c>
      <c r="B491" t="s">
        <v>511</v>
      </c>
      <c r="C491" s="1" t="s">
        <v>21</v>
      </c>
      <c r="D491" t="s">
        <v>22</v>
      </c>
      <c r="E491" s="4">
        <v>43919990</v>
      </c>
      <c r="F491">
        <v>55</v>
      </c>
      <c r="G491">
        <v>3.8</v>
      </c>
      <c r="H491">
        <v>227.86</v>
      </c>
      <c r="I491">
        <v>6.9</v>
      </c>
      <c r="J491" s="5">
        <v>46060</v>
      </c>
      <c r="K491">
        <f t="shared" si="7"/>
        <v>25.95</v>
      </c>
      <c r="L491" t="str" cm="1">
        <f t="array" ref="L491">_xlfn.IFS(E491&gt;=52000000,"Platinum",E491&gt;=37000000,"Gold",E491&gt;=30000000,"Sliver",E491&lt;30000000,"Bronze")</f>
        <v>Gold</v>
      </c>
    </row>
    <row r="492" spans="1:12" x14ac:dyDescent="0.25">
      <c r="A492">
        <v>491</v>
      </c>
      <c r="B492" t="s">
        <v>512</v>
      </c>
      <c r="C492" t="s">
        <v>16</v>
      </c>
      <c r="D492" t="s">
        <v>13</v>
      </c>
      <c r="E492" s="4">
        <v>36996688</v>
      </c>
      <c r="F492" s="1">
        <f>CALCULATION!$C$11</f>
        <v>42.81</v>
      </c>
      <c r="G492" s="1">
        <v>4.32</v>
      </c>
      <c r="H492">
        <v>258.92</v>
      </c>
      <c r="I492">
        <v>7.2</v>
      </c>
      <c r="J492" s="5">
        <v>46060</v>
      </c>
      <c r="K492">
        <f t="shared" si="7"/>
        <v>32.200000000000003</v>
      </c>
      <c r="L492" t="str" cm="1">
        <f t="array" ref="L492">_xlfn.IFS(E492&gt;=52000000,"Platinum",E492&gt;=37000000,"Gold",E492&gt;=30000000,"Sliver",E492&lt;30000000,"Bronze")</f>
        <v>Sliver</v>
      </c>
    </row>
    <row r="493" spans="1:12" x14ac:dyDescent="0.25">
      <c r="A493">
        <v>492</v>
      </c>
      <c r="B493" t="s">
        <v>513</v>
      </c>
      <c r="C493" t="s">
        <v>10</v>
      </c>
      <c r="D493" t="s">
        <v>17</v>
      </c>
      <c r="E493" s="4">
        <v>45364205</v>
      </c>
      <c r="F493">
        <v>38.14</v>
      </c>
      <c r="G493">
        <v>9.2200000000000006</v>
      </c>
      <c r="H493">
        <v>552.91999999999996</v>
      </c>
      <c r="I493">
        <v>24.16</v>
      </c>
      <c r="J493" s="5">
        <v>46060</v>
      </c>
      <c r="K493">
        <f t="shared" si="7"/>
        <v>43.01</v>
      </c>
      <c r="L493" t="str" cm="1">
        <f t="array" ref="L493">_xlfn.IFS(E493&gt;=52000000,"Platinum",E493&gt;=37000000,"Gold",E493&gt;=30000000,"Sliver",E493&lt;30000000,"Bronze")</f>
        <v>Gold</v>
      </c>
    </row>
    <row r="494" spans="1:12" x14ac:dyDescent="0.25">
      <c r="A494">
        <v>493</v>
      </c>
      <c r="B494" t="s">
        <v>514</v>
      </c>
      <c r="C494" t="s">
        <v>19</v>
      </c>
      <c r="D494" t="s">
        <v>22</v>
      </c>
      <c r="E494" s="4">
        <v>45743065</v>
      </c>
      <c r="F494">
        <v>55.68</v>
      </c>
      <c r="G494">
        <v>2.14</v>
      </c>
      <c r="H494">
        <v>128.16999999999999</v>
      </c>
      <c r="I494">
        <v>3.84</v>
      </c>
      <c r="J494" s="5">
        <v>46060</v>
      </c>
      <c r="K494">
        <f t="shared" si="7"/>
        <v>24.08</v>
      </c>
      <c r="L494" t="str" cm="1">
        <f t="array" ref="L494">_xlfn.IFS(E494&gt;=52000000,"Platinum",E494&gt;=37000000,"Gold",E494&gt;=30000000,"Sliver",E494&lt;30000000,"Bronze")</f>
        <v>Gold</v>
      </c>
    </row>
    <row r="495" spans="1:12" x14ac:dyDescent="0.25">
      <c r="A495">
        <v>494</v>
      </c>
      <c r="B495" t="s">
        <v>515</v>
      </c>
      <c r="C495" t="s">
        <v>10</v>
      </c>
      <c r="D495" t="s">
        <v>17</v>
      </c>
      <c r="E495" s="4">
        <v>53270126</v>
      </c>
      <c r="F495" s="1">
        <f>CALCULATION!$C$11</f>
        <v>42.81</v>
      </c>
      <c r="G495" s="1">
        <v>7.5</v>
      </c>
      <c r="H495">
        <v>449.89</v>
      </c>
      <c r="I495">
        <v>22.9</v>
      </c>
      <c r="J495" s="5">
        <v>46060</v>
      </c>
      <c r="K495">
        <f t="shared" si="7"/>
        <v>40.049999999999997</v>
      </c>
      <c r="L495" t="str" cm="1">
        <f t="array" ref="L495">_xlfn.IFS(E495&gt;=52000000,"Platinum",E495&gt;=37000000,"Gold",E495&gt;=30000000,"Sliver",E495&lt;30000000,"Bronze")</f>
        <v>Platinum</v>
      </c>
    </row>
    <row r="496" spans="1:12" x14ac:dyDescent="0.25">
      <c r="A496">
        <v>495</v>
      </c>
      <c r="B496" t="s">
        <v>516</v>
      </c>
      <c r="C496" t="s">
        <v>27</v>
      </c>
      <c r="D496" t="s">
        <v>13</v>
      </c>
      <c r="E496" s="4">
        <v>53888344</v>
      </c>
      <c r="F496">
        <v>25.81</v>
      </c>
      <c r="G496">
        <v>28.46</v>
      </c>
      <c r="H496">
        <v>1707.69</v>
      </c>
      <c r="I496">
        <v>110.27</v>
      </c>
      <c r="J496" s="5">
        <v>46060</v>
      </c>
      <c r="K496">
        <f t="shared" si="7"/>
        <v>92.23</v>
      </c>
      <c r="L496" t="str" cm="1">
        <f t="array" ref="L496">_xlfn.IFS(E496&gt;=52000000,"Platinum",E496&gt;=37000000,"Gold",E496&gt;=30000000,"Sliver",E496&lt;30000000,"Bronze")</f>
        <v>Platinum</v>
      </c>
    </row>
    <row r="497" spans="1:12" x14ac:dyDescent="0.25">
      <c r="A497">
        <v>496</v>
      </c>
      <c r="B497" t="s">
        <v>517</v>
      </c>
      <c r="C497" t="s">
        <v>29</v>
      </c>
      <c r="D497" t="s">
        <v>22</v>
      </c>
      <c r="E497" s="4">
        <v>47965101</v>
      </c>
      <c r="F497">
        <v>54.74</v>
      </c>
      <c r="G497">
        <v>3.77</v>
      </c>
      <c r="H497">
        <v>226.47</v>
      </c>
      <c r="I497">
        <v>6.9</v>
      </c>
      <c r="J497" s="5">
        <v>46060</v>
      </c>
      <c r="K497">
        <f t="shared" si="7"/>
        <v>26.08</v>
      </c>
      <c r="L497" t="str" cm="1">
        <f t="array" ref="L497">_xlfn.IFS(E497&gt;=52000000,"Platinum",E497&gt;=37000000,"Gold",E497&gt;=30000000,"Sliver",E497&lt;30000000,"Bronze")</f>
        <v>Gold</v>
      </c>
    </row>
    <row r="498" spans="1:12" x14ac:dyDescent="0.25">
      <c r="A498">
        <v>497</v>
      </c>
      <c r="B498" t="s">
        <v>518</v>
      </c>
      <c r="C498" t="s">
        <v>46</v>
      </c>
      <c r="D498" t="s">
        <v>32</v>
      </c>
      <c r="E498" s="4">
        <v>52662876</v>
      </c>
      <c r="F498">
        <v>53.79</v>
      </c>
      <c r="G498">
        <v>3.5</v>
      </c>
      <c r="H498">
        <v>209.73</v>
      </c>
      <c r="I498">
        <v>6.5</v>
      </c>
      <c r="J498" s="5">
        <v>46060</v>
      </c>
      <c r="K498">
        <f t="shared" si="7"/>
        <v>26.36</v>
      </c>
      <c r="L498" t="str" cm="1">
        <f t="array" ref="L498">_xlfn.IFS(E498&gt;=52000000,"Platinum",E498&gt;=37000000,"Gold",E498&gt;=30000000,"Sliver",E498&lt;30000000,"Bronze")</f>
        <v>Platinum</v>
      </c>
    </row>
    <row r="499" spans="1:12" x14ac:dyDescent="0.25">
      <c r="A499">
        <v>498</v>
      </c>
      <c r="B499" t="s">
        <v>519</v>
      </c>
      <c r="C499" t="s">
        <v>10</v>
      </c>
      <c r="D499" t="s">
        <v>17</v>
      </c>
      <c r="E499" s="4">
        <v>46184792</v>
      </c>
      <c r="F499">
        <v>41.26</v>
      </c>
      <c r="G499">
        <v>3.64</v>
      </c>
      <c r="H499">
        <v>218.67</v>
      </c>
      <c r="I499">
        <v>8.83</v>
      </c>
      <c r="J499" s="5">
        <v>46060</v>
      </c>
      <c r="K499">
        <f t="shared" si="7"/>
        <v>33.79</v>
      </c>
      <c r="L499" t="str" cm="1">
        <f t="array" ref="L499">_xlfn.IFS(E499&gt;=52000000,"Platinum",E499&gt;=37000000,"Gold",E499&gt;=30000000,"Sliver",E499&lt;30000000,"Bronze")</f>
        <v>Gold</v>
      </c>
    </row>
    <row r="500" spans="1:12" x14ac:dyDescent="0.25">
      <c r="A500">
        <v>499</v>
      </c>
      <c r="B500" t="s">
        <v>520</v>
      </c>
      <c r="C500" t="s">
        <v>21</v>
      </c>
      <c r="D500" t="s">
        <v>17</v>
      </c>
      <c r="E500" s="4">
        <v>38899221</v>
      </c>
      <c r="F500">
        <v>40.43</v>
      </c>
      <c r="G500">
        <v>1.49</v>
      </c>
      <c r="H500">
        <v>89.16</v>
      </c>
      <c r="I500">
        <v>3.68</v>
      </c>
      <c r="J500" s="5">
        <v>46060</v>
      </c>
      <c r="K500">
        <f t="shared" si="7"/>
        <v>31.63</v>
      </c>
      <c r="L500" t="str" cm="1">
        <f t="array" ref="L500">_xlfn.IFS(E500&gt;=52000000,"Platinum",E500&gt;=37000000,"Gold",E500&gt;=30000000,"Sliver",E500&lt;30000000,"Bronze")</f>
        <v>Gold</v>
      </c>
    </row>
    <row r="501" spans="1:12" x14ac:dyDescent="0.25">
      <c r="A501">
        <v>500</v>
      </c>
      <c r="B501" t="s">
        <v>521</v>
      </c>
      <c r="C501" t="s">
        <v>21</v>
      </c>
      <c r="D501" t="s">
        <v>32</v>
      </c>
      <c r="E501" s="4">
        <v>41558583</v>
      </c>
      <c r="F501">
        <v>44.57</v>
      </c>
      <c r="G501">
        <v>2.04</v>
      </c>
      <c r="H501">
        <v>122.14</v>
      </c>
      <c r="I501">
        <v>4.57</v>
      </c>
      <c r="J501" s="5">
        <v>46060</v>
      </c>
      <c r="K501">
        <f t="shared" si="7"/>
        <v>30</v>
      </c>
      <c r="L501" t="str" cm="1">
        <f t="array" ref="L501">_xlfn.IFS(E501&gt;=52000000,"Platinum",E501&gt;=37000000,"Gold",E501&gt;=30000000,"Sliver",E501&lt;30000000,"Bronze")</f>
        <v>Gold</v>
      </c>
    </row>
    <row r="502" spans="1:12" x14ac:dyDescent="0.25">
      <c r="A502">
        <v>501</v>
      </c>
      <c r="B502" t="s">
        <v>522</v>
      </c>
      <c r="C502" t="s">
        <v>29</v>
      </c>
      <c r="D502" t="s">
        <v>22</v>
      </c>
      <c r="E502" s="4">
        <v>39817627</v>
      </c>
      <c r="F502">
        <v>48.99</v>
      </c>
      <c r="G502">
        <v>7.24</v>
      </c>
      <c r="H502">
        <v>434.3</v>
      </c>
      <c r="I502">
        <v>14.78</v>
      </c>
      <c r="J502" s="5">
        <v>46060</v>
      </c>
      <c r="K502">
        <f t="shared" si="7"/>
        <v>32.9</v>
      </c>
      <c r="L502" t="str" cm="1">
        <f t="array" ref="L502">_xlfn.IFS(E502&gt;=52000000,"Platinum",E502&gt;=37000000,"Gold",E502&gt;=30000000,"Sliver",E502&lt;30000000,"Bronze")</f>
        <v>Gold</v>
      </c>
    </row>
    <row r="503" spans="1:12" x14ac:dyDescent="0.25">
      <c r="A503">
        <v>502</v>
      </c>
      <c r="B503" t="s">
        <v>523</v>
      </c>
      <c r="C503" t="s">
        <v>10</v>
      </c>
      <c r="D503" s="1" t="s">
        <v>32</v>
      </c>
      <c r="E503" s="4">
        <v>53425213</v>
      </c>
      <c r="F503">
        <v>59.88</v>
      </c>
      <c r="G503">
        <v>2.6</v>
      </c>
      <c r="H503">
        <v>156.01</v>
      </c>
      <c r="I503">
        <v>4.34</v>
      </c>
      <c r="J503" s="5">
        <v>46060</v>
      </c>
      <c r="K503">
        <f t="shared" si="7"/>
        <v>22.23</v>
      </c>
      <c r="L503" t="str" cm="1">
        <f t="array" ref="L503">_xlfn.IFS(E503&gt;=52000000,"Platinum",E503&gt;=37000000,"Gold",E503&gt;=30000000,"Sliver",E503&lt;30000000,"Bronze")</f>
        <v>Platinum</v>
      </c>
    </row>
    <row r="504" spans="1:12" x14ac:dyDescent="0.25">
      <c r="A504">
        <v>503</v>
      </c>
      <c r="B504" t="s">
        <v>524</v>
      </c>
      <c r="C504" s="1" t="s">
        <v>21</v>
      </c>
      <c r="D504" t="s">
        <v>25</v>
      </c>
      <c r="E504" s="4">
        <v>46014831</v>
      </c>
      <c r="F504">
        <v>42.11</v>
      </c>
      <c r="G504">
        <v>9.42</v>
      </c>
      <c r="H504">
        <v>565.48</v>
      </c>
      <c r="I504">
        <v>22.38</v>
      </c>
      <c r="J504" s="5">
        <v>46060</v>
      </c>
      <c r="K504">
        <f t="shared" si="7"/>
        <v>40.14</v>
      </c>
      <c r="L504" t="str" cm="1">
        <f t="array" ref="L504">_xlfn.IFS(E504&gt;=52000000,"Platinum",E504&gt;=37000000,"Gold",E504&gt;=30000000,"Sliver",E504&lt;30000000,"Bronze")</f>
        <v>Gold</v>
      </c>
    </row>
    <row r="505" spans="1:12" x14ac:dyDescent="0.25">
      <c r="A505">
        <v>504</v>
      </c>
      <c r="B505" t="s">
        <v>525</v>
      </c>
      <c r="C505" t="s">
        <v>10</v>
      </c>
      <c r="D505" t="s">
        <v>32</v>
      </c>
      <c r="E505" s="4">
        <v>49706196</v>
      </c>
      <c r="F505">
        <v>47.98</v>
      </c>
      <c r="G505">
        <v>2.14</v>
      </c>
      <c r="H505">
        <v>128.6</v>
      </c>
      <c r="I505">
        <v>4.47</v>
      </c>
      <c r="J505" s="5">
        <v>46060</v>
      </c>
      <c r="K505">
        <f t="shared" si="7"/>
        <v>28.25</v>
      </c>
      <c r="L505" t="str" cm="1">
        <f t="array" ref="L505">_xlfn.IFS(E505&gt;=52000000,"Platinum",E505&gt;=37000000,"Gold",E505&gt;=30000000,"Sliver",E505&lt;30000000,"Bronze")</f>
        <v>Gold</v>
      </c>
    </row>
    <row r="506" spans="1:12" x14ac:dyDescent="0.25">
      <c r="A506">
        <v>505</v>
      </c>
      <c r="B506" t="s">
        <v>526</v>
      </c>
      <c r="C506" t="s">
        <v>16</v>
      </c>
      <c r="D506" t="s">
        <v>32</v>
      </c>
      <c r="E506" s="4">
        <v>45248707</v>
      </c>
      <c r="F506">
        <v>55.41</v>
      </c>
      <c r="G506">
        <v>5.28</v>
      </c>
      <c r="H506">
        <v>317.08</v>
      </c>
      <c r="I506">
        <v>9.5399999999999991</v>
      </c>
      <c r="J506" s="5">
        <v>46060</v>
      </c>
      <c r="K506">
        <f t="shared" si="7"/>
        <v>27.07</v>
      </c>
      <c r="L506" t="str" cm="1">
        <f t="array" ref="L506">_xlfn.IFS(E506&gt;=52000000,"Platinum",E506&gt;=37000000,"Gold",E506&gt;=30000000,"Sliver",E506&lt;30000000,"Bronze")</f>
        <v>Gold</v>
      </c>
    </row>
    <row r="507" spans="1:12" x14ac:dyDescent="0.25">
      <c r="A507">
        <v>506</v>
      </c>
      <c r="B507" t="s">
        <v>527</v>
      </c>
      <c r="C507" t="s">
        <v>46</v>
      </c>
      <c r="D507" t="s">
        <v>32</v>
      </c>
      <c r="E507" s="4">
        <v>38541210</v>
      </c>
      <c r="F507">
        <v>50.02</v>
      </c>
      <c r="G507">
        <v>2.85</v>
      </c>
      <c r="H507">
        <v>171.07</v>
      </c>
      <c r="I507">
        <v>5.7</v>
      </c>
      <c r="J507" s="5">
        <v>46060</v>
      </c>
      <c r="K507">
        <f t="shared" si="7"/>
        <v>27.84</v>
      </c>
      <c r="L507" t="str" cm="1">
        <f t="array" ref="L507">_xlfn.IFS(E507&gt;=52000000,"Platinum",E507&gt;=37000000,"Gold",E507&gt;=30000000,"Sliver",E507&lt;30000000,"Bronze")</f>
        <v>Gold</v>
      </c>
    </row>
    <row r="508" spans="1:12" x14ac:dyDescent="0.25">
      <c r="A508">
        <v>507</v>
      </c>
      <c r="B508" t="s">
        <v>528</v>
      </c>
      <c r="C508" t="s">
        <v>27</v>
      </c>
      <c r="D508" t="s">
        <v>22</v>
      </c>
      <c r="E508" s="4">
        <v>45847360</v>
      </c>
      <c r="F508">
        <v>20.34</v>
      </c>
      <c r="G508">
        <v>23.96</v>
      </c>
      <c r="H508">
        <v>1437.55</v>
      </c>
      <c r="I508">
        <v>117.79</v>
      </c>
      <c r="J508" s="5">
        <v>46060</v>
      </c>
      <c r="K508">
        <f t="shared" si="7"/>
        <v>98.73</v>
      </c>
      <c r="L508" t="str" cm="1">
        <f t="array" ref="L508">_xlfn.IFS(E508&gt;=52000000,"Platinum",E508&gt;=37000000,"Gold",E508&gt;=30000000,"Sliver",E508&lt;30000000,"Bronze")</f>
        <v>Gold</v>
      </c>
    </row>
    <row r="509" spans="1:12" x14ac:dyDescent="0.25">
      <c r="A509">
        <v>508</v>
      </c>
      <c r="B509" t="s">
        <v>529</v>
      </c>
      <c r="C509" t="s">
        <v>16</v>
      </c>
      <c r="D509" t="s">
        <v>22</v>
      </c>
      <c r="E509" s="4">
        <v>52154427</v>
      </c>
      <c r="F509">
        <v>50.81</v>
      </c>
      <c r="G509">
        <v>3</v>
      </c>
      <c r="H509">
        <v>180.29</v>
      </c>
      <c r="I509">
        <v>5.91</v>
      </c>
      <c r="J509" s="5">
        <v>46060</v>
      </c>
      <c r="K509">
        <f t="shared" si="7"/>
        <v>27.55</v>
      </c>
      <c r="L509" t="str" cm="1">
        <f t="array" ref="L509">_xlfn.IFS(E509&gt;=52000000,"Platinum",E509&gt;=37000000,"Gold",E509&gt;=30000000,"Sliver",E509&lt;30000000,"Bronze")</f>
        <v>Platinum</v>
      </c>
    </row>
    <row r="510" spans="1:12" x14ac:dyDescent="0.25">
      <c r="A510">
        <v>509</v>
      </c>
      <c r="B510" t="s">
        <v>530</v>
      </c>
      <c r="C510" t="s">
        <v>19</v>
      </c>
      <c r="D510" t="s">
        <v>22</v>
      </c>
      <c r="E510" s="4">
        <v>46409626</v>
      </c>
      <c r="F510">
        <v>48.9</v>
      </c>
      <c r="G510">
        <v>4.59</v>
      </c>
      <c r="H510">
        <v>275.26</v>
      </c>
      <c r="I510">
        <v>9.3800000000000008</v>
      </c>
      <c r="J510" s="5">
        <v>46060</v>
      </c>
      <c r="K510">
        <f t="shared" si="7"/>
        <v>30.24</v>
      </c>
      <c r="L510" t="str" cm="1">
        <f t="array" ref="L510">_xlfn.IFS(E510&gt;=52000000,"Platinum",E510&gt;=37000000,"Gold",E510&gt;=30000000,"Sliver",E510&lt;30000000,"Bronze")</f>
        <v>Gold</v>
      </c>
    </row>
    <row r="511" spans="1:12" x14ac:dyDescent="0.25">
      <c r="A511">
        <v>510</v>
      </c>
      <c r="B511" t="s">
        <v>531</v>
      </c>
      <c r="C511" t="s">
        <v>27</v>
      </c>
      <c r="D511" t="s">
        <v>25</v>
      </c>
      <c r="E511" s="4">
        <v>45397755</v>
      </c>
      <c r="F511">
        <v>17.21</v>
      </c>
      <c r="G511">
        <v>37.31</v>
      </c>
      <c r="H511">
        <v>2238.7199999999998</v>
      </c>
      <c r="I511">
        <v>216.8</v>
      </c>
      <c r="J511" s="5">
        <v>46060</v>
      </c>
      <c r="K511">
        <f t="shared" si="7"/>
        <v>149.80000000000001</v>
      </c>
      <c r="L511" t="str" cm="1">
        <f t="array" ref="L511">_xlfn.IFS(E511&gt;=52000000,"Platinum",E511&gt;=37000000,"Gold",E511&gt;=30000000,"Sliver",E511&lt;30000000,"Bronze")</f>
        <v>Gold</v>
      </c>
    </row>
    <row r="512" spans="1:12" x14ac:dyDescent="0.25">
      <c r="A512">
        <v>511</v>
      </c>
      <c r="B512" t="s">
        <v>532</v>
      </c>
      <c r="C512" t="s">
        <v>10</v>
      </c>
      <c r="D512" t="s">
        <v>25</v>
      </c>
      <c r="E512" s="4">
        <v>36581489</v>
      </c>
      <c r="F512">
        <v>41.78</v>
      </c>
      <c r="G512">
        <v>2.73</v>
      </c>
      <c r="H512">
        <v>163.81</v>
      </c>
      <c r="I512">
        <v>6.53</v>
      </c>
      <c r="J512" s="5">
        <v>46060</v>
      </c>
      <c r="K512">
        <f t="shared" si="7"/>
        <v>32.380000000000003</v>
      </c>
      <c r="L512" t="str" cm="1">
        <f t="array" ref="L512">_xlfn.IFS(E512&gt;=52000000,"Platinum",E512&gt;=37000000,"Gold",E512&gt;=30000000,"Sliver",E512&lt;30000000,"Bronze")</f>
        <v>Sliver</v>
      </c>
    </row>
    <row r="513" spans="1:12" x14ac:dyDescent="0.25">
      <c r="A513">
        <v>512</v>
      </c>
      <c r="B513" t="s">
        <v>533</v>
      </c>
      <c r="C513" t="s">
        <v>27</v>
      </c>
      <c r="D513" t="s">
        <v>25</v>
      </c>
      <c r="E513" s="4">
        <v>40151736</v>
      </c>
      <c r="F513">
        <v>29.56</v>
      </c>
      <c r="G513">
        <v>23.58</v>
      </c>
      <c r="H513">
        <v>1414.72</v>
      </c>
      <c r="I513">
        <v>79.77</v>
      </c>
      <c r="J513" s="5">
        <v>46060</v>
      </c>
      <c r="K513">
        <f t="shared" si="7"/>
        <v>75.11</v>
      </c>
      <c r="L513" t="str" cm="1">
        <f t="array" ref="L513">_xlfn.IFS(E513&gt;=52000000,"Platinum",E513&gt;=37000000,"Gold",E513&gt;=30000000,"Sliver",E513&lt;30000000,"Bronze")</f>
        <v>Gold</v>
      </c>
    </row>
    <row r="514" spans="1:12" x14ac:dyDescent="0.25">
      <c r="A514">
        <v>513</v>
      </c>
      <c r="B514" t="s">
        <v>534</v>
      </c>
      <c r="C514" t="s">
        <v>46</v>
      </c>
      <c r="D514" t="s">
        <v>11</v>
      </c>
      <c r="E514" s="4">
        <v>48567314</v>
      </c>
      <c r="F514">
        <v>33.43</v>
      </c>
      <c r="G514">
        <v>6.72</v>
      </c>
      <c r="H514">
        <v>403.29</v>
      </c>
      <c r="I514">
        <v>20.11</v>
      </c>
      <c r="J514" s="5">
        <v>46060</v>
      </c>
      <c r="K514">
        <f t="shared" si="7"/>
        <v>43.34</v>
      </c>
      <c r="L514" t="str" cm="1">
        <f t="array" ref="L514">_xlfn.IFS(E514&gt;=52000000,"Platinum",E514&gt;=37000000,"Gold",E514&gt;=30000000,"Sliver",E514&lt;30000000,"Bronze")</f>
        <v>Gold</v>
      </c>
    </row>
    <row r="515" spans="1:12" x14ac:dyDescent="0.25">
      <c r="A515">
        <v>514</v>
      </c>
      <c r="B515" t="s">
        <v>535</v>
      </c>
      <c r="C515" t="s">
        <v>10</v>
      </c>
      <c r="D515" t="s">
        <v>32</v>
      </c>
      <c r="E515" s="4">
        <v>37635502</v>
      </c>
      <c r="F515">
        <v>53.19</v>
      </c>
      <c r="G515">
        <v>5.44</v>
      </c>
      <c r="H515">
        <v>326.57</v>
      </c>
      <c r="I515">
        <v>10.23</v>
      </c>
      <c r="J515" s="5">
        <v>46060</v>
      </c>
      <c r="K515">
        <f t="shared" ref="K515:K578" si="8">ROUND((100-F515)*0.5 + I515*0.5,2)</f>
        <v>28.52</v>
      </c>
      <c r="L515" t="str" cm="1">
        <f t="array" ref="L515">_xlfn.IFS(E515&gt;=52000000,"Platinum",E515&gt;=37000000,"Gold",E515&gt;=30000000,"Sliver",E515&lt;30000000,"Bronze")</f>
        <v>Gold</v>
      </c>
    </row>
    <row r="516" spans="1:12" x14ac:dyDescent="0.25">
      <c r="A516">
        <v>515</v>
      </c>
      <c r="B516" t="s">
        <v>536</v>
      </c>
      <c r="C516" t="s">
        <v>27</v>
      </c>
      <c r="D516" t="s">
        <v>32</v>
      </c>
      <c r="E516" s="4">
        <v>41639856</v>
      </c>
      <c r="F516">
        <v>20.82</v>
      </c>
      <c r="G516">
        <v>20.5</v>
      </c>
      <c r="H516">
        <v>1230.06</v>
      </c>
      <c r="I516">
        <v>98.47</v>
      </c>
      <c r="J516" s="5">
        <v>46060</v>
      </c>
      <c r="K516">
        <f t="shared" si="8"/>
        <v>88.83</v>
      </c>
      <c r="L516" t="str" cm="1">
        <f t="array" ref="L516">_xlfn.IFS(E516&gt;=52000000,"Platinum",E516&gt;=37000000,"Gold",E516&gt;=30000000,"Sliver",E516&lt;30000000,"Bronze")</f>
        <v>Gold</v>
      </c>
    </row>
    <row r="517" spans="1:12" x14ac:dyDescent="0.25">
      <c r="A517">
        <v>516</v>
      </c>
      <c r="B517" t="s">
        <v>537</v>
      </c>
      <c r="C517" t="s">
        <v>46</v>
      </c>
      <c r="D517" t="s">
        <v>32</v>
      </c>
      <c r="E517" s="4">
        <v>47825885</v>
      </c>
      <c r="F517">
        <v>31.82</v>
      </c>
      <c r="G517">
        <v>7.12</v>
      </c>
      <c r="H517">
        <v>427.08</v>
      </c>
      <c r="I517">
        <v>22.37</v>
      </c>
      <c r="J517" s="5">
        <v>46060</v>
      </c>
      <c r="K517">
        <f t="shared" si="8"/>
        <v>45.28</v>
      </c>
      <c r="L517" t="str" cm="1">
        <f t="array" ref="L517">_xlfn.IFS(E517&gt;=52000000,"Platinum",E517&gt;=37000000,"Gold",E517&gt;=30000000,"Sliver",E517&lt;30000000,"Bronze")</f>
        <v>Gold</v>
      </c>
    </row>
    <row r="518" spans="1:12" x14ac:dyDescent="0.25">
      <c r="A518">
        <v>517</v>
      </c>
      <c r="B518" t="s">
        <v>538</v>
      </c>
      <c r="C518" t="s">
        <v>27</v>
      </c>
      <c r="D518" t="s">
        <v>25</v>
      </c>
      <c r="E518" s="4">
        <v>48370221</v>
      </c>
      <c r="F518">
        <v>24.83</v>
      </c>
      <c r="G518">
        <v>15.89</v>
      </c>
      <c r="H518">
        <v>953.44</v>
      </c>
      <c r="I518">
        <v>64</v>
      </c>
      <c r="J518" s="5">
        <v>46060</v>
      </c>
      <c r="K518">
        <f t="shared" si="8"/>
        <v>69.59</v>
      </c>
      <c r="L518" t="str" cm="1">
        <f t="array" ref="L518">_xlfn.IFS(E518&gt;=52000000,"Platinum",E518&gt;=37000000,"Gold",E518&gt;=30000000,"Sliver",E518&lt;30000000,"Bronze")</f>
        <v>Gold</v>
      </c>
    </row>
    <row r="519" spans="1:12" x14ac:dyDescent="0.25">
      <c r="A519">
        <v>518</v>
      </c>
      <c r="B519" t="s">
        <v>539</v>
      </c>
      <c r="C519" t="s">
        <v>19</v>
      </c>
      <c r="D519" t="s">
        <v>11</v>
      </c>
      <c r="E519" s="4">
        <v>40285984</v>
      </c>
      <c r="F519">
        <v>50.44</v>
      </c>
      <c r="G519">
        <v>9.93</v>
      </c>
      <c r="H519">
        <v>595.94000000000005</v>
      </c>
      <c r="I519">
        <v>19.690000000000001</v>
      </c>
      <c r="J519" s="5">
        <v>46060</v>
      </c>
      <c r="K519">
        <f t="shared" si="8"/>
        <v>34.630000000000003</v>
      </c>
      <c r="L519" t="str" cm="1">
        <f t="array" ref="L519">_xlfn.IFS(E519&gt;=52000000,"Platinum",E519&gt;=37000000,"Gold",E519&gt;=30000000,"Sliver",E519&lt;30000000,"Bronze")</f>
        <v>Gold</v>
      </c>
    </row>
    <row r="520" spans="1:12" x14ac:dyDescent="0.25">
      <c r="A520">
        <v>519</v>
      </c>
      <c r="B520" t="s">
        <v>540</v>
      </c>
      <c r="C520" t="s">
        <v>21</v>
      </c>
      <c r="D520" t="s">
        <v>13</v>
      </c>
      <c r="E520" s="4">
        <v>44038438</v>
      </c>
      <c r="F520">
        <v>41.9</v>
      </c>
      <c r="G520">
        <v>1.28</v>
      </c>
      <c r="H520">
        <v>76.760000000000005</v>
      </c>
      <c r="I520">
        <v>3.05</v>
      </c>
      <c r="J520" s="5">
        <v>46060</v>
      </c>
      <c r="K520">
        <f t="shared" si="8"/>
        <v>30.58</v>
      </c>
      <c r="L520" t="str" cm="1">
        <f t="array" ref="L520">_xlfn.IFS(E520&gt;=52000000,"Platinum",E520&gt;=37000000,"Gold",E520&gt;=30000000,"Sliver",E520&lt;30000000,"Bronze")</f>
        <v>Gold</v>
      </c>
    </row>
    <row r="521" spans="1:12" x14ac:dyDescent="0.25">
      <c r="A521">
        <v>520</v>
      </c>
      <c r="B521" t="s">
        <v>541</v>
      </c>
      <c r="C521" t="s">
        <v>29</v>
      </c>
      <c r="D521" t="s">
        <v>25</v>
      </c>
      <c r="E521" s="4">
        <v>46137487</v>
      </c>
      <c r="F521">
        <v>59.17</v>
      </c>
      <c r="G521">
        <v>7.02</v>
      </c>
      <c r="H521">
        <v>421.02</v>
      </c>
      <c r="I521">
        <v>11.86</v>
      </c>
      <c r="J521" s="5">
        <v>46060</v>
      </c>
      <c r="K521">
        <f t="shared" si="8"/>
        <v>26.35</v>
      </c>
      <c r="L521" t="str" cm="1">
        <f t="array" ref="L521">_xlfn.IFS(E521&gt;=52000000,"Platinum",E521&gt;=37000000,"Gold",E521&gt;=30000000,"Sliver",E521&lt;30000000,"Bronze")</f>
        <v>Gold</v>
      </c>
    </row>
    <row r="522" spans="1:12" x14ac:dyDescent="0.25">
      <c r="A522">
        <v>521</v>
      </c>
      <c r="B522" t="s">
        <v>542</v>
      </c>
      <c r="C522" t="s">
        <v>46</v>
      </c>
      <c r="D522" t="s">
        <v>32</v>
      </c>
      <c r="E522" s="4">
        <v>49862798</v>
      </c>
      <c r="F522">
        <v>38.630000000000003</v>
      </c>
      <c r="G522">
        <v>6.64</v>
      </c>
      <c r="H522">
        <v>398.1</v>
      </c>
      <c r="I522">
        <v>17.18</v>
      </c>
      <c r="J522" s="5">
        <v>46060</v>
      </c>
      <c r="K522">
        <f t="shared" si="8"/>
        <v>39.28</v>
      </c>
      <c r="L522" t="str" cm="1">
        <f t="array" ref="L522">_xlfn.IFS(E522&gt;=52000000,"Platinum",E522&gt;=37000000,"Gold",E522&gt;=30000000,"Sliver",E522&lt;30000000,"Bronze")</f>
        <v>Gold</v>
      </c>
    </row>
    <row r="523" spans="1:12" x14ac:dyDescent="0.25">
      <c r="A523">
        <v>522</v>
      </c>
      <c r="B523" t="s">
        <v>543</v>
      </c>
      <c r="C523" t="s">
        <v>29</v>
      </c>
      <c r="D523" t="s">
        <v>11</v>
      </c>
      <c r="E523" s="4">
        <v>38495005</v>
      </c>
      <c r="F523">
        <v>33.92</v>
      </c>
      <c r="G523">
        <v>6.99</v>
      </c>
      <c r="H523">
        <v>419.63</v>
      </c>
      <c r="I523">
        <v>20.62</v>
      </c>
      <c r="J523" s="5">
        <v>46060</v>
      </c>
      <c r="K523">
        <f t="shared" si="8"/>
        <v>43.35</v>
      </c>
      <c r="L523" t="str" cm="1">
        <f t="array" ref="L523">_xlfn.IFS(E523&gt;=52000000,"Platinum",E523&gt;=37000000,"Gold",E523&gt;=30000000,"Sliver",E523&lt;30000000,"Bronze")</f>
        <v>Gold</v>
      </c>
    </row>
    <row r="524" spans="1:12" x14ac:dyDescent="0.25">
      <c r="A524">
        <v>523</v>
      </c>
      <c r="B524" t="s">
        <v>544</v>
      </c>
      <c r="C524" t="s">
        <v>21</v>
      </c>
      <c r="D524" t="s">
        <v>22</v>
      </c>
      <c r="E524" s="4">
        <v>42927433</v>
      </c>
      <c r="F524">
        <v>39.369999999999997</v>
      </c>
      <c r="G524">
        <v>1.6</v>
      </c>
      <c r="H524">
        <v>96.08</v>
      </c>
      <c r="I524">
        <v>4.07</v>
      </c>
      <c r="J524" s="5">
        <v>46060</v>
      </c>
      <c r="K524">
        <f t="shared" si="8"/>
        <v>32.35</v>
      </c>
      <c r="L524" t="str" cm="1">
        <f t="array" ref="L524">_xlfn.IFS(E524&gt;=52000000,"Platinum",E524&gt;=37000000,"Gold",E524&gt;=30000000,"Sliver",E524&lt;30000000,"Bronze")</f>
        <v>Gold</v>
      </c>
    </row>
    <row r="525" spans="1:12" x14ac:dyDescent="0.25">
      <c r="A525">
        <v>524</v>
      </c>
      <c r="B525" t="s">
        <v>545</v>
      </c>
      <c r="C525" s="1" t="s">
        <v>21</v>
      </c>
      <c r="D525" t="s">
        <v>22</v>
      </c>
      <c r="E525" s="4">
        <v>50712913</v>
      </c>
      <c r="F525">
        <v>25.34</v>
      </c>
      <c r="G525">
        <v>26.53</v>
      </c>
      <c r="H525">
        <v>1592.07</v>
      </c>
      <c r="I525">
        <v>104.71</v>
      </c>
      <c r="J525" s="5">
        <v>46060</v>
      </c>
      <c r="K525">
        <f t="shared" si="8"/>
        <v>89.69</v>
      </c>
      <c r="L525" t="str" cm="1">
        <f t="array" ref="L525">_xlfn.IFS(E525&gt;=52000000,"Platinum",E525&gt;=37000000,"Gold",E525&gt;=30000000,"Sliver",E525&lt;30000000,"Bronze")</f>
        <v>Gold</v>
      </c>
    </row>
    <row r="526" spans="1:12" x14ac:dyDescent="0.25">
      <c r="A526">
        <v>525</v>
      </c>
      <c r="B526" t="s">
        <v>546</v>
      </c>
      <c r="C526" t="s">
        <v>46</v>
      </c>
      <c r="D526" t="s">
        <v>11</v>
      </c>
      <c r="E526" s="4">
        <v>40283374</v>
      </c>
      <c r="F526">
        <v>41.69</v>
      </c>
      <c r="G526">
        <v>2.38</v>
      </c>
      <c r="H526">
        <v>142.63999999999999</v>
      </c>
      <c r="I526">
        <v>5.7</v>
      </c>
      <c r="J526" s="5">
        <v>46060</v>
      </c>
      <c r="K526">
        <f t="shared" si="8"/>
        <v>32.01</v>
      </c>
      <c r="L526" t="str" cm="1">
        <f t="array" ref="L526">_xlfn.IFS(E526&gt;=52000000,"Platinum",E526&gt;=37000000,"Gold",E526&gt;=30000000,"Sliver",E526&lt;30000000,"Bronze")</f>
        <v>Gold</v>
      </c>
    </row>
    <row r="527" spans="1:12" x14ac:dyDescent="0.25">
      <c r="A527">
        <v>526</v>
      </c>
      <c r="B527" t="s">
        <v>547</v>
      </c>
      <c r="C527" t="s">
        <v>10</v>
      </c>
      <c r="D527" t="s">
        <v>25</v>
      </c>
      <c r="E527" s="4">
        <v>50815345</v>
      </c>
      <c r="F527">
        <v>44.48</v>
      </c>
      <c r="G527">
        <v>3.45</v>
      </c>
      <c r="H527">
        <v>207.2</v>
      </c>
      <c r="I527">
        <v>7.76</v>
      </c>
      <c r="J527" s="5">
        <v>46060</v>
      </c>
      <c r="K527">
        <f t="shared" si="8"/>
        <v>31.64</v>
      </c>
      <c r="L527" t="str" cm="1">
        <f t="array" ref="L527">_xlfn.IFS(E527&gt;=52000000,"Platinum",E527&gt;=37000000,"Gold",E527&gt;=30000000,"Sliver",E527&lt;30000000,"Bronze")</f>
        <v>Gold</v>
      </c>
    </row>
    <row r="528" spans="1:12" x14ac:dyDescent="0.25">
      <c r="A528">
        <v>527</v>
      </c>
      <c r="B528" t="s">
        <v>548</v>
      </c>
      <c r="C528" t="s">
        <v>46</v>
      </c>
      <c r="D528" t="s">
        <v>13</v>
      </c>
      <c r="E528" s="4">
        <v>36265031</v>
      </c>
      <c r="F528">
        <v>37.159999999999997</v>
      </c>
      <c r="G528">
        <v>3.73</v>
      </c>
      <c r="H528">
        <v>223.72</v>
      </c>
      <c r="I528">
        <v>10.029999999999999</v>
      </c>
      <c r="J528" s="5">
        <v>46060</v>
      </c>
      <c r="K528">
        <f t="shared" si="8"/>
        <v>36.44</v>
      </c>
      <c r="L528" t="str" cm="1">
        <f t="array" ref="L528">_xlfn.IFS(E528&gt;=52000000,"Platinum",E528&gt;=37000000,"Gold",E528&gt;=30000000,"Sliver",E528&lt;30000000,"Bronze")</f>
        <v>Sliver</v>
      </c>
    </row>
    <row r="529" spans="1:12" x14ac:dyDescent="0.25">
      <c r="A529">
        <v>528</v>
      </c>
      <c r="B529" t="s">
        <v>549</v>
      </c>
      <c r="C529" t="s">
        <v>21</v>
      </c>
      <c r="D529" t="s">
        <v>22</v>
      </c>
      <c r="E529" s="4">
        <v>48050489</v>
      </c>
      <c r="F529">
        <v>46.54</v>
      </c>
      <c r="G529">
        <v>1.7</v>
      </c>
      <c r="H529">
        <v>101.95</v>
      </c>
      <c r="I529">
        <v>3.65</v>
      </c>
      <c r="J529" s="5">
        <v>46060</v>
      </c>
      <c r="K529">
        <f t="shared" si="8"/>
        <v>28.56</v>
      </c>
      <c r="L529" t="str" cm="1">
        <f t="array" ref="L529">_xlfn.IFS(E529&gt;=52000000,"Platinum",E529&gt;=37000000,"Gold",E529&gt;=30000000,"Sliver",E529&lt;30000000,"Bronze")</f>
        <v>Gold</v>
      </c>
    </row>
    <row r="530" spans="1:12" x14ac:dyDescent="0.25">
      <c r="A530">
        <v>529</v>
      </c>
      <c r="B530" t="s">
        <v>550</v>
      </c>
      <c r="C530" t="s">
        <v>16</v>
      </c>
      <c r="D530" t="s">
        <v>17</v>
      </c>
      <c r="E530" s="4">
        <v>45272030</v>
      </c>
      <c r="F530">
        <v>39.86</v>
      </c>
      <c r="G530">
        <v>3.12</v>
      </c>
      <c r="H530">
        <v>187.37</v>
      </c>
      <c r="I530">
        <v>7.83</v>
      </c>
      <c r="J530" s="5">
        <v>46060</v>
      </c>
      <c r="K530">
        <f t="shared" si="8"/>
        <v>33.99</v>
      </c>
      <c r="L530" t="str" cm="1">
        <f t="array" ref="L530">_xlfn.IFS(E530&gt;=52000000,"Platinum",E530&gt;=37000000,"Gold",E530&gt;=30000000,"Sliver",E530&lt;30000000,"Bronze")</f>
        <v>Gold</v>
      </c>
    </row>
    <row r="531" spans="1:12" x14ac:dyDescent="0.25">
      <c r="A531">
        <v>530</v>
      </c>
      <c r="B531" t="s">
        <v>551</v>
      </c>
      <c r="C531" t="s">
        <v>29</v>
      </c>
      <c r="D531" t="s">
        <v>11</v>
      </c>
      <c r="E531" s="4">
        <v>41260340</v>
      </c>
      <c r="F531">
        <v>52.73</v>
      </c>
      <c r="G531">
        <v>8.1199999999999992</v>
      </c>
      <c r="H531">
        <v>487.37</v>
      </c>
      <c r="I531">
        <v>15.4</v>
      </c>
      <c r="J531" s="5">
        <v>46060</v>
      </c>
      <c r="K531">
        <f t="shared" si="8"/>
        <v>31.34</v>
      </c>
      <c r="L531" t="str" cm="1">
        <f t="array" ref="L531">_xlfn.IFS(E531&gt;=52000000,"Platinum",E531&gt;=37000000,"Gold",E531&gt;=30000000,"Sliver",E531&lt;30000000,"Bronze")</f>
        <v>Gold</v>
      </c>
    </row>
    <row r="532" spans="1:12" x14ac:dyDescent="0.25">
      <c r="A532">
        <v>531</v>
      </c>
      <c r="B532" t="s">
        <v>552</v>
      </c>
      <c r="C532" t="s">
        <v>16</v>
      </c>
      <c r="D532" t="s">
        <v>11</v>
      </c>
      <c r="E532" s="4">
        <v>40298108</v>
      </c>
      <c r="F532">
        <v>56.26</v>
      </c>
      <c r="G532">
        <v>3.12</v>
      </c>
      <c r="H532">
        <v>187.28</v>
      </c>
      <c r="I532">
        <v>5.55</v>
      </c>
      <c r="J532" s="5">
        <v>46060</v>
      </c>
      <c r="K532">
        <f t="shared" si="8"/>
        <v>24.65</v>
      </c>
      <c r="L532" t="str" cm="1">
        <f t="array" ref="L532">_xlfn.IFS(E532&gt;=52000000,"Platinum",E532&gt;=37000000,"Gold",E532&gt;=30000000,"Sliver",E532&lt;30000000,"Bronze")</f>
        <v>Gold</v>
      </c>
    </row>
    <row r="533" spans="1:12" x14ac:dyDescent="0.25">
      <c r="A533">
        <v>532</v>
      </c>
      <c r="B533" t="s">
        <v>553</v>
      </c>
      <c r="C533" s="1" t="s">
        <v>21</v>
      </c>
      <c r="D533" t="s">
        <v>22</v>
      </c>
      <c r="E533" s="4">
        <v>43371074</v>
      </c>
      <c r="F533">
        <v>15.06</v>
      </c>
      <c r="G533">
        <v>25.16</v>
      </c>
      <c r="H533">
        <v>1509.77</v>
      </c>
      <c r="I533">
        <v>167.08</v>
      </c>
      <c r="J533" s="5">
        <v>46060</v>
      </c>
      <c r="K533">
        <f t="shared" si="8"/>
        <v>126.01</v>
      </c>
      <c r="L533" t="str" cm="1">
        <f t="array" ref="L533">_xlfn.IFS(E533&gt;=52000000,"Platinum",E533&gt;=37000000,"Gold",E533&gt;=30000000,"Sliver",E533&lt;30000000,"Bronze")</f>
        <v>Gold</v>
      </c>
    </row>
    <row r="534" spans="1:12" x14ac:dyDescent="0.25">
      <c r="A534">
        <v>533</v>
      </c>
      <c r="B534" t="s">
        <v>554</v>
      </c>
      <c r="C534" t="s">
        <v>29</v>
      </c>
      <c r="D534" t="s">
        <v>13</v>
      </c>
      <c r="E534" s="4">
        <v>40004928</v>
      </c>
      <c r="F534">
        <v>42.1</v>
      </c>
      <c r="G534">
        <v>6.45</v>
      </c>
      <c r="H534">
        <v>386.76</v>
      </c>
      <c r="I534">
        <v>15.31</v>
      </c>
      <c r="J534" s="5">
        <v>46060</v>
      </c>
      <c r="K534">
        <f t="shared" si="8"/>
        <v>36.61</v>
      </c>
      <c r="L534" t="str" cm="1">
        <f t="array" ref="L534">_xlfn.IFS(E534&gt;=52000000,"Platinum",E534&gt;=37000000,"Gold",E534&gt;=30000000,"Sliver",E534&lt;30000000,"Bronze")</f>
        <v>Gold</v>
      </c>
    </row>
    <row r="535" spans="1:12" x14ac:dyDescent="0.25">
      <c r="A535">
        <v>534</v>
      </c>
      <c r="B535" t="s">
        <v>555</v>
      </c>
      <c r="C535" t="s">
        <v>21</v>
      </c>
      <c r="D535" t="s">
        <v>11</v>
      </c>
      <c r="E535" s="4">
        <v>45805493</v>
      </c>
      <c r="F535">
        <v>48.15</v>
      </c>
      <c r="G535">
        <v>1.8</v>
      </c>
      <c r="H535">
        <v>108.18</v>
      </c>
      <c r="I535">
        <v>3.74</v>
      </c>
      <c r="J535" s="5">
        <v>46060</v>
      </c>
      <c r="K535">
        <f t="shared" si="8"/>
        <v>27.8</v>
      </c>
      <c r="L535" t="str" cm="1">
        <f t="array" ref="L535">_xlfn.IFS(E535&gt;=52000000,"Platinum",E535&gt;=37000000,"Gold",E535&gt;=30000000,"Sliver",E535&lt;30000000,"Bronze")</f>
        <v>Gold</v>
      </c>
    </row>
    <row r="536" spans="1:12" x14ac:dyDescent="0.25">
      <c r="A536">
        <v>535</v>
      </c>
      <c r="B536" t="s">
        <v>556</v>
      </c>
      <c r="C536" t="s">
        <v>21</v>
      </c>
      <c r="D536" t="s">
        <v>11</v>
      </c>
      <c r="E536" s="4">
        <v>41021911</v>
      </c>
      <c r="F536">
        <v>42.88</v>
      </c>
      <c r="G536">
        <v>1.99</v>
      </c>
      <c r="H536">
        <v>119.69</v>
      </c>
      <c r="I536">
        <v>4.6500000000000004</v>
      </c>
      <c r="J536" s="5">
        <v>46060</v>
      </c>
      <c r="K536">
        <f t="shared" si="8"/>
        <v>30.89</v>
      </c>
      <c r="L536" t="str" cm="1">
        <f t="array" ref="L536">_xlfn.IFS(E536&gt;=52000000,"Platinum",E536&gt;=37000000,"Gold",E536&gt;=30000000,"Sliver",E536&lt;30000000,"Bronze")</f>
        <v>Gold</v>
      </c>
    </row>
    <row r="537" spans="1:12" x14ac:dyDescent="0.25">
      <c r="A537">
        <v>536</v>
      </c>
      <c r="B537" t="s">
        <v>557</v>
      </c>
      <c r="C537" t="s">
        <v>46</v>
      </c>
      <c r="D537" t="s">
        <v>32</v>
      </c>
      <c r="E537" s="4">
        <v>37184780</v>
      </c>
      <c r="F537">
        <v>34.65</v>
      </c>
      <c r="G537">
        <v>6.53</v>
      </c>
      <c r="H537">
        <v>391.78</v>
      </c>
      <c r="I537">
        <v>18.84</v>
      </c>
      <c r="J537" s="5">
        <v>46060</v>
      </c>
      <c r="K537">
        <f t="shared" si="8"/>
        <v>42.1</v>
      </c>
      <c r="L537" t="str" cm="1">
        <f t="array" ref="L537">_xlfn.IFS(E537&gt;=52000000,"Platinum",E537&gt;=37000000,"Gold",E537&gt;=30000000,"Sliver",E537&lt;30000000,"Bronze")</f>
        <v>Gold</v>
      </c>
    </row>
    <row r="538" spans="1:12" x14ac:dyDescent="0.25">
      <c r="A538">
        <v>537</v>
      </c>
      <c r="B538" t="s">
        <v>558</v>
      </c>
      <c r="C538" t="s">
        <v>21</v>
      </c>
      <c r="D538" t="s">
        <v>25</v>
      </c>
      <c r="E538" s="4">
        <v>43742195</v>
      </c>
      <c r="F538">
        <v>37.78</v>
      </c>
      <c r="G538">
        <v>2.79</v>
      </c>
      <c r="H538">
        <v>167.34</v>
      </c>
      <c r="I538">
        <v>7.38</v>
      </c>
      <c r="J538" s="5">
        <v>46060</v>
      </c>
      <c r="K538">
        <f t="shared" si="8"/>
        <v>34.799999999999997</v>
      </c>
      <c r="L538" t="str" cm="1">
        <f t="array" ref="L538">_xlfn.IFS(E538&gt;=52000000,"Platinum",E538&gt;=37000000,"Gold",E538&gt;=30000000,"Sliver",E538&lt;30000000,"Bronze")</f>
        <v>Gold</v>
      </c>
    </row>
    <row r="539" spans="1:12" x14ac:dyDescent="0.25">
      <c r="A539">
        <v>538</v>
      </c>
      <c r="B539" t="s">
        <v>559</v>
      </c>
      <c r="C539" s="1" t="s">
        <v>21</v>
      </c>
      <c r="D539" t="s">
        <v>22</v>
      </c>
      <c r="E539" s="4">
        <v>45870555</v>
      </c>
      <c r="F539">
        <v>49.58</v>
      </c>
      <c r="G539">
        <v>3.93</v>
      </c>
      <c r="H539">
        <v>235.75</v>
      </c>
      <c r="I539">
        <v>7.92</v>
      </c>
      <c r="J539" s="5">
        <v>46060</v>
      </c>
      <c r="K539">
        <f t="shared" si="8"/>
        <v>29.17</v>
      </c>
      <c r="L539" t="str" cm="1">
        <f t="array" ref="L539">_xlfn.IFS(E539&gt;=52000000,"Platinum",E539&gt;=37000000,"Gold",E539&gt;=30000000,"Sliver",E539&lt;30000000,"Bronze")</f>
        <v>Gold</v>
      </c>
    </row>
    <row r="540" spans="1:12" x14ac:dyDescent="0.25">
      <c r="A540">
        <v>539</v>
      </c>
      <c r="B540" t="s">
        <v>560</v>
      </c>
      <c r="C540" t="s">
        <v>19</v>
      </c>
      <c r="D540" t="s">
        <v>22</v>
      </c>
      <c r="E540" s="4">
        <v>39424968</v>
      </c>
      <c r="F540">
        <v>55.21</v>
      </c>
      <c r="G540">
        <v>8.83</v>
      </c>
      <c r="H540">
        <v>530.08000000000004</v>
      </c>
      <c r="I540">
        <v>16</v>
      </c>
      <c r="J540" s="5">
        <v>46060</v>
      </c>
      <c r="K540">
        <f t="shared" si="8"/>
        <v>30.4</v>
      </c>
      <c r="L540" t="str" cm="1">
        <f t="array" ref="L540">_xlfn.IFS(E540&gt;=52000000,"Platinum",E540&gt;=37000000,"Gold",E540&gt;=30000000,"Sliver",E540&lt;30000000,"Bronze")</f>
        <v>Gold</v>
      </c>
    </row>
    <row r="541" spans="1:12" x14ac:dyDescent="0.25">
      <c r="A541">
        <v>540</v>
      </c>
      <c r="B541" t="s">
        <v>561</v>
      </c>
      <c r="C541" t="s">
        <v>16</v>
      </c>
      <c r="D541" t="s">
        <v>13</v>
      </c>
      <c r="E541" s="4">
        <v>41648527</v>
      </c>
      <c r="F541">
        <v>48.51</v>
      </c>
      <c r="G541">
        <v>6.96</v>
      </c>
      <c r="H541">
        <v>417.8</v>
      </c>
      <c r="I541">
        <v>14.35</v>
      </c>
      <c r="J541" s="5">
        <v>46060</v>
      </c>
      <c r="K541">
        <f t="shared" si="8"/>
        <v>32.92</v>
      </c>
      <c r="L541" t="str" cm="1">
        <f t="array" ref="L541">_xlfn.IFS(E541&gt;=52000000,"Platinum",E541&gt;=37000000,"Gold",E541&gt;=30000000,"Sliver",E541&lt;30000000,"Bronze")</f>
        <v>Gold</v>
      </c>
    </row>
    <row r="542" spans="1:12" x14ac:dyDescent="0.25">
      <c r="A542">
        <v>541</v>
      </c>
      <c r="B542" t="s">
        <v>562</v>
      </c>
      <c r="C542" t="s">
        <v>10</v>
      </c>
      <c r="D542" t="s">
        <v>22</v>
      </c>
      <c r="E542" s="4">
        <v>45129678</v>
      </c>
      <c r="F542">
        <v>34.770000000000003</v>
      </c>
      <c r="G542">
        <v>3.6</v>
      </c>
      <c r="H542">
        <v>216.21</v>
      </c>
      <c r="I542">
        <v>10.36</v>
      </c>
      <c r="J542" s="5">
        <v>46060</v>
      </c>
      <c r="K542">
        <f t="shared" si="8"/>
        <v>37.799999999999997</v>
      </c>
      <c r="L542" t="str" cm="1">
        <f t="array" ref="L542">_xlfn.IFS(E542&gt;=52000000,"Platinum",E542&gt;=37000000,"Gold",E542&gt;=30000000,"Sliver",E542&lt;30000000,"Bronze")</f>
        <v>Gold</v>
      </c>
    </row>
    <row r="543" spans="1:12" x14ac:dyDescent="0.25">
      <c r="A543">
        <v>542</v>
      </c>
      <c r="B543" t="s">
        <v>563</v>
      </c>
      <c r="C543" t="s">
        <v>29</v>
      </c>
      <c r="D543" t="s">
        <v>25</v>
      </c>
      <c r="E543" s="4">
        <v>45718418</v>
      </c>
      <c r="F543">
        <v>52.83</v>
      </c>
      <c r="G543">
        <v>4.01</v>
      </c>
      <c r="H543">
        <v>240.77</v>
      </c>
      <c r="I543">
        <v>7.6</v>
      </c>
      <c r="J543" s="5">
        <v>46060</v>
      </c>
      <c r="K543">
        <f t="shared" si="8"/>
        <v>27.39</v>
      </c>
      <c r="L543" t="str" cm="1">
        <f t="array" ref="L543">_xlfn.IFS(E543&gt;=52000000,"Platinum",E543&gt;=37000000,"Gold",E543&gt;=30000000,"Sliver",E543&lt;30000000,"Bronze")</f>
        <v>Gold</v>
      </c>
    </row>
    <row r="544" spans="1:12" x14ac:dyDescent="0.25">
      <c r="A544">
        <v>543</v>
      </c>
      <c r="B544" t="s">
        <v>564</v>
      </c>
      <c r="C544" t="s">
        <v>21</v>
      </c>
      <c r="D544" t="s">
        <v>32</v>
      </c>
      <c r="E544" s="4">
        <v>46372981</v>
      </c>
      <c r="F544">
        <v>47.18</v>
      </c>
      <c r="G544">
        <v>1.1599999999999999</v>
      </c>
      <c r="H544">
        <v>69.73</v>
      </c>
      <c r="I544">
        <v>2.46</v>
      </c>
      <c r="J544" s="5">
        <v>46060</v>
      </c>
      <c r="K544">
        <f t="shared" si="8"/>
        <v>27.64</v>
      </c>
      <c r="L544" t="str" cm="1">
        <f t="array" ref="L544">_xlfn.IFS(E544&gt;=52000000,"Platinum",E544&gt;=37000000,"Gold",E544&gt;=30000000,"Sliver",E544&lt;30000000,"Bronze")</f>
        <v>Gold</v>
      </c>
    </row>
    <row r="545" spans="1:12" x14ac:dyDescent="0.25">
      <c r="A545">
        <v>544</v>
      </c>
      <c r="B545" t="s">
        <v>565</v>
      </c>
      <c r="C545" t="s">
        <v>27</v>
      </c>
      <c r="D545" t="s">
        <v>22</v>
      </c>
      <c r="E545" s="4">
        <v>42923306</v>
      </c>
      <c r="F545" s="1">
        <f>CALCULATION!$C$11</f>
        <v>42.81</v>
      </c>
      <c r="G545" s="1">
        <v>5.72</v>
      </c>
      <c r="H545" s="1">
        <f>CALCULATION!$D$11</f>
        <v>343.315</v>
      </c>
      <c r="I545">
        <v>57.65</v>
      </c>
      <c r="J545" s="5">
        <v>46060</v>
      </c>
      <c r="K545">
        <f t="shared" si="8"/>
        <v>57.42</v>
      </c>
      <c r="L545" t="str" cm="1">
        <f t="array" ref="L545">_xlfn.IFS(E545&gt;=52000000,"Platinum",E545&gt;=37000000,"Gold",E545&gt;=30000000,"Sliver",E545&lt;30000000,"Bronze")</f>
        <v>Gold</v>
      </c>
    </row>
    <row r="546" spans="1:12" x14ac:dyDescent="0.25">
      <c r="A546">
        <v>545</v>
      </c>
      <c r="B546" t="s">
        <v>566</v>
      </c>
      <c r="C546" t="s">
        <v>29</v>
      </c>
      <c r="D546" t="s">
        <v>13</v>
      </c>
      <c r="E546" s="4">
        <v>46822812</v>
      </c>
      <c r="F546">
        <v>53.58</v>
      </c>
      <c r="G546">
        <v>9.01</v>
      </c>
      <c r="H546">
        <v>540.80999999999995</v>
      </c>
      <c r="I546">
        <v>16.82</v>
      </c>
      <c r="J546" s="5">
        <v>46060</v>
      </c>
      <c r="K546">
        <f t="shared" si="8"/>
        <v>31.62</v>
      </c>
      <c r="L546" t="str" cm="1">
        <f t="array" ref="L546">_xlfn.IFS(E546&gt;=52000000,"Platinum",E546&gt;=37000000,"Gold",E546&gt;=30000000,"Sliver",E546&lt;30000000,"Bronze")</f>
        <v>Gold</v>
      </c>
    </row>
    <row r="547" spans="1:12" x14ac:dyDescent="0.25">
      <c r="A547">
        <v>546</v>
      </c>
      <c r="B547" t="s">
        <v>567</v>
      </c>
      <c r="C547" t="s">
        <v>19</v>
      </c>
      <c r="D547" t="s">
        <v>11</v>
      </c>
      <c r="E547" s="4">
        <v>36778028</v>
      </c>
      <c r="F547">
        <v>42.52</v>
      </c>
      <c r="G547">
        <v>7.5</v>
      </c>
      <c r="H547">
        <v>450.27</v>
      </c>
      <c r="I547">
        <v>17.649999999999999</v>
      </c>
      <c r="J547" s="5">
        <v>46060</v>
      </c>
      <c r="K547">
        <f t="shared" si="8"/>
        <v>37.57</v>
      </c>
      <c r="L547" t="str" cm="1">
        <f t="array" ref="L547">_xlfn.IFS(E547&gt;=52000000,"Platinum",E547&gt;=37000000,"Gold",E547&gt;=30000000,"Sliver",E547&lt;30000000,"Bronze")</f>
        <v>Sliver</v>
      </c>
    </row>
    <row r="548" spans="1:12" x14ac:dyDescent="0.25">
      <c r="A548">
        <v>547</v>
      </c>
      <c r="B548" t="s">
        <v>568</v>
      </c>
      <c r="C548" t="s">
        <v>46</v>
      </c>
      <c r="D548" t="s">
        <v>25</v>
      </c>
      <c r="E548" s="4">
        <v>46820053</v>
      </c>
      <c r="F548">
        <v>35.65</v>
      </c>
      <c r="G548">
        <v>5.45</v>
      </c>
      <c r="H548">
        <v>326.79000000000002</v>
      </c>
      <c r="I548">
        <v>15.28</v>
      </c>
      <c r="J548" s="5">
        <v>46060</v>
      </c>
      <c r="K548">
        <f t="shared" si="8"/>
        <v>39.82</v>
      </c>
      <c r="L548" t="str" cm="1">
        <f t="array" ref="L548">_xlfn.IFS(E548&gt;=52000000,"Platinum",E548&gt;=37000000,"Gold",E548&gt;=30000000,"Sliver",E548&lt;30000000,"Bronze")</f>
        <v>Gold</v>
      </c>
    </row>
    <row r="549" spans="1:12" x14ac:dyDescent="0.25">
      <c r="A549">
        <v>548</v>
      </c>
      <c r="B549" t="s">
        <v>569</v>
      </c>
      <c r="C549" t="s">
        <v>16</v>
      </c>
      <c r="D549" t="s">
        <v>13</v>
      </c>
      <c r="E549" s="4">
        <v>34308067</v>
      </c>
      <c r="F549">
        <v>45</v>
      </c>
      <c r="G549">
        <v>5.25</v>
      </c>
      <c r="H549">
        <v>315.2</v>
      </c>
      <c r="I549">
        <v>11.67</v>
      </c>
      <c r="J549" s="5">
        <v>46060</v>
      </c>
      <c r="K549">
        <f t="shared" si="8"/>
        <v>33.340000000000003</v>
      </c>
      <c r="L549" t="str" cm="1">
        <f t="array" ref="L549">_xlfn.IFS(E549&gt;=52000000,"Platinum",E549&gt;=37000000,"Gold",E549&gt;=30000000,"Sliver",E549&lt;30000000,"Bronze")</f>
        <v>Sliver</v>
      </c>
    </row>
    <row r="550" spans="1:12" x14ac:dyDescent="0.25">
      <c r="A550">
        <v>549</v>
      </c>
      <c r="B550" t="s">
        <v>570</v>
      </c>
      <c r="C550" t="s">
        <v>19</v>
      </c>
      <c r="D550" t="s">
        <v>17</v>
      </c>
      <c r="E550" s="4">
        <v>41965634</v>
      </c>
      <c r="F550">
        <v>34.83</v>
      </c>
      <c r="G550">
        <v>2.93</v>
      </c>
      <c r="H550">
        <v>175.92</v>
      </c>
      <c r="I550">
        <v>8.42</v>
      </c>
      <c r="J550" s="5">
        <v>46060</v>
      </c>
      <c r="K550">
        <f t="shared" si="8"/>
        <v>36.799999999999997</v>
      </c>
      <c r="L550" t="str" cm="1">
        <f t="array" ref="L550">_xlfn.IFS(E550&gt;=52000000,"Platinum",E550&gt;=37000000,"Gold",E550&gt;=30000000,"Sliver",E550&lt;30000000,"Bronze")</f>
        <v>Gold</v>
      </c>
    </row>
    <row r="551" spans="1:12" x14ac:dyDescent="0.25">
      <c r="A551">
        <v>550</v>
      </c>
      <c r="B551" t="s">
        <v>571</v>
      </c>
      <c r="C551" t="s">
        <v>27</v>
      </c>
      <c r="D551" t="s">
        <v>32</v>
      </c>
      <c r="E551" s="4">
        <v>38706708</v>
      </c>
      <c r="F551">
        <v>16.600000000000001</v>
      </c>
      <c r="G551">
        <v>35.5</v>
      </c>
      <c r="H551">
        <v>2130.04</v>
      </c>
      <c r="I551">
        <v>213.86</v>
      </c>
      <c r="J551" s="5">
        <v>46060</v>
      </c>
      <c r="K551">
        <f t="shared" si="8"/>
        <v>148.63</v>
      </c>
      <c r="L551" t="str" cm="1">
        <f t="array" ref="L551">_xlfn.IFS(E551&gt;=52000000,"Platinum",E551&gt;=37000000,"Gold",E551&gt;=30000000,"Sliver",E551&lt;30000000,"Bronze")</f>
        <v>Gold</v>
      </c>
    </row>
    <row r="552" spans="1:12" x14ac:dyDescent="0.25">
      <c r="A552">
        <v>551</v>
      </c>
      <c r="B552" t="s">
        <v>572</v>
      </c>
      <c r="C552" t="s">
        <v>19</v>
      </c>
      <c r="D552" t="s">
        <v>25</v>
      </c>
      <c r="E552" s="4">
        <v>49708914</v>
      </c>
      <c r="F552">
        <v>32.950000000000003</v>
      </c>
      <c r="G552">
        <v>3.43</v>
      </c>
      <c r="H552">
        <v>205.85</v>
      </c>
      <c r="I552">
        <v>10.41</v>
      </c>
      <c r="J552" s="5">
        <v>46060</v>
      </c>
      <c r="K552">
        <f t="shared" si="8"/>
        <v>38.729999999999997</v>
      </c>
      <c r="L552" t="str" cm="1">
        <f t="array" ref="L552">_xlfn.IFS(E552&gt;=52000000,"Platinum",E552&gt;=37000000,"Gold",E552&gt;=30000000,"Sliver",E552&lt;30000000,"Bronze")</f>
        <v>Gold</v>
      </c>
    </row>
    <row r="553" spans="1:12" x14ac:dyDescent="0.25">
      <c r="A553">
        <v>552</v>
      </c>
      <c r="B553" t="s">
        <v>573</v>
      </c>
      <c r="C553" t="s">
        <v>29</v>
      </c>
      <c r="D553" t="s">
        <v>11</v>
      </c>
      <c r="E553" s="4">
        <v>45405686</v>
      </c>
      <c r="F553">
        <v>41.13</v>
      </c>
      <c r="G553">
        <v>7.23</v>
      </c>
      <c r="H553">
        <v>433.57</v>
      </c>
      <c r="I553">
        <v>17.57</v>
      </c>
      <c r="J553" s="5">
        <v>46060</v>
      </c>
      <c r="K553">
        <f t="shared" si="8"/>
        <v>38.22</v>
      </c>
      <c r="L553" t="str" cm="1">
        <f t="array" ref="L553">_xlfn.IFS(E553&gt;=52000000,"Platinum",E553&gt;=37000000,"Gold",E553&gt;=30000000,"Sliver",E553&lt;30000000,"Bronze")</f>
        <v>Gold</v>
      </c>
    </row>
    <row r="554" spans="1:12" x14ac:dyDescent="0.25">
      <c r="A554">
        <v>553</v>
      </c>
      <c r="B554" t="s">
        <v>574</v>
      </c>
      <c r="C554" t="s">
        <v>16</v>
      </c>
      <c r="D554" t="s">
        <v>11</v>
      </c>
      <c r="E554" s="4">
        <v>46892946</v>
      </c>
      <c r="F554">
        <v>37.31</v>
      </c>
      <c r="G554">
        <v>7.97</v>
      </c>
      <c r="H554">
        <v>478.13</v>
      </c>
      <c r="I554">
        <v>21.36</v>
      </c>
      <c r="J554" s="5">
        <v>46060</v>
      </c>
      <c r="K554">
        <f t="shared" si="8"/>
        <v>42.03</v>
      </c>
      <c r="L554" t="str" cm="1">
        <f t="array" ref="L554">_xlfn.IFS(E554&gt;=52000000,"Platinum",E554&gt;=37000000,"Gold",E554&gt;=30000000,"Sliver",E554&lt;30000000,"Bronze")</f>
        <v>Gold</v>
      </c>
    </row>
    <row r="555" spans="1:12" x14ac:dyDescent="0.25">
      <c r="A555">
        <v>554</v>
      </c>
      <c r="B555" t="s">
        <v>575</v>
      </c>
      <c r="C555" t="s">
        <v>19</v>
      </c>
      <c r="D555" t="s">
        <v>13</v>
      </c>
      <c r="E555" s="4">
        <v>37279540</v>
      </c>
      <c r="F555">
        <v>45.18</v>
      </c>
      <c r="G555">
        <v>9.09</v>
      </c>
      <c r="H555">
        <v>545.21</v>
      </c>
      <c r="I555">
        <v>20.11</v>
      </c>
      <c r="J555" s="5">
        <v>46060</v>
      </c>
      <c r="K555">
        <f t="shared" si="8"/>
        <v>37.47</v>
      </c>
      <c r="L555" t="str" cm="1">
        <f t="array" ref="L555">_xlfn.IFS(E555&gt;=52000000,"Platinum",E555&gt;=37000000,"Gold",E555&gt;=30000000,"Sliver",E555&lt;30000000,"Bronze")</f>
        <v>Gold</v>
      </c>
    </row>
    <row r="556" spans="1:12" x14ac:dyDescent="0.25">
      <c r="A556">
        <v>555</v>
      </c>
      <c r="B556" t="s">
        <v>576</v>
      </c>
      <c r="C556" t="s">
        <v>27</v>
      </c>
      <c r="D556" t="s">
        <v>11</v>
      </c>
      <c r="E556" s="4">
        <v>47383606</v>
      </c>
      <c r="F556" s="1">
        <f>CALCULATION!$C$11</f>
        <v>42.81</v>
      </c>
      <c r="G556" s="1">
        <v>34.07</v>
      </c>
      <c r="H556">
        <v>2043.92</v>
      </c>
      <c r="I556">
        <v>136.32</v>
      </c>
      <c r="J556" s="5">
        <v>46060</v>
      </c>
      <c r="K556">
        <f t="shared" si="8"/>
        <v>96.76</v>
      </c>
      <c r="L556" t="str" cm="1">
        <f t="array" ref="L556">_xlfn.IFS(E556&gt;=52000000,"Platinum",E556&gt;=37000000,"Gold",E556&gt;=30000000,"Sliver",E556&lt;30000000,"Bronze")</f>
        <v>Gold</v>
      </c>
    </row>
    <row r="557" spans="1:12" x14ac:dyDescent="0.25">
      <c r="A557">
        <v>556</v>
      </c>
      <c r="B557" t="s">
        <v>577</v>
      </c>
      <c r="C557" t="s">
        <v>10</v>
      </c>
      <c r="D557" t="s">
        <v>17</v>
      </c>
      <c r="E557" s="4">
        <v>36016243</v>
      </c>
      <c r="F557">
        <v>53.31</v>
      </c>
      <c r="G557">
        <v>6.28</v>
      </c>
      <c r="H557">
        <v>377</v>
      </c>
      <c r="I557">
        <v>11.79</v>
      </c>
      <c r="J557" s="5">
        <v>46060</v>
      </c>
      <c r="K557">
        <f t="shared" si="8"/>
        <v>29.24</v>
      </c>
      <c r="L557" t="str" cm="1">
        <f t="array" ref="L557">_xlfn.IFS(E557&gt;=52000000,"Platinum",E557&gt;=37000000,"Gold",E557&gt;=30000000,"Sliver",E557&lt;30000000,"Bronze")</f>
        <v>Sliver</v>
      </c>
    </row>
    <row r="558" spans="1:12" x14ac:dyDescent="0.25">
      <c r="A558">
        <v>557</v>
      </c>
      <c r="B558" t="s">
        <v>578</v>
      </c>
      <c r="C558" t="s">
        <v>27</v>
      </c>
      <c r="D558" t="s">
        <v>17</v>
      </c>
      <c r="E558" s="4">
        <v>46722370</v>
      </c>
      <c r="F558">
        <v>20.260000000000002</v>
      </c>
      <c r="G558">
        <v>38.020000000000003</v>
      </c>
      <c r="H558">
        <v>2281.4299999999998</v>
      </c>
      <c r="I558">
        <v>187.68</v>
      </c>
      <c r="J558" s="5">
        <v>46060</v>
      </c>
      <c r="K558">
        <f t="shared" si="8"/>
        <v>133.71</v>
      </c>
      <c r="L558" t="str" cm="1">
        <f t="array" ref="L558">_xlfn.IFS(E558&gt;=52000000,"Platinum",E558&gt;=37000000,"Gold",E558&gt;=30000000,"Sliver",E558&lt;30000000,"Bronze")</f>
        <v>Gold</v>
      </c>
    </row>
    <row r="559" spans="1:12" x14ac:dyDescent="0.25">
      <c r="A559">
        <v>558</v>
      </c>
      <c r="B559" t="s">
        <v>579</v>
      </c>
      <c r="C559" t="s">
        <v>46</v>
      </c>
      <c r="D559" t="s">
        <v>11</v>
      </c>
      <c r="E559" s="4">
        <v>36898642</v>
      </c>
      <c r="F559">
        <v>55.47</v>
      </c>
      <c r="G559">
        <v>4.29</v>
      </c>
      <c r="H559">
        <v>257.31</v>
      </c>
      <c r="I559">
        <v>7.73</v>
      </c>
      <c r="J559" s="5">
        <v>46060</v>
      </c>
      <c r="K559">
        <f t="shared" si="8"/>
        <v>26.13</v>
      </c>
      <c r="L559" t="str" cm="1">
        <f t="array" ref="L559">_xlfn.IFS(E559&gt;=52000000,"Platinum",E559&gt;=37000000,"Gold",E559&gt;=30000000,"Sliver",E559&lt;30000000,"Bronze")</f>
        <v>Sliver</v>
      </c>
    </row>
    <row r="560" spans="1:12" x14ac:dyDescent="0.25">
      <c r="A560">
        <v>559</v>
      </c>
      <c r="B560" t="s">
        <v>580</v>
      </c>
      <c r="C560" t="s">
        <v>19</v>
      </c>
      <c r="D560" t="s">
        <v>32</v>
      </c>
      <c r="E560" s="4">
        <v>48931718</v>
      </c>
      <c r="F560">
        <v>55.39</v>
      </c>
      <c r="G560">
        <v>3.2</v>
      </c>
      <c r="H560">
        <v>192</v>
      </c>
      <c r="I560">
        <v>5.78</v>
      </c>
      <c r="J560" s="5">
        <v>46060</v>
      </c>
      <c r="K560">
        <f t="shared" si="8"/>
        <v>25.2</v>
      </c>
      <c r="L560" t="str" cm="1">
        <f t="array" ref="L560">_xlfn.IFS(E560&gt;=52000000,"Platinum",E560&gt;=37000000,"Gold",E560&gt;=30000000,"Sliver",E560&lt;30000000,"Bronze")</f>
        <v>Gold</v>
      </c>
    </row>
    <row r="561" spans="1:12" x14ac:dyDescent="0.25">
      <c r="A561">
        <v>560</v>
      </c>
      <c r="B561" t="s">
        <v>581</v>
      </c>
      <c r="C561" t="s">
        <v>10</v>
      </c>
      <c r="D561" t="s">
        <v>22</v>
      </c>
      <c r="E561" s="4">
        <v>43087157</v>
      </c>
      <c r="F561">
        <v>45.67</v>
      </c>
      <c r="G561">
        <v>9.17</v>
      </c>
      <c r="H561">
        <v>549.98</v>
      </c>
      <c r="I561">
        <v>20.07</v>
      </c>
      <c r="J561" s="5">
        <v>46060</v>
      </c>
      <c r="K561">
        <f t="shared" si="8"/>
        <v>37.200000000000003</v>
      </c>
      <c r="L561" t="str" cm="1">
        <f t="array" ref="L561">_xlfn.IFS(E561&gt;=52000000,"Platinum",E561&gt;=37000000,"Gold",E561&gt;=30000000,"Sliver",E561&lt;30000000,"Bronze")</f>
        <v>Gold</v>
      </c>
    </row>
    <row r="562" spans="1:12" x14ac:dyDescent="0.25">
      <c r="A562">
        <v>561</v>
      </c>
      <c r="B562" t="s">
        <v>582</v>
      </c>
      <c r="C562" t="s">
        <v>27</v>
      </c>
      <c r="D562" t="s">
        <v>11</v>
      </c>
      <c r="E562" s="4">
        <v>35338002</v>
      </c>
      <c r="F562" s="1">
        <f>CALCULATION!$C$11</f>
        <v>42.81</v>
      </c>
      <c r="G562" s="1">
        <v>30.68</v>
      </c>
      <c r="H562">
        <v>1840.56</v>
      </c>
      <c r="I562">
        <v>152.01</v>
      </c>
      <c r="J562" s="5">
        <v>46060</v>
      </c>
      <c r="K562">
        <f t="shared" si="8"/>
        <v>104.6</v>
      </c>
      <c r="L562" t="str" cm="1">
        <f t="array" ref="L562">_xlfn.IFS(E562&gt;=52000000,"Platinum",E562&gt;=37000000,"Gold",E562&gt;=30000000,"Sliver",E562&lt;30000000,"Bronze")</f>
        <v>Sliver</v>
      </c>
    </row>
    <row r="563" spans="1:12" x14ac:dyDescent="0.25">
      <c r="A563">
        <v>562</v>
      </c>
      <c r="B563" t="s">
        <v>583</v>
      </c>
      <c r="C563" t="s">
        <v>29</v>
      </c>
      <c r="D563" t="s">
        <v>17</v>
      </c>
      <c r="E563" s="4">
        <v>43110348</v>
      </c>
      <c r="F563">
        <v>55.73</v>
      </c>
      <c r="G563">
        <v>3.68</v>
      </c>
      <c r="H563">
        <v>220.6</v>
      </c>
      <c r="I563">
        <v>6.6</v>
      </c>
      <c r="J563" s="5">
        <v>46060</v>
      </c>
      <c r="K563">
        <f t="shared" si="8"/>
        <v>25.44</v>
      </c>
      <c r="L563" t="str" cm="1">
        <f t="array" ref="L563">_xlfn.IFS(E563&gt;=52000000,"Platinum",E563&gt;=37000000,"Gold",E563&gt;=30000000,"Sliver",E563&lt;30000000,"Bronze")</f>
        <v>Gold</v>
      </c>
    </row>
    <row r="564" spans="1:12" x14ac:dyDescent="0.25">
      <c r="A564">
        <v>563</v>
      </c>
      <c r="B564" t="s">
        <v>584</v>
      </c>
      <c r="C564" t="s">
        <v>21</v>
      </c>
      <c r="D564" t="s">
        <v>17</v>
      </c>
      <c r="E564" s="4">
        <v>46737022</v>
      </c>
      <c r="F564">
        <v>44.03</v>
      </c>
      <c r="G564">
        <v>1.94</v>
      </c>
      <c r="H564">
        <v>116.17</v>
      </c>
      <c r="I564">
        <v>4.4000000000000004</v>
      </c>
      <c r="J564" s="5">
        <v>46060</v>
      </c>
      <c r="K564">
        <f t="shared" si="8"/>
        <v>30.19</v>
      </c>
      <c r="L564" t="str" cm="1">
        <f t="array" ref="L564">_xlfn.IFS(E564&gt;=52000000,"Platinum",E564&gt;=37000000,"Gold",E564&gt;=30000000,"Sliver",E564&lt;30000000,"Bronze")</f>
        <v>Gold</v>
      </c>
    </row>
    <row r="565" spans="1:12" x14ac:dyDescent="0.25">
      <c r="A565">
        <v>564</v>
      </c>
      <c r="B565" t="s">
        <v>585</v>
      </c>
      <c r="C565" t="s">
        <v>46</v>
      </c>
      <c r="D565" t="s">
        <v>17</v>
      </c>
      <c r="E565" s="4">
        <v>49160540</v>
      </c>
      <c r="F565">
        <v>57.57</v>
      </c>
      <c r="G565">
        <v>8.02</v>
      </c>
      <c r="H565">
        <v>481.45</v>
      </c>
      <c r="I565">
        <v>13.94</v>
      </c>
      <c r="J565" s="5">
        <v>46060</v>
      </c>
      <c r="K565">
        <f t="shared" si="8"/>
        <v>28.19</v>
      </c>
      <c r="L565" t="str" cm="1">
        <f t="array" ref="L565">_xlfn.IFS(E565&gt;=52000000,"Platinum",E565&gt;=37000000,"Gold",E565&gt;=30000000,"Sliver",E565&lt;30000000,"Bronze")</f>
        <v>Gold</v>
      </c>
    </row>
    <row r="566" spans="1:12" x14ac:dyDescent="0.25">
      <c r="A566">
        <v>565</v>
      </c>
      <c r="B566" t="s">
        <v>586</v>
      </c>
      <c r="C566" t="s">
        <v>27</v>
      </c>
      <c r="D566" t="s">
        <v>17</v>
      </c>
      <c r="E566" s="4">
        <v>48994900</v>
      </c>
      <c r="F566">
        <v>21.71</v>
      </c>
      <c r="G566">
        <v>25.47</v>
      </c>
      <c r="H566">
        <v>1528.19</v>
      </c>
      <c r="I566">
        <v>117.32</v>
      </c>
      <c r="J566" s="5">
        <v>46060</v>
      </c>
      <c r="K566">
        <f t="shared" si="8"/>
        <v>97.81</v>
      </c>
      <c r="L566" t="str" cm="1">
        <f t="array" ref="L566">_xlfn.IFS(E566&gt;=52000000,"Platinum",E566&gt;=37000000,"Gold",E566&gt;=30000000,"Sliver",E566&lt;30000000,"Bronze")</f>
        <v>Gold</v>
      </c>
    </row>
    <row r="567" spans="1:12" x14ac:dyDescent="0.25">
      <c r="A567">
        <v>566</v>
      </c>
      <c r="B567" t="s">
        <v>587</v>
      </c>
      <c r="C567" t="s">
        <v>21</v>
      </c>
      <c r="D567" t="s">
        <v>17</v>
      </c>
      <c r="E567" s="4">
        <v>45578666</v>
      </c>
      <c r="F567">
        <v>39.29</v>
      </c>
      <c r="G567">
        <v>2.68</v>
      </c>
      <c r="H567">
        <v>160.83000000000001</v>
      </c>
      <c r="I567">
        <v>6.82</v>
      </c>
      <c r="J567" s="5">
        <v>46060</v>
      </c>
      <c r="K567">
        <f t="shared" si="8"/>
        <v>33.770000000000003</v>
      </c>
      <c r="L567" t="str" cm="1">
        <f t="array" ref="L567">_xlfn.IFS(E567&gt;=52000000,"Platinum",E567&gt;=37000000,"Gold",E567&gt;=30000000,"Sliver",E567&lt;30000000,"Bronze")</f>
        <v>Gold</v>
      </c>
    </row>
    <row r="568" spans="1:12" x14ac:dyDescent="0.25">
      <c r="A568">
        <v>567</v>
      </c>
      <c r="B568" t="s">
        <v>588</v>
      </c>
      <c r="C568" t="s">
        <v>19</v>
      </c>
      <c r="D568" t="s">
        <v>11</v>
      </c>
      <c r="E568" s="4">
        <v>43440728</v>
      </c>
      <c r="F568">
        <v>44.18</v>
      </c>
      <c r="G568">
        <v>7.51</v>
      </c>
      <c r="H568">
        <v>450.74</v>
      </c>
      <c r="I568">
        <v>17</v>
      </c>
      <c r="J568" s="5">
        <v>46060</v>
      </c>
      <c r="K568">
        <f t="shared" si="8"/>
        <v>36.409999999999997</v>
      </c>
      <c r="L568" t="str" cm="1">
        <f t="array" ref="L568">_xlfn.IFS(E568&gt;=52000000,"Platinum",E568&gt;=37000000,"Gold",E568&gt;=30000000,"Sliver",E568&lt;30000000,"Bronze")</f>
        <v>Gold</v>
      </c>
    </row>
    <row r="569" spans="1:12" x14ac:dyDescent="0.25">
      <c r="A569">
        <v>568</v>
      </c>
      <c r="B569" t="s">
        <v>589</v>
      </c>
      <c r="C569" t="s">
        <v>21</v>
      </c>
      <c r="D569" t="s">
        <v>25</v>
      </c>
      <c r="E569" s="4">
        <v>41757170</v>
      </c>
      <c r="F569">
        <v>39.72</v>
      </c>
      <c r="G569">
        <v>2.7</v>
      </c>
      <c r="H569">
        <v>162.1</v>
      </c>
      <c r="I569">
        <v>6.8</v>
      </c>
      <c r="J569" s="5">
        <v>46060</v>
      </c>
      <c r="K569">
        <f t="shared" si="8"/>
        <v>33.54</v>
      </c>
      <c r="L569" t="str" cm="1">
        <f t="array" ref="L569">_xlfn.IFS(E569&gt;=52000000,"Platinum",E569&gt;=37000000,"Gold",E569&gt;=30000000,"Sliver",E569&lt;30000000,"Bronze")</f>
        <v>Gold</v>
      </c>
    </row>
    <row r="570" spans="1:12" x14ac:dyDescent="0.25">
      <c r="A570">
        <v>569</v>
      </c>
      <c r="B570" t="s">
        <v>590</v>
      </c>
      <c r="C570" t="s">
        <v>19</v>
      </c>
      <c r="D570" t="s">
        <v>22</v>
      </c>
      <c r="E570" s="4">
        <v>39818947</v>
      </c>
      <c r="F570">
        <v>54.63</v>
      </c>
      <c r="G570">
        <v>9.23</v>
      </c>
      <c r="H570">
        <v>553.53</v>
      </c>
      <c r="I570">
        <v>16.89</v>
      </c>
      <c r="J570" s="5">
        <v>46060</v>
      </c>
      <c r="K570">
        <f t="shared" si="8"/>
        <v>31.13</v>
      </c>
      <c r="L570" t="str" cm="1">
        <f t="array" ref="L570">_xlfn.IFS(E570&gt;=52000000,"Platinum",E570&gt;=37000000,"Gold",E570&gt;=30000000,"Sliver",E570&lt;30000000,"Bronze")</f>
        <v>Gold</v>
      </c>
    </row>
    <row r="571" spans="1:12" x14ac:dyDescent="0.25">
      <c r="A571">
        <v>570</v>
      </c>
      <c r="B571" t="s">
        <v>591</v>
      </c>
      <c r="C571" t="s">
        <v>10</v>
      </c>
      <c r="D571" t="s">
        <v>25</v>
      </c>
      <c r="E571" s="4">
        <v>36388102</v>
      </c>
      <c r="F571">
        <v>38.729999999999997</v>
      </c>
      <c r="G571">
        <v>2.25</v>
      </c>
      <c r="H571">
        <v>135.05000000000001</v>
      </c>
      <c r="I571">
        <v>5.81</v>
      </c>
      <c r="J571" s="5">
        <v>46060</v>
      </c>
      <c r="K571">
        <f t="shared" si="8"/>
        <v>33.54</v>
      </c>
      <c r="L571" t="str" cm="1">
        <f t="array" ref="L571">_xlfn.IFS(E571&gt;=52000000,"Platinum",E571&gt;=37000000,"Gold",E571&gt;=30000000,"Sliver",E571&lt;30000000,"Bronze")</f>
        <v>Sliver</v>
      </c>
    </row>
    <row r="572" spans="1:12" x14ac:dyDescent="0.25">
      <c r="A572">
        <v>571</v>
      </c>
      <c r="B572" t="s">
        <v>592</v>
      </c>
      <c r="C572" t="s">
        <v>46</v>
      </c>
      <c r="D572" t="s">
        <v>17</v>
      </c>
      <c r="E572" s="4">
        <v>44126254</v>
      </c>
      <c r="F572">
        <v>46.23</v>
      </c>
      <c r="G572">
        <v>5.6</v>
      </c>
      <c r="H572">
        <v>335.84</v>
      </c>
      <c r="I572">
        <v>12.11</v>
      </c>
      <c r="J572" s="5">
        <v>46060</v>
      </c>
      <c r="K572">
        <f t="shared" si="8"/>
        <v>32.94</v>
      </c>
      <c r="L572" t="str" cm="1">
        <f t="array" ref="L572">_xlfn.IFS(E572&gt;=52000000,"Platinum",E572&gt;=37000000,"Gold",E572&gt;=30000000,"Sliver",E572&lt;30000000,"Bronze")</f>
        <v>Gold</v>
      </c>
    </row>
    <row r="573" spans="1:12" x14ac:dyDescent="0.25">
      <c r="A573">
        <v>572</v>
      </c>
      <c r="B573" t="s">
        <v>593</v>
      </c>
      <c r="C573" t="s">
        <v>29</v>
      </c>
      <c r="D573" t="s">
        <v>17</v>
      </c>
      <c r="E573" s="4">
        <v>44799572</v>
      </c>
      <c r="F573">
        <v>48.37</v>
      </c>
      <c r="G573">
        <v>5.0599999999999996</v>
      </c>
      <c r="H573">
        <v>303.33999999999997</v>
      </c>
      <c r="I573">
        <v>10.45</v>
      </c>
      <c r="J573" s="5">
        <v>46060</v>
      </c>
      <c r="K573">
        <f t="shared" si="8"/>
        <v>31.04</v>
      </c>
      <c r="L573" t="str" cm="1">
        <f t="array" ref="L573">_xlfn.IFS(E573&gt;=52000000,"Platinum",E573&gt;=37000000,"Gold",E573&gt;=30000000,"Sliver",E573&lt;30000000,"Bronze")</f>
        <v>Gold</v>
      </c>
    </row>
    <row r="574" spans="1:12" x14ac:dyDescent="0.25">
      <c r="A574">
        <v>573</v>
      </c>
      <c r="B574" t="s">
        <v>594</v>
      </c>
      <c r="C574" t="s">
        <v>21</v>
      </c>
      <c r="D574" t="s">
        <v>22</v>
      </c>
      <c r="E574" s="4">
        <v>47814085</v>
      </c>
      <c r="F574">
        <v>45.77</v>
      </c>
      <c r="G574">
        <v>1.75</v>
      </c>
      <c r="H574">
        <v>104.7</v>
      </c>
      <c r="I574">
        <v>3.81</v>
      </c>
      <c r="J574" s="5">
        <v>46060</v>
      </c>
      <c r="K574">
        <f t="shared" si="8"/>
        <v>29.02</v>
      </c>
      <c r="L574" t="str" cm="1">
        <f t="array" ref="L574">_xlfn.IFS(E574&gt;=52000000,"Platinum",E574&gt;=37000000,"Gold",E574&gt;=30000000,"Sliver",E574&lt;30000000,"Bronze")</f>
        <v>Gold</v>
      </c>
    </row>
    <row r="575" spans="1:12" x14ac:dyDescent="0.25">
      <c r="A575">
        <v>574</v>
      </c>
      <c r="B575" t="s">
        <v>595</v>
      </c>
      <c r="C575" t="s">
        <v>16</v>
      </c>
      <c r="D575" t="s">
        <v>22</v>
      </c>
      <c r="E575" s="4">
        <v>44588969</v>
      </c>
      <c r="F575">
        <v>37.4</v>
      </c>
      <c r="G575">
        <v>9.8000000000000007</v>
      </c>
      <c r="H575">
        <v>588.22</v>
      </c>
      <c r="I575">
        <v>26.21</v>
      </c>
      <c r="J575" s="5">
        <v>46060</v>
      </c>
      <c r="K575">
        <f t="shared" si="8"/>
        <v>44.41</v>
      </c>
      <c r="L575" t="str" cm="1">
        <f t="array" ref="L575">_xlfn.IFS(E575&gt;=52000000,"Platinum",E575&gt;=37000000,"Gold",E575&gt;=30000000,"Sliver",E575&lt;30000000,"Bronze")</f>
        <v>Gold</v>
      </c>
    </row>
    <row r="576" spans="1:12" x14ac:dyDescent="0.25">
      <c r="A576">
        <v>575</v>
      </c>
      <c r="B576" t="s">
        <v>596</v>
      </c>
      <c r="C576" t="s">
        <v>21</v>
      </c>
      <c r="D576" t="s">
        <v>17</v>
      </c>
      <c r="E576" s="4">
        <v>41537677</v>
      </c>
      <c r="F576">
        <v>44.89</v>
      </c>
      <c r="G576">
        <v>2.61</v>
      </c>
      <c r="H576">
        <v>156.75</v>
      </c>
      <c r="I576">
        <v>5.82</v>
      </c>
      <c r="J576" s="5">
        <v>46060</v>
      </c>
      <c r="K576">
        <f t="shared" si="8"/>
        <v>30.47</v>
      </c>
      <c r="L576" t="str" cm="1">
        <f t="array" ref="L576">_xlfn.IFS(E576&gt;=52000000,"Platinum",E576&gt;=37000000,"Gold",E576&gt;=30000000,"Sliver",E576&lt;30000000,"Bronze")</f>
        <v>Gold</v>
      </c>
    </row>
    <row r="577" spans="1:12" x14ac:dyDescent="0.25">
      <c r="A577">
        <v>576</v>
      </c>
      <c r="B577" t="s">
        <v>597</v>
      </c>
      <c r="C577" t="s">
        <v>29</v>
      </c>
      <c r="D577" t="s">
        <v>22</v>
      </c>
      <c r="E577" s="4">
        <v>35915440</v>
      </c>
      <c r="F577">
        <v>34.4</v>
      </c>
      <c r="G577">
        <v>6.08</v>
      </c>
      <c r="H577">
        <v>364.86</v>
      </c>
      <c r="I577">
        <v>17.68</v>
      </c>
      <c r="J577" s="5">
        <v>46060</v>
      </c>
      <c r="K577">
        <f t="shared" si="8"/>
        <v>41.64</v>
      </c>
      <c r="L577" t="str" cm="1">
        <f t="array" ref="L577">_xlfn.IFS(E577&gt;=52000000,"Platinum",E577&gt;=37000000,"Gold",E577&gt;=30000000,"Sliver",E577&lt;30000000,"Bronze")</f>
        <v>Sliver</v>
      </c>
    </row>
    <row r="578" spans="1:12" x14ac:dyDescent="0.25">
      <c r="A578">
        <v>577</v>
      </c>
      <c r="B578" t="s">
        <v>598</v>
      </c>
      <c r="C578" t="s">
        <v>16</v>
      </c>
      <c r="D578" t="s">
        <v>22</v>
      </c>
      <c r="E578" s="4">
        <v>37848345</v>
      </c>
      <c r="F578">
        <v>34.06</v>
      </c>
      <c r="G578">
        <v>5.72</v>
      </c>
      <c r="H578" s="1">
        <f>CALCULATION!$D$11</f>
        <v>343.315</v>
      </c>
      <c r="I578">
        <v>26.46</v>
      </c>
      <c r="J578" s="5">
        <v>46060</v>
      </c>
      <c r="K578">
        <f t="shared" si="8"/>
        <v>46.2</v>
      </c>
      <c r="L578" t="str" cm="1">
        <f t="array" ref="L578">_xlfn.IFS(E578&gt;=52000000,"Platinum",E578&gt;=37000000,"Gold",E578&gt;=30000000,"Sliver",E578&lt;30000000,"Bronze")</f>
        <v>Gold</v>
      </c>
    </row>
    <row r="579" spans="1:12" x14ac:dyDescent="0.25">
      <c r="A579">
        <v>578</v>
      </c>
      <c r="B579" t="s">
        <v>599</v>
      </c>
      <c r="C579" t="s">
        <v>29</v>
      </c>
      <c r="D579" t="s">
        <v>32</v>
      </c>
      <c r="E579" s="4">
        <v>46983784</v>
      </c>
      <c r="F579">
        <v>48.91</v>
      </c>
      <c r="G579">
        <v>7.1</v>
      </c>
      <c r="H579">
        <v>425.72</v>
      </c>
      <c r="I579">
        <v>14.51</v>
      </c>
      <c r="J579" s="5">
        <v>46060</v>
      </c>
      <c r="K579">
        <f t="shared" ref="K579:K642" si="9">ROUND((100-F579)*0.5 + I579*0.5,2)</f>
        <v>32.799999999999997</v>
      </c>
      <c r="L579" t="str" cm="1">
        <f t="array" ref="L579">_xlfn.IFS(E579&gt;=52000000,"Platinum",E579&gt;=37000000,"Gold",E579&gt;=30000000,"Sliver",E579&lt;30000000,"Bronze")</f>
        <v>Gold</v>
      </c>
    </row>
    <row r="580" spans="1:12" x14ac:dyDescent="0.25">
      <c r="A580">
        <v>579</v>
      </c>
      <c r="B580" t="s">
        <v>600</v>
      </c>
      <c r="C580" t="s">
        <v>29</v>
      </c>
      <c r="D580" t="s">
        <v>22</v>
      </c>
      <c r="E580" s="4">
        <v>39997609</v>
      </c>
      <c r="F580">
        <v>41.23</v>
      </c>
      <c r="G580">
        <v>7.25</v>
      </c>
      <c r="H580">
        <v>434.75</v>
      </c>
      <c r="I580">
        <v>17.57</v>
      </c>
      <c r="J580" s="5">
        <v>46060</v>
      </c>
      <c r="K580">
        <f t="shared" si="9"/>
        <v>38.17</v>
      </c>
      <c r="L580" t="str" cm="1">
        <f t="array" ref="L580">_xlfn.IFS(E580&gt;=52000000,"Platinum",E580&gt;=37000000,"Gold",E580&gt;=30000000,"Sliver",E580&lt;30000000,"Bronze")</f>
        <v>Gold</v>
      </c>
    </row>
    <row r="581" spans="1:12" x14ac:dyDescent="0.25">
      <c r="A581">
        <v>580</v>
      </c>
      <c r="B581" t="s">
        <v>601</v>
      </c>
      <c r="C581" t="s">
        <v>10</v>
      </c>
      <c r="D581" t="s">
        <v>22</v>
      </c>
      <c r="E581" s="4">
        <v>42637849</v>
      </c>
      <c r="F581">
        <v>44.75</v>
      </c>
      <c r="G581">
        <v>8.3000000000000007</v>
      </c>
      <c r="H581">
        <v>498.01</v>
      </c>
      <c r="I581">
        <v>18.55</v>
      </c>
      <c r="J581" s="5">
        <v>46060</v>
      </c>
      <c r="K581">
        <f t="shared" si="9"/>
        <v>36.9</v>
      </c>
      <c r="L581" t="str" cm="1">
        <f t="array" ref="L581">_xlfn.IFS(E581&gt;=52000000,"Platinum",E581&gt;=37000000,"Gold",E581&gt;=30000000,"Sliver",E581&lt;30000000,"Bronze")</f>
        <v>Gold</v>
      </c>
    </row>
    <row r="582" spans="1:12" x14ac:dyDescent="0.25">
      <c r="A582">
        <v>581</v>
      </c>
      <c r="B582" t="s">
        <v>602</v>
      </c>
      <c r="C582" t="s">
        <v>46</v>
      </c>
      <c r="D582" t="s">
        <v>32</v>
      </c>
      <c r="E582" s="4">
        <v>39640037</v>
      </c>
      <c r="F582">
        <v>38.46</v>
      </c>
      <c r="G582">
        <v>6.95</v>
      </c>
      <c r="H582">
        <v>417.19</v>
      </c>
      <c r="I582">
        <v>18.079999999999998</v>
      </c>
      <c r="J582" s="5">
        <v>46060</v>
      </c>
      <c r="K582">
        <f t="shared" si="9"/>
        <v>39.81</v>
      </c>
      <c r="L582" t="str" cm="1">
        <f t="array" ref="L582">_xlfn.IFS(E582&gt;=52000000,"Platinum",E582&gt;=37000000,"Gold",E582&gt;=30000000,"Sliver",E582&lt;30000000,"Bronze")</f>
        <v>Gold</v>
      </c>
    </row>
    <row r="583" spans="1:12" x14ac:dyDescent="0.25">
      <c r="A583">
        <v>582</v>
      </c>
      <c r="B583" t="s">
        <v>603</v>
      </c>
      <c r="C583" t="s">
        <v>19</v>
      </c>
      <c r="D583" t="s">
        <v>25</v>
      </c>
      <c r="E583" s="4">
        <v>44132091</v>
      </c>
      <c r="F583">
        <v>48.17</v>
      </c>
      <c r="G583">
        <v>4.58</v>
      </c>
      <c r="H583">
        <v>274.66000000000003</v>
      </c>
      <c r="I583">
        <v>9.5</v>
      </c>
      <c r="J583" s="5">
        <v>46060</v>
      </c>
      <c r="K583">
        <f t="shared" si="9"/>
        <v>30.67</v>
      </c>
      <c r="L583" t="str" cm="1">
        <f t="array" ref="L583">_xlfn.IFS(E583&gt;=52000000,"Platinum",E583&gt;=37000000,"Gold",E583&gt;=30000000,"Sliver",E583&lt;30000000,"Bronze")</f>
        <v>Gold</v>
      </c>
    </row>
    <row r="584" spans="1:12" x14ac:dyDescent="0.25">
      <c r="A584">
        <v>583</v>
      </c>
      <c r="B584" t="s">
        <v>604</v>
      </c>
      <c r="C584" t="s">
        <v>21</v>
      </c>
      <c r="D584" t="s">
        <v>13</v>
      </c>
      <c r="E584" s="4">
        <v>41606088</v>
      </c>
      <c r="F584">
        <v>38.549999999999997</v>
      </c>
      <c r="G584">
        <v>2.99</v>
      </c>
      <c r="H584">
        <v>179.25</v>
      </c>
      <c r="I584">
        <v>7.75</v>
      </c>
      <c r="J584" s="5">
        <v>46060</v>
      </c>
      <c r="K584">
        <f t="shared" si="9"/>
        <v>34.6</v>
      </c>
      <c r="L584" t="str" cm="1">
        <f t="array" ref="L584">_xlfn.IFS(E584&gt;=52000000,"Platinum",E584&gt;=37000000,"Gold",E584&gt;=30000000,"Sliver",E584&lt;30000000,"Bronze")</f>
        <v>Gold</v>
      </c>
    </row>
    <row r="585" spans="1:12" x14ac:dyDescent="0.25">
      <c r="A585">
        <v>584</v>
      </c>
      <c r="B585" t="s">
        <v>605</v>
      </c>
      <c r="C585" t="s">
        <v>16</v>
      </c>
      <c r="D585" t="s">
        <v>11</v>
      </c>
      <c r="E585" s="4">
        <v>41824753</v>
      </c>
      <c r="F585">
        <v>46.78</v>
      </c>
      <c r="G585">
        <v>7.85</v>
      </c>
      <c r="H585">
        <v>470.92</v>
      </c>
      <c r="I585">
        <v>16.78</v>
      </c>
      <c r="J585" s="5">
        <v>46060</v>
      </c>
      <c r="K585">
        <f t="shared" si="9"/>
        <v>35</v>
      </c>
      <c r="L585" t="str" cm="1">
        <f t="array" ref="L585">_xlfn.IFS(E585&gt;=52000000,"Platinum",E585&gt;=37000000,"Gold",E585&gt;=30000000,"Sliver",E585&lt;30000000,"Bronze")</f>
        <v>Gold</v>
      </c>
    </row>
    <row r="586" spans="1:12" x14ac:dyDescent="0.25">
      <c r="A586">
        <v>585</v>
      </c>
      <c r="B586" t="s">
        <v>606</v>
      </c>
      <c r="C586" t="s">
        <v>27</v>
      </c>
      <c r="D586" t="s">
        <v>25</v>
      </c>
      <c r="E586" s="4">
        <v>42841133</v>
      </c>
      <c r="F586">
        <v>25.36</v>
      </c>
      <c r="G586">
        <v>16.54</v>
      </c>
      <c r="H586">
        <v>992.51</v>
      </c>
      <c r="I586">
        <v>65.23</v>
      </c>
      <c r="J586" s="5">
        <v>46060</v>
      </c>
      <c r="K586">
        <f t="shared" si="9"/>
        <v>69.94</v>
      </c>
      <c r="L586" t="str" cm="1">
        <f t="array" ref="L586">_xlfn.IFS(E586&gt;=52000000,"Platinum",E586&gt;=37000000,"Gold",E586&gt;=30000000,"Sliver",E586&lt;30000000,"Bronze")</f>
        <v>Gold</v>
      </c>
    </row>
    <row r="587" spans="1:12" x14ac:dyDescent="0.25">
      <c r="A587">
        <v>586</v>
      </c>
      <c r="B587" t="s">
        <v>607</v>
      </c>
      <c r="C587" t="s">
        <v>46</v>
      </c>
      <c r="D587" t="s">
        <v>11</v>
      </c>
      <c r="E587" s="4">
        <v>38238539</v>
      </c>
      <c r="F587">
        <v>31.57</v>
      </c>
      <c r="G587">
        <v>2.2799999999999998</v>
      </c>
      <c r="H587">
        <v>137.07</v>
      </c>
      <c r="I587">
        <v>7.24</v>
      </c>
      <c r="J587" s="5">
        <v>46060</v>
      </c>
      <c r="K587">
        <f t="shared" si="9"/>
        <v>37.840000000000003</v>
      </c>
      <c r="L587" t="str" cm="1">
        <f t="array" ref="L587">_xlfn.IFS(E587&gt;=52000000,"Platinum",E587&gt;=37000000,"Gold",E587&gt;=30000000,"Sliver",E587&lt;30000000,"Bronze")</f>
        <v>Gold</v>
      </c>
    </row>
    <row r="588" spans="1:12" x14ac:dyDescent="0.25">
      <c r="A588">
        <v>587</v>
      </c>
      <c r="B588" t="s">
        <v>608</v>
      </c>
      <c r="C588" t="s">
        <v>19</v>
      </c>
      <c r="D588" t="s">
        <v>13</v>
      </c>
      <c r="E588" s="4">
        <v>42558496</v>
      </c>
      <c r="F588">
        <v>44.79</v>
      </c>
      <c r="G588">
        <v>7.81</v>
      </c>
      <c r="H588">
        <v>468.72</v>
      </c>
      <c r="I588">
        <v>17.440000000000001</v>
      </c>
      <c r="J588" s="5">
        <v>46060</v>
      </c>
      <c r="K588">
        <f t="shared" si="9"/>
        <v>36.33</v>
      </c>
      <c r="L588" t="str" cm="1">
        <f t="array" ref="L588">_xlfn.IFS(E588&gt;=52000000,"Platinum",E588&gt;=37000000,"Gold",E588&gt;=30000000,"Sliver",E588&lt;30000000,"Bronze")</f>
        <v>Gold</v>
      </c>
    </row>
    <row r="589" spans="1:12" x14ac:dyDescent="0.25">
      <c r="A589">
        <v>588</v>
      </c>
      <c r="B589" t="s">
        <v>609</v>
      </c>
      <c r="C589" t="s">
        <v>46</v>
      </c>
      <c r="D589" t="s">
        <v>11</v>
      </c>
      <c r="E589" s="4">
        <v>49094849</v>
      </c>
      <c r="F589">
        <v>42.09</v>
      </c>
      <c r="G589">
        <v>8.7799999999999994</v>
      </c>
      <c r="H589">
        <v>526.86</v>
      </c>
      <c r="I589">
        <v>20.86</v>
      </c>
      <c r="J589" s="5">
        <v>46060</v>
      </c>
      <c r="K589">
        <f t="shared" si="9"/>
        <v>39.39</v>
      </c>
      <c r="L589" t="str" cm="1">
        <f t="array" ref="L589">_xlfn.IFS(E589&gt;=52000000,"Platinum",E589&gt;=37000000,"Gold",E589&gt;=30000000,"Sliver",E589&lt;30000000,"Bronze")</f>
        <v>Gold</v>
      </c>
    </row>
    <row r="590" spans="1:12" x14ac:dyDescent="0.25">
      <c r="A590">
        <v>589</v>
      </c>
      <c r="B590" t="s">
        <v>610</v>
      </c>
      <c r="C590" t="s">
        <v>10</v>
      </c>
      <c r="D590" t="s">
        <v>25</v>
      </c>
      <c r="E590" s="4">
        <v>46982705</v>
      </c>
      <c r="F590">
        <v>51.82</v>
      </c>
      <c r="G590">
        <v>7.98</v>
      </c>
      <c r="H590">
        <v>478.55</v>
      </c>
      <c r="I590">
        <v>15.39</v>
      </c>
      <c r="J590" s="5">
        <v>46060</v>
      </c>
      <c r="K590">
        <f t="shared" si="9"/>
        <v>31.79</v>
      </c>
      <c r="L590" t="str" cm="1">
        <f t="array" ref="L590">_xlfn.IFS(E590&gt;=52000000,"Platinum",E590&gt;=37000000,"Gold",E590&gt;=30000000,"Sliver",E590&lt;30000000,"Bronze")</f>
        <v>Gold</v>
      </c>
    </row>
    <row r="591" spans="1:12" x14ac:dyDescent="0.25">
      <c r="A591">
        <v>590</v>
      </c>
      <c r="B591" t="s">
        <v>611</v>
      </c>
      <c r="C591" t="s">
        <v>19</v>
      </c>
      <c r="D591" t="s">
        <v>32</v>
      </c>
      <c r="E591" s="4">
        <v>35963503</v>
      </c>
      <c r="F591">
        <v>50.91</v>
      </c>
      <c r="G591">
        <v>8.2899999999999991</v>
      </c>
      <c r="H591">
        <v>497.51</v>
      </c>
      <c r="I591">
        <v>16.29</v>
      </c>
      <c r="J591" s="5">
        <v>46060</v>
      </c>
      <c r="K591">
        <f t="shared" si="9"/>
        <v>32.69</v>
      </c>
      <c r="L591" t="str" cm="1">
        <f t="array" ref="L591">_xlfn.IFS(E591&gt;=52000000,"Platinum",E591&gt;=37000000,"Gold",E591&gt;=30000000,"Sliver",E591&lt;30000000,"Bronze")</f>
        <v>Sliver</v>
      </c>
    </row>
    <row r="592" spans="1:12" x14ac:dyDescent="0.25">
      <c r="A592">
        <v>591</v>
      </c>
      <c r="B592" t="s">
        <v>612</v>
      </c>
      <c r="C592" t="s">
        <v>10</v>
      </c>
      <c r="D592" t="s">
        <v>17</v>
      </c>
      <c r="E592" s="4">
        <v>42053355</v>
      </c>
      <c r="F592">
        <v>38.869999999999997</v>
      </c>
      <c r="G592">
        <v>5.97</v>
      </c>
      <c r="H592">
        <v>358.33</v>
      </c>
      <c r="I592">
        <v>15.36</v>
      </c>
      <c r="J592" s="5">
        <v>46060</v>
      </c>
      <c r="K592">
        <f t="shared" si="9"/>
        <v>38.25</v>
      </c>
      <c r="L592" t="str" cm="1">
        <f t="array" ref="L592">_xlfn.IFS(E592&gt;=52000000,"Platinum",E592&gt;=37000000,"Gold",E592&gt;=30000000,"Sliver",E592&lt;30000000,"Bronze")</f>
        <v>Gold</v>
      </c>
    </row>
    <row r="593" spans="1:12" x14ac:dyDescent="0.25">
      <c r="A593">
        <v>592</v>
      </c>
      <c r="B593" t="s">
        <v>613</v>
      </c>
      <c r="C593" t="s">
        <v>29</v>
      </c>
      <c r="D593" s="1" t="s">
        <v>32</v>
      </c>
      <c r="E593" s="4">
        <v>39708913</v>
      </c>
      <c r="F593">
        <v>31.89</v>
      </c>
      <c r="G593">
        <v>9.94</v>
      </c>
      <c r="H593">
        <v>596.66</v>
      </c>
      <c r="I593">
        <v>31.18</v>
      </c>
      <c r="J593" s="5">
        <v>46060</v>
      </c>
      <c r="K593">
        <f t="shared" si="9"/>
        <v>49.65</v>
      </c>
      <c r="L593" t="str" cm="1">
        <f t="array" ref="L593">_xlfn.IFS(E593&gt;=52000000,"Platinum",E593&gt;=37000000,"Gold",E593&gt;=30000000,"Sliver",E593&lt;30000000,"Bronze")</f>
        <v>Gold</v>
      </c>
    </row>
    <row r="594" spans="1:12" x14ac:dyDescent="0.25">
      <c r="A594">
        <v>593</v>
      </c>
      <c r="B594" t="s">
        <v>614</v>
      </c>
      <c r="C594" t="s">
        <v>19</v>
      </c>
      <c r="D594" t="s">
        <v>32</v>
      </c>
      <c r="E594" s="4">
        <v>33056293</v>
      </c>
      <c r="F594">
        <v>55.06</v>
      </c>
      <c r="G594">
        <v>3.04</v>
      </c>
      <c r="H594">
        <v>182.12</v>
      </c>
      <c r="I594">
        <v>5.51</v>
      </c>
      <c r="J594" s="5">
        <v>46060</v>
      </c>
      <c r="K594">
        <f t="shared" si="9"/>
        <v>25.23</v>
      </c>
      <c r="L594" t="str" cm="1">
        <f t="array" ref="L594">_xlfn.IFS(E594&gt;=52000000,"Platinum",E594&gt;=37000000,"Gold",E594&gt;=30000000,"Sliver",E594&lt;30000000,"Bronze")</f>
        <v>Sliver</v>
      </c>
    </row>
    <row r="595" spans="1:12" x14ac:dyDescent="0.25">
      <c r="A595">
        <v>594</v>
      </c>
      <c r="B595" t="s">
        <v>615</v>
      </c>
      <c r="C595" t="s">
        <v>29</v>
      </c>
      <c r="D595" s="1" t="s">
        <v>32</v>
      </c>
      <c r="E595" s="4">
        <v>34369689</v>
      </c>
      <c r="F595">
        <v>38.54</v>
      </c>
      <c r="G595">
        <v>2.99</v>
      </c>
      <c r="H595">
        <v>179.21</v>
      </c>
      <c r="I595">
        <v>7.75</v>
      </c>
      <c r="J595" s="5">
        <v>46060</v>
      </c>
      <c r="K595">
        <f t="shared" si="9"/>
        <v>34.61</v>
      </c>
      <c r="L595" t="str" cm="1">
        <f t="array" ref="L595">_xlfn.IFS(E595&gt;=52000000,"Platinum",E595&gt;=37000000,"Gold",E595&gt;=30000000,"Sliver",E595&lt;30000000,"Bronze")</f>
        <v>Sliver</v>
      </c>
    </row>
    <row r="596" spans="1:12" x14ac:dyDescent="0.25">
      <c r="A596">
        <v>595</v>
      </c>
      <c r="B596" t="s">
        <v>616</v>
      </c>
      <c r="C596" t="s">
        <v>46</v>
      </c>
      <c r="D596" t="s">
        <v>17</v>
      </c>
      <c r="E596" s="4">
        <v>44071325</v>
      </c>
      <c r="F596">
        <v>38.159999999999997</v>
      </c>
      <c r="G596">
        <v>3.41</v>
      </c>
      <c r="H596">
        <v>204.85</v>
      </c>
      <c r="I596">
        <v>8.9499999999999993</v>
      </c>
      <c r="J596" s="5">
        <v>46060</v>
      </c>
      <c r="K596">
        <f t="shared" si="9"/>
        <v>35.4</v>
      </c>
      <c r="L596" t="str" cm="1">
        <f t="array" ref="L596">_xlfn.IFS(E596&gt;=52000000,"Platinum",E596&gt;=37000000,"Gold",E596&gt;=30000000,"Sliver",E596&lt;30000000,"Bronze")</f>
        <v>Gold</v>
      </c>
    </row>
    <row r="597" spans="1:12" x14ac:dyDescent="0.25">
      <c r="A597">
        <v>596</v>
      </c>
      <c r="B597" t="s">
        <v>617</v>
      </c>
      <c r="C597" t="s">
        <v>21</v>
      </c>
      <c r="D597" t="s">
        <v>32</v>
      </c>
      <c r="E597" s="4">
        <v>45416755</v>
      </c>
      <c r="F597">
        <v>45.51</v>
      </c>
      <c r="G597">
        <v>1.3</v>
      </c>
      <c r="H597">
        <v>78.23</v>
      </c>
      <c r="I597">
        <v>2.86</v>
      </c>
      <c r="J597" s="5">
        <v>46060</v>
      </c>
      <c r="K597">
        <f t="shared" si="9"/>
        <v>28.68</v>
      </c>
      <c r="L597" t="str" cm="1">
        <f t="array" ref="L597">_xlfn.IFS(E597&gt;=52000000,"Platinum",E597&gt;=37000000,"Gold",E597&gt;=30000000,"Sliver",E597&lt;30000000,"Bronze")</f>
        <v>Gold</v>
      </c>
    </row>
    <row r="598" spans="1:12" x14ac:dyDescent="0.25">
      <c r="A598">
        <v>597</v>
      </c>
      <c r="B598" t="s">
        <v>618</v>
      </c>
      <c r="C598" t="s">
        <v>29</v>
      </c>
      <c r="D598" t="s">
        <v>17</v>
      </c>
      <c r="E598" s="4">
        <v>41194730</v>
      </c>
      <c r="F598">
        <v>37.92</v>
      </c>
      <c r="G598">
        <v>5.18</v>
      </c>
      <c r="H598">
        <v>310.56</v>
      </c>
      <c r="I598">
        <v>13.65</v>
      </c>
      <c r="J598" s="5">
        <v>46060</v>
      </c>
      <c r="K598">
        <f t="shared" si="9"/>
        <v>37.869999999999997</v>
      </c>
      <c r="L598" t="str" cm="1">
        <f t="array" ref="L598">_xlfn.IFS(E598&gt;=52000000,"Platinum",E598&gt;=37000000,"Gold",E598&gt;=30000000,"Sliver",E598&lt;30000000,"Bronze")</f>
        <v>Gold</v>
      </c>
    </row>
    <row r="599" spans="1:12" x14ac:dyDescent="0.25">
      <c r="A599">
        <v>598</v>
      </c>
      <c r="B599" t="s">
        <v>619</v>
      </c>
      <c r="C599" t="s">
        <v>27</v>
      </c>
      <c r="D599" t="s">
        <v>11</v>
      </c>
      <c r="E599" s="4">
        <v>44014502</v>
      </c>
      <c r="F599">
        <v>21.27</v>
      </c>
      <c r="G599">
        <v>39.5</v>
      </c>
      <c r="H599">
        <v>2369.9499999999998</v>
      </c>
      <c r="I599">
        <v>185.7</v>
      </c>
      <c r="J599" s="5">
        <v>46060</v>
      </c>
      <c r="K599">
        <f t="shared" si="9"/>
        <v>132.22</v>
      </c>
      <c r="L599" t="str" cm="1">
        <f t="array" ref="L599">_xlfn.IFS(E599&gt;=52000000,"Platinum",E599&gt;=37000000,"Gold",E599&gt;=30000000,"Sliver",E599&lt;30000000,"Bronze")</f>
        <v>Gold</v>
      </c>
    </row>
    <row r="600" spans="1:12" x14ac:dyDescent="0.25">
      <c r="A600">
        <v>599</v>
      </c>
      <c r="B600" t="s">
        <v>620</v>
      </c>
      <c r="C600" t="s">
        <v>21</v>
      </c>
      <c r="D600" t="s">
        <v>32</v>
      </c>
      <c r="E600" s="4">
        <v>43168110</v>
      </c>
      <c r="F600">
        <v>36.950000000000003</v>
      </c>
      <c r="G600">
        <v>1.3</v>
      </c>
      <c r="H600">
        <v>77.89</v>
      </c>
      <c r="I600">
        <v>3.51</v>
      </c>
      <c r="J600" s="5">
        <v>46060</v>
      </c>
      <c r="K600">
        <f t="shared" si="9"/>
        <v>33.28</v>
      </c>
      <c r="L600" t="str" cm="1">
        <f t="array" ref="L600">_xlfn.IFS(E600&gt;=52000000,"Platinum",E600&gt;=37000000,"Gold",E600&gt;=30000000,"Sliver",E600&lt;30000000,"Bronze")</f>
        <v>Gold</v>
      </c>
    </row>
    <row r="601" spans="1:12" x14ac:dyDescent="0.25">
      <c r="A601">
        <v>600</v>
      </c>
      <c r="B601" t="s">
        <v>621</v>
      </c>
      <c r="C601" t="s">
        <v>10</v>
      </c>
      <c r="D601" t="s">
        <v>32</v>
      </c>
      <c r="E601" s="4">
        <v>33379641</v>
      </c>
      <c r="F601">
        <v>43.66</v>
      </c>
      <c r="G601">
        <v>2.89</v>
      </c>
      <c r="H601">
        <v>173.43</v>
      </c>
      <c r="I601">
        <v>6.62</v>
      </c>
      <c r="J601" s="5">
        <v>46060</v>
      </c>
      <c r="K601">
        <f t="shared" si="9"/>
        <v>31.48</v>
      </c>
      <c r="L601" t="str" cm="1">
        <f t="array" ref="L601">_xlfn.IFS(E601&gt;=52000000,"Platinum",E601&gt;=37000000,"Gold",E601&gt;=30000000,"Sliver",E601&lt;30000000,"Bronze")</f>
        <v>Sliver</v>
      </c>
    </row>
    <row r="602" spans="1:12" x14ac:dyDescent="0.25">
      <c r="A602">
        <v>601</v>
      </c>
      <c r="B602" t="s">
        <v>622</v>
      </c>
      <c r="C602" t="s">
        <v>21</v>
      </c>
      <c r="D602" t="s">
        <v>32</v>
      </c>
      <c r="E602" s="4">
        <v>48898640</v>
      </c>
      <c r="F602">
        <v>49.78</v>
      </c>
      <c r="G602">
        <v>2.44</v>
      </c>
      <c r="H602">
        <v>146.13999999999999</v>
      </c>
      <c r="I602">
        <v>4.8899999999999997</v>
      </c>
      <c r="J602" s="5">
        <v>46060</v>
      </c>
      <c r="K602">
        <f t="shared" si="9"/>
        <v>27.56</v>
      </c>
      <c r="L602" t="str" cm="1">
        <f t="array" ref="L602">_xlfn.IFS(E602&gt;=52000000,"Platinum",E602&gt;=37000000,"Gold",E602&gt;=30000000,"Sliver",E602&lt;30000000,"Bronze")</f>
        <v>Gold</v>
      </c>
    </row>
    <row r="603" spans="1:12" x14ac:dyDescent="0.25">
      <c r="A603">
        <v>602</v>
      </c>
      <c r="B603" t="s">
        <v>623</v>
      </c>
      <c r="C603" t="s">
        <v>27</v>
      </c>
      <c r="D603" t="s">
        <v>22</v>
      </c>
      <c r="E603" s="4">
        <v>36446313</v>
      </c>
      <c r="F603">
        <v>22.24</v>
      </c>
      <c r="G603">
        <v>39.76</v>
      </c>
      <c r="H603">
        <v>2385.5300000000002</v>
      </c>
      <c r="I603">
        <v>178.77</v>
      </c>
      <c r="J603" s="5">
        <v>46060</v>
      </c>
      <c r="K603">
        <f t="shared" si="9"/>
        <v>128.27000000000001</v>
      </c>
      <c r="L603" t="str" cm="1">
        <f t="array" ref="L603">_xlfn.IFS(E603&gt;=52000000,"Platinum",E603&gt;=37000000,"Gold",E603&gt;=30000000,"Sliver",E603&lt;30000000,"Bronze")</f>
        <v>Sliver</v>
      </c>
    </row>
    <row r="604" spans="1:12" x14ac:dyDescent="0.25">
      <c r="A604">
        <v>603</v>
      </c>
      <c r="B604" t="s">
        <v>624</v>
      </c>
      <c r="C604" t="s">
        <v>27</v>
      </c>
      <c r="D604" t="s">
        <v>22</v>
      </c>
      <c r="E604" s="4">
        <v>36984497</v>
      </c>
      <c r="F604">
        <v>28</v>
      </c>
      <c r="G604">
        <v>15.15</v>
      </c>
      <c r="H604">
        <v>909.06</v>
      </c>
      <c r="I604">
        <v>54.11</v>
      </c>
      <c r="J604" s="5">
        <v>46060</v>
      </c>
      <c r="K604">
        <f t="shared" si="9"/>
        <v>63.06</v>
      </c>
      <c r="L604" t="str" cm="1">
        <f t="array" ref="L604">_xlfn.IFS(E604&gt;=52000000,"Platinum",E604&gt;=37000000,"Gold",E604&gt;=30000000,"Sliver",E604&lt;30000000,"Bronze")</f>
        <v>Sliver</v>
      </c>
    </row>
    <row r="605" spans="1:12" x14ac:dyDescent="0.25">
      <c r="A605">
        <v>604</v>
      </c>
      <c r="B605" t="s">
        <v>625</v>
      </c>
      <c r="C605" t="s">
        <v>29</v>
      </c>
      <c r="D605" t="s">
        <v>11</v>
      </c>
      <c r="E605" s="4">
        <v>46022558</v>
      </c>
      <c r="F605">
        <v>33.89</v>
      </c>
      <c r="G605">
        <v>5.72</v>
      </c>
      <c r="H605" s="1">
        <f>CALCULATION!$D$11</f>
        <v>343.315</v>
      </c>
      <c r="I605">
        <v>10.01</v>
      </c>
      <c r="J605" s="5">
        <v>46060</v>
      </c>
      <c r="K605">
        <f t="shared" si="9"/>
        <v>38.06</v>
      </c>
      <c r="L605" t="str" cm="1">
        <f t="array" ref="L605">_xlfn.IFS(E605&gt;=52000000,"Platinum",E605&gt;=37000000,"Gold",E605&gt;=30000000,"Sliver",E605&lt;30000000,"Bronze")</f>
        <v>Gold</v>
      </c>
    </row>
    <row r="606" spans="1:12" x14ac:dyDescent="0.25">
      <c r="A606">
        <v>605</v>
      </c>
      <c r="B606" t="s">
        <v>626</v>
      </c>
      <c r="C606" t="s">
        <v>46</v>
      </c>
      <c r="D606" t="s">
        <v>11</v>
      </c>
      <c r="E606" s="4">
        <v>48727561</v>
      </c>
      <c r="F606">
        <v>36.56</v>
      </c>
      <c r="G606">
        <v>5.23</v>
      </c>
      <c r="H606">
        <v>314.07</v>
      </c>
      <c r="I606">
        <v>14.32</v>
      </c>
      <c r="J606" s="5">
        <v>46060</v>
      </c>
      <c r="K606">
        <f t="shared" si="9"/>
        <v>38.880000000000003</v>
      </c>
      <c r="L606" t="str" cm="1">
        <f t="array" ref="L606">_xlfn.IFS(E606&gt;=52000000,"Platinum",E606&gt;=37000000,"Gold",E606&gt;=30000000,"Sliver",E606&lt;30000000,"Bronze")</f>
        <v>Gold</v>
      </c>
    </row>
    <row r="607" spans="1:12" x14ac:dyDescent="0.25">
      <c r="A607">
        <v>606</v>
      </c>
      <c r="B607" t="s">
        <v>627</v>
      </c>
      <c r="C607" t="s">
        <v>46</v>
      </c>
      <c r="D607" t="s">
        <v>13</v>
      </c>
      <c r="E607" s="4">
        <v>34531749</v>
      </c>
      <c r="F607">
        <v>30.63</v>
      </c>
      <c r="G607">
        <v>3.66</v>
      </c>
      <c r="H607">
        <v>219.5</v>
      </c>
      <c r="I607">
        <v>11.94</v>
      </c>
      <c r="J607" s="5">
        <v>46060</v>
      </c>
      <c r="K607">
        <f t="shared" si="9"/>
        <v>40.659999999999997</v>
      </c>
      <c r="L607" t="str" cm="1">
        <f t="array" ref="L607">_xlfn.IFS(E607&gt;=52000000,"Platinum",E607&gt;=37000000,"Gold",E607&gt;=30000000,"Sliver",E607&lt;30000000,"Bronze")</f>
        <v>Sliver</v>
      </c>
    </row>
    <row r="608" spans="1:12" x14ac:dyDescent="0.25">
      <c r="A608">
        <v>607</v>
      </c>
      <c r="B608" t="s">
        <v>628</v>
      </c>
      <c r="C608" t="s">
        <v>29</v>
      </c>
      <c r="D608" t="s">
        <v>11</v>
      </c>
      <c r="E608" s="4">
        <v>40854107</v>
      </c>
      <c r="F608">
        <v>40.19</v>
      </c>
      <c r="G608">
        <v>7.94</v>
      </c>
      <c r="H608">
        <v>476.59</v>
      </c>
      <c r="I608">
        <v>19.760000000000002</v>
      </c>
      <c r="J608" s="5">
        <v>46060</v>
      </c>
      <c r="K608">
        <f t="shared" si="9"/>
        <v>39.79</v>
      </c>
      <c r="L608" t="str" cm="1">
        <f t="array" ref="L608">_xlfn.IFS(E608&gt;=52000000,"Platinum",E608&gt;=37000000,"Gold",E608&gt;=30000000,"Sliver",E608&lt;30000000,"Bronze")</f>
        <v>Gold</v>
      </c>
    </row>
    <row r="609" spans="1:12" x14ac:dyDescent="0.25">
      <c r="A609">
        <v>608</v>
      </c>
      <c r="B609" t="s">
        <v>629</v>
      </c>
      <c r="C609" t="s">
        <v>21</v>
      </c>
      <c r="D609" t="s">
        <v>17</v>
      </c>
      <c r="E609" s="4">
        <v>38255789</v>
      </c>
      <c r="F609" s="1">
        <f>CALCULATION!$C$11</f>
        <v>42.81</v>
      </c>
      <c r="G609" s="1">
        <v>1.84</v>
      </c>
      <c r="H609">
        <v>110.18</v>
      </c>
      <c r="I609">
        <v>4.95</v>
      </c>
      <c r="J609" s="5">
        <v>46060</v>
      </c>
      <c r="K609">
        <f t="shared" si="9"/>
        <v>31.07</v>
      </c>
      <c r="L609" t="str" cm="1">
        <f t="array" ref="L609">_xlfn.IFS(E609&gt;=52000000,"Platinum",E609&gt;=37000000,"Gold",E609&gt;=30000000,"Sliver",E609&lt;30000000,"Bronze")</f>
        <v>Gold</v>
      </c>
    </row>
    <row r="610" spans="1:12" x14ac:dyDescent="0.25">
      <c r="A610">
        <v>609</v>
      </c>
      <c r="B610" t="s">
        <v>630</v>
      </c>
      <c r="C610" t="s">
        <v>16</v>
      </c>
      <c r="D610" t="s">
        <v>32</v>
      </c>
      <c r="E610" s="4">
        <v>36258867</v>
      </c>
      <c r="F610">
        <v>42.19</v>
      </c>
      <c r="G610">
        <v>5.13</v>
      </c>
      <c r="H610">
        <v>307.60000000000002</v>
      </c>
      <c r="I610">
        <v>12.15</v>
      </c>
      <c r="J610" s="5">
        <v>46060</v>
      </c>
      <c r="K610">
        <f t="shared" si="9"/>
        <v>34.979999999999997</v>
      </c>
      <c r="L610" t="str" cm="1">
        <f t="array" ref="L610">_xlfn.IFS(E610&gt;=52000000,"Platinum",E610&gt;=37000000,"Gold",E610&gt;=30000000,"Sliver",E610&lt;30000000,"Bronze")</f>
        <v>Sliver</v>
      </c>
    </row>
    <row r="611" spans="1:12" x14ac:dyDescent="0.25">
      <c r="A611">
        <v>610</v>
      </c>
      <c r="B611" t="s">
        <v>631</v>
      </c>
      <c r="C611" t="s">
        <v>29</v>
      </c>
      <c r="D611" t="s">
        <v>17</v>
      </c>
      <c r="E611" s="4">
        <v>48125933</v>
      </c>
      <c r="F611">
        <v>51.6</v>
      </c>
      <c r="G611">
        <v>3.53</v>
      </c>
      <c r="H611">
        <v>212.06</v>
      </c>
      <c r="I611">
        <v>6.85</v>
      </c>
      <c r="J611" s="5">
        <v>46060</v>
      </c>
      <c r="K611">
        <f t="shared" si="9"/>
        <v>27.63</v>
      </c>
      <c r="L611" t="str" cm="1">
        <f t="array" ref="L611">_xlfn.IFS(E611&gt;=52000000,"Platinum",E611&gt;=37000000,"Gold",E611&gt;=30000000,"Sliver",E611&lt;30000000,"Bronze")</f>
        <v>Gold</v>
      </c>
    </row>
    <row r="612" spans="1:12" x14ac:dyDescent="0.25">
      <c r="A612">
        <v>611</v>
      </c>
      <c r="B612" t="s">
        <v>632</v>
      </c>
      <c r="C612" t="s">
        <v>21</v>
      </c>
      <c r="D612" t="s">
        <v>32</v>
      </c>
      <c r="E612" s="4">
        <v>36802708</v>
      </c>
      <c r="F612" s="1">
        <f>CALCULATION!$C$11</f>
        <v>42.81</v>
      </c>
      <c r="G612" s="1">
        <v>2.08</v>
      </c>
      <c r="H612">
        <v>124.65</v>
      </c>
      <c r="I612">
        <v>5.77</v>
      </c>
      <c r="J612" s="5">
        <v>46060</v>
      </c>
      <c r="K612">
        <f t="shared" si="9"/>
        <v>31.48</v>
      </c>
      <c r="L612" t="str" cm="1">
        <f t="array" ref="L612">_xlfn.IFS(E612&gt;=52000000,"Platinum",E612&gt;=37000000,"Gold",E612&gt;=30000000,"Sliver",E612&lt;30000000,"Bronze")</f>
        <v>Sliver</v>
      </c>
    </row>
    <row r="613" spans="1:12" x14ac:dyDescent="0.25">
      <c r="A613">
        <v>612</v>
      </c>
      <c r="B613" t="s">
        <v>633</v>
      </c>
      <c r="C613" t="s">
        <v>10</v>
      </c>
      <c r="D613" t="s">
        <v>13</v>
      </c>
      <c r="E613" s="4">
        <v>34544524</v>
      </c>
      <c r="F613">
        <v>35.81</v>
      </c>
      <c r="G613">
        <v>3.36</v>
      </c>
      <c r="H613">
        <v>201.47</v>
      </c>
      <c r="I613">
        <v>9.3800000000000008</v>
      </c>
      <c r="J613" s="5">
        <v>46060</v>
      </c>
      <c r="K613">
        <f t="shared" si="9"/>
        <v>36.79</v>
      </c>
      <c r="L613" t="str" cm="1">
        <f t="array" ref="L613">_xlfn.IFS(E613&gt;=52000000,"Platinum",E613&gt;=37000000,"Gold",E613&gt;=30000000,"Sliver",E613&lt;30000000,"Bronze")</f>
        <v>Sliver</v>
      </c>
    </row>
    <row r="614" spans="1:12" x14ac:dyDescent="0.25">
      <c r="A614">
        <v>613</v>
      </c>
      <c r="B614" t="s">
        <v>634</v>
      </c>
      <c r="C614" t="s">
        <v>10</v>
      </c>
      <c r="D614" t="s">
        <v>32</v>
      </c>
      <c r="E614" s="4">
        <v>38725370</v>
      </c>
      <c r="F614">
        <v>53.95</v>
      </c>
      <c r="G614">
        <v>2.2599999999999998</v>
      </c>
      <c r="H614">
        <v>135.5</v>
      </c>
      <c r="I614">
        <v>4.1900000000000004</v>
      </c>
      <c r="J614" s="5">
        <v>46060</v>
      </c>
      <c r="K614">
        <f t="shared" si="9"/>
        <v>25.12</v>
      </c>
      <c r="L614" t="str" cm="1">
        <f t="array" ref="L614">_xlfn.IFS(E614&gt;=52000000,"Platinum",E614&gt;=37000000,"Gold",E614&gt;=30000000,"Sliver",E614&lt;30000000,"Bronze")</f>
        <v>Gold</v>
      </c>
    </row>
    <row r="615" spans="1:12" x14ac:dyDescent="0.25">
      <c r="A615">
        <v>614</v>
      </c>
      <c r="B615" t="s">
        <v>635</v>
      </c>
      <c r="C615" t="s">
        <v>27</v>
      </c>
      <c r="D615" t="s">
        <v>17</v>
      </c>
      <c r="E615" s="4">
        <v>32461418</v>
      </c>
      <c r="F615">
        <v>21.29</v>
      </c>
      <c r="G615">
        <v>11.61</v>
      </c>
      <c r="H615">
        <v>696.68</v>
      </c>
      <c r="I615">
        <v>54.54</v>
      </c>
      <c r="J615" s="5">
        <v>46060</v>
      </c>
      <c r="K615">
        <f t="shared" si="9"/>
        <v>66.63</v>
      </c>
      <c r="L615" t="str" cm="1">
        <f t="array" ref="L615">_xlfn.IFS(E615&gt;=52000000,"Platinum",E615&gt;=37000000,"Gold",E615&gt;=30000000,"Sliver",E615&lt;30000000,"Bronze")</f>
        <v>Sliver</v>
      </c>
    </row>
    <row r="616" spans="1:12" x14ac:dyDescent="0.25">
      <c r="A616">
        <v>615</v>
      </c>
      <c r="B616" t="s">
        <v>636</v>
      </c>
      <c r="C616" t="s">
        <v>10</v>
      </c>
      <c r="D616" t="s">
        <v>11</v>
      </c>
      <c r="E616" s="4">
        <v>40874855</v>
      </c>
      <c r="F616">
        <v>36.729999999999997</v>
      </c>
      <c r="G616">
        <v>8.1300000000000008</v>
      </c>
      <c r="H616">
        <v>487.77</v>
      </c>
      <c r="I616">
        <v>22.13</v>
      </c>
      <c r="J616" s="5">
        <v>46060</v>
      </c>
      <c r="K616">
        <f t="shared" si="9"/>
        <v>42.7</v>
      </c>
      <c r="L616" t="str" cm="1">
        <f t="array" ref="L616">_xlfn.IFS(E616&gt;=52000000,"Platinum",E616&gt;=37000000,"Gold",E616&gt;=30000000,"Sliver",E616&lt;30000000,"Bronze")</f>
        <v>Gold</v>
      </c>
    </row>
    <row r="617" spans="1:12" x14ac:dyDescent="0.25">
      <c r="A617">
        <v>616</v>
      </c>
      <c r="B617" t="s">
        <v>637</v>
      </c>
      <c r="C617" t="s">
        <v>46</v>
      </c>
      <c r="D617" t="s">
        <v>17</v>
      </c>
      <c r="E617" s="4">
        <v>39945011</v>
      </c>
      <c r="F617">
        <v>51.51</v>
      </c>
      <c r="G617">
        <v>5.0999999999999996</v>
      </c>
      <c r="H617">
        <v>305.99</v>
      </c>
      <c r="I617">
        <v>9.9</v>
      </c>
      <c r="J617" s="5">
        <v>46060</v>
      </c>
      <c r="K617">
        <f t="shared" si="9"/>
        <v>29.2</v>
      </c>
      <c r="L617" t="str" cm="1">
        <f t="array" ref="L617">_xlfn.IFS(E617&gt;=52000000,"Platinum",E617&gt;=37000000,"Gold",E617&gt;=30000000,"Sliver",E617&lt;30000000,"Bronze")</f>
        <v>Gold</v>
      </c>
    </row>
    <row r="618" spans="1:12" x14ac:dyDescent="0.25">
      <c r="A618">
        <v>617</v>
      </c>
      <c r="B618" t="s">
        <v>638</v>
      </c>
      <c r="C618" t="s">
        <v>21</v>
      </c>
      <c r="D618" t="s">
        <v>17</v>
      </c>
      <c r="E618" s="4">
        <v>37937905</v>
      </c>
      <c r="F618">
        <v>37.49</v>
      </c>
      <c r="G618">
        <v>2.75</v>
      </c>
      <c r="H618">
        <v>164.94</v>
      </c>
      <c r="I618">
        <v>7.33</v>
      </c>
      <c r="J618" s="5">
        <v>46060</v>
      </c>
      <c r="K618">
        <f t="shared" si="9"/>
        <v>34.92</v>
      </c>
      <c r="L618" t="str" cm="1">
        <f t="array" ref="L618">_xlfn.IFS(E618&gt;=52000000,"Platinum",E618&gt;=37000000,"Gold",E618&gt;=30000000,"Sliver",E618&lt;30000000,"Bronze")</f>
        <v>Gold</v>
      </c>
    </row>
    <row r="619" spans="1:12" x14ac:dyDescent="0.25">
      <c r="A619">
        <v>618</v>
      </c>
      <c r="B619" t="s">
        <v>639</v>
      </c>
      <c r="C619" t="s">
        <v>27</v>
      </c>
      <c r="D619" t="s">
        <v>17</v>
      </c>
      <c r="E619" s="4">
        <v>37821976</v>
      </c>
      <c r="F619">
        <v>27.09</v>
      </c>
      <c r="G619">
        <v>15.24</v>
      </c>
      <c r="H619">
        <v>914.23</v>
      </c>
      <c r="I619">
        <v>56.25</v>
      </c>
      <c r="J619" s="5">
        <v>46060</v>
      </c>
      <c r="K619">
        <f t="shared" si="9"/>
        <v>64.58</v>
      </c>
      <c r="L619" t="str" cm="1">
        <f t="array" ref="L619">_xlfn.IFS(E619&gt;=52000000,"Platinum",E619&gt;=37000000,"Gold",E619&gt;=30000000,"Sliver",E619&lt;30000000,"Bronze")</f>
        <v>Gold</v>
      </c>
    </row>
    <row r="620" spans="1:12" x14ac:dyDescent="0.25">
      <c r="A620">
        <v>619</v>
      </c>
      <c r="B620" t="s">
        <v>640</v>
      </c>
      <c r="C620" t="s">
        <v>46</v>
      </c>
      <c r="D620" t="s">
        <v>32</v>
      </c>
      <c r="E620" s="4">
        <v>39218411</v>
      </c>
      <c r="F620">
        <v>42.02</v>
      </c>
      <c r="G620">
        <v>3.09</v>
      </c>
      <c r="H620">
        <v>185.49</v>
      </c>
      <c r="I620">
        <v>7.36</v>
      </c>
      <c r="J620" s="5">
        <v>46060</v>
      </c>
      <c r="K620">
        <f t="shared" si="9"/>
        <v>32.67</v>
      </c>
      <c r="L620" t="str" cm="1">
        <f t="array" ref="L620">_xlfn.IFS(E620&gt;=52000000,"Platinum",E620&gt;=37000000,"Gold",E620&gt;=30000000,"Sliver",E620&lt;30000000,"Bronze")</f>
        <v>Gold</v>
      </c>
    </row>
    <row r="621" spans="1:12" x14ac:dyDescent="0.25">
      <c r="A621">
        <v>620</v>
      </c>
      <c r="B621" t="s">
        <v>641</v>
      </c>
      <c r="C621" t="s">
        <v>10</v>
      </c>
      <c r="D621" t="s">
        <v>25</v>
      </c>
      <c r="E621" s="4">
        <v>41411251</v>
      </c>
      <c r="F621">
        <v>31.78</v>
      </c>
      <c r="G621">
        <v>3.11</v>
      </c>
      <c r="H621">
        <v>186.71</v>
      </c>
      <c r="I621">
        <v>9.7899999999999991</v>
      </c>
      <c r="J621" s="5">
        <v>46060</v>
      </c>
      <c r="K621">
        <f t="shared" si="9"/>
        <v>39.01</v>
      </c>
      <c r="L621" t="str" cm="1">
        <f t="array" ref="L621">_xlfn.IFS(E621&gt;=52000000,"Platinum",E621&gt;=37000000,"Gold",E621&gt;=30000000,"Sliver",E621&lt;30000000,"Bronze")</f>
        <v>Gold</v>
      </c>
    </row>
    <row r="622" spans="1:12" x14ac:dyDescent="0.25">
      <c r="A622">
        <v>621</v>
      </c>
      <c r="B622" t="s">
        <v>642</v>
      </c>
      <c r="C622" t="s">
        <v>29</v>
      </c>
      <c r="D622" t="s">
        <v>32</v>
      </c>
      <c r="E622" s="4">
        <v>39022522</v>
      </c>
      <c r="F622">
        <v>54.01</v>
      </c>
      <c r="G622">
        <v>2.91</v>
      </c>
      <c r="H622">
        <v>174.39</v>
      </c>
      <c r="I622">
        <v>5.38</v>
      </c>
      <c r="J622" s="5">
        <v>46060</v>
      </c>
      <c r="K622">
        <f t="shared" si="9"/>
        <v>25.69</v>
      </c>
      <c r="L622" t="str" cm="1">
        <f t="array" ref="L622">_xlfn.IFS(E622&gt;=52000000,"Platinum",E622&gt;=37000000,"Gold",E622&gt;=30000000,"Sliver",E622&lt;30000000,"Bronze")</f>
        <v>Gold</v>
      </c>
    </row>
    <row r="623" spans="1:12" x14ac:dyDescent="0.25">
      <c r="A623">
        <v>622</v>
      </c>
      <c r="B623" t="s">
        <v>643</v>
      </c>
      <c r="C623" t="s">
        <v>10</v>
      </c>
      <c r="D623" t="s">
        <v>17</v>
      </c>
      <c r="E623" s="4">
        <v>40886419</v>
      </c>
      <c r="F623" s="1">
        <f>CALCULATION!$C$11</f>
        <v>42.81</v>
      </c>
      <c r="G623" s="1">
        <v>9.99</v>
      </c>
      <c r="H623">
        <v>599.15</v>
      </c>
      <c r="I623">
        <v>17.100000000000001</v>
      </c>
      <c r="J623" s="5">
        <v>46060</v>
      </c>
      <c r="K623">
        <f t="shared" si="9"/>
        <v>37.15</v>
      </c>
      <c r="L623" t="str" cm="1">
        <f t="array" ref="L623">_xlfn.IFS(E623&gt;=52000000,"Platinum",E623&gt;=37000000,"Gold",E623&gt;=30000000,"Sliver",E623&lt;30000000,"Bronze")</f>
        <v>Gold</v>
      </c>
    </row>
    <row r="624" spans="1:12" x14ac:dyDescent="0.25">
      <c r="A624">
        <v>623</v>
      </c>
      <c r="B624" t="s">
        <v>644</v>
      </c>
      <c r="C624" t="s">
        <v>29</v>
      </c>
      <c r="D624" t="s">
        <v>17</v>
      </c>
      <c r="E624" s="4">
        <v>33020881</v>
      </c>
      <c r="F624">
        <v>35.369999999999997</v>
      </c>
      <c r="G624">
        <v>8.98</v>
      </c>
      <c r="H624">
        <v>538.79</v>
      </c>
      <c r="I624">
        <v>25.39</v>
      </c>
      <c r="J624" s="5">
        <v>46060</v>
      </c>
      <c r="K624">
        <f t="shared" si="9"/>
        <v>45.01</v>
      </c>
      <c r="L624" t="str" cm="1">
        <f t="array" ref="L624">_xlfn.IFS(E624&gt;=52000000,"Platinum",E624&gt;=37000000,"Gold",E624&gt;=30000000,"Sliver",E624&lt;30000000,"Bronze")</f>
        <v>Sliver</v>
      </c>
    </row>
    <row r="625" spans="1:12" x14ac:dyDescent="0.25">
      <c r="A625">
        <v>624</v>
      </c>
      <c r="B625" t="s">
        <v>645</v>
      </c>
      <c r="C625" t="s">
        <v>21</v>
      </c>
      <c r="D625" t="s">
        <v>22</v>
      </c>
      <c r="E625" s="4">
        <v>35248042</v>
      </c>
      <c r="F625">
        <v>36.28</v>
      </c>
      <c r="G625">
        <v>1.37</v>
      </c>
      <c r="H625">
        <v>82.48</v>
      </c>
      <c r="I625">
        <v>3.79</v>
      </c>
      <c r="J625" s="5">
        <v>46060</v>
      </c>
      <c r="K625">
        <f t="shared" si="9"/>
        <v>33.76</v>
      </c>
      <c r="L625" t="str" cm="1">
        <f t="array" ref="L625">_xlfn.IFS(E625&gt;=52000000,"Platinum",E625&gt;=37000000,"Gold",E625&gt;=30000000,"Sliver",E625&lt;30000000,"Bronze")</f>
        <v>Sliver</v>
      </c>
    </row>
    <row r="626" spans="1:12" x14ac:dyDescent="0.25">
      <c r="A626">
        <v>625</v>
      </c>
      <c r="B626" t="s">
        <v>646</v>
      </c>
      <c r="C626" t="s">
        <v>46</v>
      </c>
      <c r="D626" t="s">
        <v>32</v>
      </c>
      <c r="E626" s="4">
        <v>40263533</v>
      </c>
      <c r="F626">
        <v>48.12</v>
      </c>
      <c r="G626">
        <v>7.93</v>
      </c>
      <c r="H626">
        <v>475.54</v>
      </c>
      <c r="I626">
        <v>16.47</v>
      </c>
      <c r="J626" s="5">
        <v>46060</v>
      </c>
      <c r="K626">
        <f t="shared" si="9"/>
        <v>34.18</v>
      </c>
      <c r="L626" t="str" cm="1">
        <f t="array" ref="L626">_xlfn.IFS(E626&gt;=52000000,"Platinum",E626&gt;=37000000,"Gold",E626&gt;=30000000,"Sliver",E626&lt;30000000,"Bronze")</f>
        <v>Gold</v>
      </c>
    </row>
    <row r="627" spans="1:12" x14ac:dyDescent="0.25">
      <c r="A627">
        <v>626</v>
      </c>
      <c r="B627" t="s">
        <v>647</v>
      </c>
      <c r="C627" t="s">
        <v>46</v>
      </c>
      <c r="D627" t="s">
        <v>13</v>
      </c>
      <c r="E627" s="4">
        <v>43283707</v>
      </c>
      <c r="F627">
        <v>36.89</v>
      </c>
      <c r="G627">
        <v>4.32</v>
      </c>
      <c r="H627">
        <v>259.3</v>
      </c>
      <c r="I627">
        <v>11.72</v>
      </c>
      <c r="J627" s="5">
        <v>46060</v>
      </c>
      <c r="K627">
        <f t="shared" si="9"/>
        <v>37.42</v>
      </c>
      <c r="L627" t="str" cm="1">
        <f t="array" ref="L627">_xlfn.IFS(E627&gt;=52000000,"Platinum",E627&gt;=37000000,"Gold",E627&gt;=30000000,"Sliver",E627&lt;30000000,"Bronze")</f>
        <v>Gold</v>
      </c>
    </row>
    <row r="628" spans="1:12" x14ac:dyDescent="0.25">
      <c r="A628">
        <v>627</v>
      </c>
      <c r="B628" t="s">
        <v>648</v>
      </c>
      <c r="C628" t="s">
        <v>46</v>
      </c>
      <c r="D628" s="1" t="s">
        <v>32</v>
      </c>
      <c r="E628" s="4">
        <v>35924195</v>
      </c>
      <c r="F628">
        <v>45.88</v>
      </c>
      <c r="G628">
        <v>8.77</v>
      </c>
      <c r="H628">
        <v>525.94000000000005</v>
      </c>
      <c r="I628">
        <v>19.11</v>
      </c>
      <c r="J628" s="5">
        <v>46060</v>
      </c>
      <c r="K628">
        <f t="shared" si="9"/>
        <v>36.619999999999997</v>
      </c>
      <c r="L628" t="str" cm="1">
        <f t="array" ref="L628">_xlfn.IFS(E628&gt;=52000000,"Platinum",E628&gt;=37000000,"Gold",E628&gt;=30000000,"Sliver",E628&lt;30000000,"Bronze")</f>
        <v>Sliver</v>
      </c>
    </row>
    <row r="629" spans="1:12" x14ac:dyDescent="0.25">
      <c r="A629">
        <v>628</v>
      </c>
      <c r="B629" t="s">
        <v>649</v>
      </c>
      <c r="C629" t="s">
        <v>16</v>
      </c>
      <c r="D629" t="s">
        <v>13</v>
      </c>
      <c r="E629" s="4">
        <v>36928006</v>
      </c>
      <c r="F629">
        <v>39.56</v>
      </c>
      <c r="G629">
        <v>3</v>
      </c>
      <c r="H629">
        <v>180.18</v>
      </c>
      <c r="I629">
        <v>7.59</v>
      </c>
      <c r="J629" s="5">
        <v>46060</v>
      </c>
      <c r="K629">
        <f t="shared" si="9"/>
        <v>34.020000000000003</v>
      </c>
      <c r="L629" t="str" cm="1">
        <f t="array" ref="L629">_xlfn.IFS(E629&gt;=52000000,"Platinum",E629&gt;=37000000,"Gold",E629&gt;=30000000,"Sliver",E629&lt;30000000,"Bronze")</f>
        <v>Sliver</v>
      </c>
    </row>
    <row r="630" spans="1:12" x14ac:dyDescent="0.25">
      <c r="A630">
        <v>629</v>
      </c>
      <c r="B630" t="s">
        <v>650</v>
      </c>
      <c r="C630" t="s">
        <v>19</v>
      </c>
      <c r="D630" t="s">
        <v>11</v>
      </c>
      <c r="E630" s="4">
        <v>34754867</v>
      </c>
      <c r="F630">
        <v>46.72</v>
      </c>
      <c r="G630">
        <v>2.17</v>
      </c>
      <c r="H630">
        <v>130.44999999999999</v>
      </c>
      <c r="I630">
        <v>4.6500000000000004</v>
      </c>
      <c r="J630" s="5">
        <v>46060</v>
      </c>
      <c r="K630">
        <f t="shared" si="9"/>
        <v>28.97</v>
      </c>
      <c r="L630" t="str" cm="1">
        <f t="array" ref="L630">_xlfn.IFS(E630&gt;=52000000,"Platinum",E630&gt;=37000000,"Gold",E630&gt;=30000000,"Sliver",E630&lt;30000000,"Bronze")</f>
        <v>Sliver</v>
      </c>
    </row>
    <row r="631" spans="1:12" x14ac:dyDescent="0.25">
      <c r="A631">
        <v>630</v>
      </c>
      <c r="B631" t="s">
        <v>651</v>
      </c>
      <c r="C631" t="s">
        <v>16</v>
      </c>
      <c r="D631" t="s">
        <v>32</v>
      </c>
      <c r="E631" s="4">
        <v>45808737</v>
      </c>
      <c r="F631">
        <v>31.47</v>
      </c>
      <c r="G631">
        <v>2.29</v>
      </c>
      <c r="H631">
        <v>137.12</v>
      </c>
      <c r="I631">
        <v>7.26</v>
      </c>
      <c r="J631" s="5">
        <v>46060</v>
      </c>
      <c r="K631">
        <f t="shared" si="9"/>
        <v>37.9</v>
      </c>
      <c r="L631" t="str" cm="1">
        <f t="array" ref="L631">_xlfn.IFS(E631&gt;=52000000,"Platinum",E631&gt;=37000000,"Gold",E631&gt;=30000000,"Sliver",E631&lt;30000000,"Bronze")</f>
        <v>Gold</v>
      </c>
    </row>
    <row r="632" spans="1:12" x14ac:dyDescent="0.25">
      <c r="A632">
        <v>631</v>
      </c>
      <c r="B632" t="s">
        <v>652</v>
      </c>
      <c r="C632" t="s">
        <v>21</v>
      </c>
      <c r="D632" t="s">
        <v>25</v>
      </c>
      <c r="E632" s="4">
        <v>40865606</v>
      </c>
      <c r="F632">
        <v>36.869999999999997</v>
      </c>
      <c r="G632">
        <v>1.44</v>
      </c>
      <c r="H632">
        <v>86.42</v>
      </c>
      <c r="I632">
        <v>3.91</v>
      </c>
      <c r="J632" s="5">
        <v>46060</v>
      </c>
      <c r="K632">
        <f t="shared" si="9"/>
        <v>33.520000000000003</v>
      </c>
      <c r="L632" t="str" cm="1">
        <f t="array" ref="L632">_xlfn.IFS(E632&gt;=52000000,"Platinum",E632&gt;=37000000,"Gold",E632&gt;=30000000,"Sliver",E632&lt;30000000,"Bronze")</f>
        <v>Gold</v>
      </c>
    </row>
    <row r="633" spans="1:12" x14ac:dyDescent="0.25">
      <c r="A633">
        <v>632</v>
      </c>
      <c r="B633" t="s">
        <v>653</v>
      </c>
      <c r="C633" t="s">
        <v>16</v>
      </c>
      <c r="D633" t="s">
        <v>22</v>
      </c>
      <c r="E633" s="4">
        <v>41405297</v>
      </c>
      <c r="F633">
        <v>33.5</v>
      </c>
      <c r="G633">
        <v>5.41</v>
      </c>
      <c r="H633">
        <v>324.79000000000002</v>
      </c>
      <c r="I633">
        <v>16.16</v>
      </c>
      <c r="J633" s="5">
        <v>46060</v>
      </c>
      <c r="K633">
        <f t="shared" si="9"/>
        <v>41.33</v>
      </c>
      <c r="L633" t="str" cm="1">
        <f t="array" ref="L633">_xlfn.IFS(E633&gt;=52000000,"Platinum",E633&gt;=37000000,"Gold",E633&gt;=30000000,"Sliver",E633&lt;30000000,"Bronze")</f>
        <v>Gold</v>
      </c>
    </row>
    <row r="634" spans="1:12" x14ac:dyDescent="0.25">
      <c r="A634">
        <v>633</v>
      </c>
      <c r="B634" t="s">
        <v>654</v>
      </c>
      <c r="C634" t="s">
        <v>29</v>
      </c>
      <c r="D634" t="s">
        <v>13</v>
      </c>
      <c r="E634" s="4">
        <v>45265333</v>
      </c>
      <c r="F634">
        <v>40.15</v>
      </c>
      <c r="G634">
        <v>7.5</v>
      </c>
      <c r="H634">
        <v>450.24</v>
      </c>
      <c r="I634">
        <v>18.690000000000001</v>
      </c>
      <c r="J634" s="5">
        <v>46060</v>
      </c>
      <c r="K634">
        <f t="shared" si="9"/>
        <v>39.270000000000003</v>
      </c>
      <c r="L634" t="str" cm="1">
        <f t="array" ref="L634">_xlfn.IFS(E634&gt;=52000000,"Platinum",E634&gt;=37000000,"Gold",E634&gt;=30000000,"Sliver",E634&lt;30000000,"Bronze")</f>
        <v>Gold</v>
      </c>
    </row>
    <row r="635" spans="1:12" x14ac:dyDescent="0.25">
      <c r="A635">
        <v>634</v>
      </c>
      <c r="B635" t="s">
        <v>655</v>
      </c>
      <c r="C635" t="s">
        <v>21</v>
      </c>
      <c r="D635" t="s">
        <v>25</v>
      </c>
      <c r="E635" s="4">
        <v>38961936</v>
      </c>
      <c r="F635">
        <v>47.44</v>
      </c>
      <c r="G635">
        <v>2.41</v>
      </c>
      <c r="H635">
        <v>144.61000000000001</v>
      </c>
      <c r="I635">
        <v>5.08</v>
      </c>
      <c r="J635" s="5">
        <v>46060</v>
      </c>
      <c r="K635">
        <f t="shared" si="9"/>
        <v>28.82</v>
      </c>
      <c r="L635" t="str" cm="1">
        <f t="array" ref="L635">_xlfn.IFS(E635&gt;=52000000,"Platinum",E635&gt;=37000000,"Gold",E635&gt;=30000000,"Sliver",E635&lt;30000000,"Bronze")</f>
        <v>Gold</v>
      </c>
    </row>
    <row r="636" spans="1:12" x14ac:dyDescent="0.25">
      <c r="A636">
        <v>635</v>
      </c>
      <c r="B636" t="s">
        <v>656</v>
      </c>
      <c r="C636" t="s">
        <v>29</v>
      </c>
      <c r="D636" t="s">
        <v>32</v>
      </c>
      <c r="E636" s="4">
        <v>40931826</v>
      </c>
      <c r="F636">
        <v>54.17</v>
      </c>
      <c r="G636">
        <v>8.7799999999999994</v>
      </c>
      <c r="H636">
        <v>526.63</v>
      </c>
      <c r="I636">
        <v>16.2</v>
      </c>
      <c r="J636" s="5">
        <v>46060</v>
      </c>
      <c r="K636">
        <f t="shared" si="9"/>
        <v>31.02</v>
      </c>
      <c r="L636" t="str" cm="1">
        <f t="array" ref="L636">_xlfn.IFS(E636&gt;=52000000,"Platinum",E636&gt;=37000000,"Gold",E636&gt;=30000000,"Sliver",E636&lt;30000000,"Bronze")</f>
        <v>Gold</v>
      </c>
    </row>
    <row r="637" spans="1:12" x14ac:dyDescent="0.25">
      <c r="A637">
        <v>636</v>
      </c>
      <c r="B637" t="s">
        <v>657</v>
      </c>
      <c r="C637" t="s">
        <v>46</v>
      </c>
      <c r="D637" t="s">
        <v>13</v>
      </c>
      <c r="E637" s="4">
        <v>43911751</v>
      </c>
      <c r="F637">
        <v>51.92</v>
      </c>
      <c r="G637">
        <v>8.43</v>
      </c>
      <c r="H637">
        <v>506.03</v>
      </c>
      <c r="I637">
        <v>16.239999999999998</v>
      </c>
      <c r="J637" s="5">
        <v>46060</v>
      </c>
      <c r="K637">
        <f t="shared" si="9"/>
        <v>32.159999999999997</v>
      </c>
      <c r="L637" t="str" cm="1">
        <f t="array" ref="L637">_xlfn.IFS(E637&gt;=52000000,"Platinum",E637&gt;=37000000,"Gold",E637&gt;=30000000,"Sliver",E637&lt;30000000,"Bronze")</f>
        <v>Gold</v>
      </c>
    </row>
    <row r="638" spans="1:12" x14ac:dyDescent="0.25">
      <c r="A638">
        <v>637</v>
      </c>
      <c r="B638" t="s">
        <v>658</v>
      </c>
      <c r="C638" t="s">
        <v>10</v>
      </c>
      <c r="D638" t="s">
        <v>22</v>
      </c>
      <c r="E638" s="4">
        <v>31958755</v>
      </c>
      <c r="F638" s="1">
        <f>CALCULATION!$C$11</f>
        <v>42.81</v>
      </c>
      <c r="G638" s="1">
        <v>7.89</v>
      </c>
      <c r="H638">
        <v>473.23</v>
      </c>
      <c r="I638">
        <v>14.73</v>
      </c>
      <c r="J638" s="5">
        <v>46060</v>
      </c>
      <c r="K638">
        <f t="shared" si="9"/>
        <v>35.96</v>
      </c>
      <c r="L638" t="str" cm="1">
        <f t="array" ref="L638">_xlfn.IFS(E638&gt;=52000000,"Platinum",E638&gt;=37000000,"Gold",E638&gt;=30000000,"Sliver",E638&lt;30000000,"Bronze")</f>
        <v>Sliver</v>
      </c>
    </row>
    <row r="639" spans="1:12" x14ac:dyDescent="0.25">
      <c r="A639">
        <v>638</v>
      </c>
      <c r="B639" t="s">
        <v>659</v>
      </c>
      <c r="C639" t="s">
        <v>19</v>
      </c>
      <c r="D639" t="s">
        <v>13</v>
      </c>
      <c r="E639" s="4">
        <v>37852927</v>
      </c>
      <c r="F639">
        <v>36.44</v>
      </c>
      <c r="G639">
        <v>9.4</v>
      </c>
      <c r="H639">
        <v>563.79</v>
      </c>
      <c r="I639">
        <v>25.79</v>
      </c>
      <c r="J639" s="5">
        <v>46060</v>
      </c>
      <c r="K639">
        <f t="shared" si="9"/>
        <v>44.68</v>
      </c>
      <c r="L639" t="str" cm="1">
        <f t="array" ref="L639">_xlfn.IFS(E639&gt;=52000000,"Platinum",E639&gt;=37000000,"Gold",E639&gt;=30000000,"Sliver",E639&lt;30000000,"Bronze")</f>
        <v>Gold</v>
      </c>
    </row>
    <row r="640" spans="1:12" x14ac:dyDescent="0.25">
      <c r="A640">
        <v>639</v>
      </c>
      <c r="B640" t="s">
        <v>660</v>
      </c>
      <c r="C640" t="s">
        <v>46</v>
      </c>
      <c r="D640" t="s">
        <v>11</v>
      </c>
      <c r="E640" s="4">
        <v>41501227</v>
      </c>
      <c r="F640">
        <v>32.74</v>
      </c>
      <c r="G640">
        <v>3.92</v>
      </c>
      <c r="H640">
        <v>235.22</v>
      </c>
      <c r="I640">
        <v>11.97</v>
      </c>
      <c r="J640" s="5">
        <v>46060</v>
      </c>
      <c r="K640">
        <f t="shared" si="9"/>
        <v>39.619999999999997</v>
      </c>
      <c r="L640" t="str" cm="1">
        <f t="array" ref="L640">_xlfn.IFS(E640&gt;=52000000,"Platinum",E640&gt;=37000000,"Gold",E640&gt;=30000000,"Sliver",E640&lt;30000000,"Bronze")</f>
        <v>Gold</v>
      </c>
    </row>
    <row r="641" spans="1:12" x14ac:dyDescent="0.25">
      <c r="A641">
        <v>640</v>
      </c>
      <c r="B641" t="s">
        <v>661</v>
      </c>
      <c r="C641" t="s">
        <v>21</v>
      </c>
      <c r="D641" t="s">
        <v>32</v>
      </c>
      <c r="E641" s="4">
        <v>35985098</v>
      </c>
      <c r="F641">
        <v>43.96</v>
      </c>
      <c r="G641">
        <v>1.79</v>
      </c>
      <c r="H641">
        <v>107.52</v>
      </c>
      <c r="I641">
        <v>4.08</v>
      </c>
      <c r="J641" s="5">
        <v>46060</v>
      </c>
      <c r="K641">
        <f t="shared" si="9"/>
        <v>30.06</v>
      </c>
      <c r="L641" t="str" cm="1">
        <f t="array" ref="L641">_xlfn.IFS(E641&gt;=52000000,"Platinum",E641&gt;=37000000,"Gold",E641&gt;=30000000,"Sliver",E641&lt;30000000,"Bronze")</f>
        <v>Sliver</v>
      </c>
    </row>
    <row r="642" spans="1:12" x14ac:dyDescent="0.25">
      <c r="A642">
        <v>641</v>
      </c>
      <c r="B642" t="s">
        <v>662</v>
      </c>
      <c r="C642" t="s">
        <v>27</v>
      </c>
      <c r="D642" t="s">
        <v>32</v>
      </c>
      <c r="E642" s="4">
        <v>46339804</v>
      </c>
      <c r="F642">
        <v>25.08</v>
      </c>
      <c r="G642">
        <v>5.72</v>
      </c>
      <c r="H642" s="1">
        <f>CALCULATION!$D$11</f>
        <v>343.315</v>
      </c>
      <c r="I642">
        <v>110.31</v>
      </c>
      <c r="J642" s="5">
        <v>46060</v>
      </c>
      <c r="K642">
        <f t="shared" si="9"/>
        <v>92.62</v>
      </c>
      <c r="L642" t="str" cm="1">
        <f t="array" ref="L642">_xlfn.IFS(E642&gt;=52000000,"Platinum",E642&gt;=37000000,"Gold",E642&gt;=30000000,"Sliver",E642&lt;30000000,"Bronze")</f>
        <v>Gold</v>
      </c>
    </row>
    <row r="643" spans="1:12" x14ac:dyDescent="0.25">
      <c r="A643">
        <v>642</v>
      </c>
      <c r="B643" t="s">
        <v>663</v>
      </c>
      <c r="C643" t="s">
        <v>46</v>
      </c>
      <c r="D643" t="s">
        <v>25</v>
      </c>
      <c r="E643" s="4">
        <v>32717584</v>
      </c>
      <c r="F643">
        <v>49.9</v>
      </c>
      <c r="G643">
        <v>9.74</v>
      </c>
      <c r="H643">
        <v>584.49</v>
      </c>
      <c r="I643">
        <v>19.52</v>
      </c>
      <c r="J643" s="5">
        <v>46060</v>
      </c>
      <c r="K643">
        <f t="shared" ref="K643:K706" si="10">ROUND((100-F643)*0.5 + I643*0.5,2)</f>
        <v>34.81</v>
      </c>
      <c r="L643" t="str" cm="1">
        <f t="array" ref="L643">_xlfn.IFS(E643&gt;=52000000,"Platinum",E643&gt;=37000000,"Gold",E643&gt;=30000000,"Sliver",E643&lt;30000000,"Bronze")</f>
        <v>Sliver</v>
      </c>
    </row>
    <row r="644" spans="1:12" x14ac:dyDescent="0.25">
      <c r="A644">
        <v>643</v>
      </c>
      <c r="B644" t="s">
        <v>664</v>
      </c>
      <c r="C644" t="s">
        <v>19</v>
      </c>
      <c r="D644" t="s">
        <v>11</v>
      </c>
      <c r="E644" s="4">
        <v>36344393</v>
      </c>
      <c r="F644">
        <v>58.19</v>
      </c>
      <c r="G644">
        <v>5.57</v>
      </c>
      <c r="H644">
        <v>334.37</v>
      </c>
      <c r="I644">
        <v>9.58</v>
      </c>
      <c r="J644" s="5">
        <v>46060</v>
      </c>
      <c r="K644">
        <f t="shared" si="10"/>
        <v>25.7</v>
      </c>
      <c r="L644" t="str" cm="1">
        <f t="array" ref="L644">_xlfn.IFS(E644&gt;=52000000,"Platinum",E644&gt;=37000000,"Gold",E644&gt;=30000000,"Sliver",E644&lt;30000000,"Bronze")</f>
        <v>Sliver</v>
      </c>
    </row>
    <row r="645" spans="1:12" x14ac:dyDescent="0.25">
      <c r="A645">
        <v>644</v>
      </c>
      <c r="B645" t="s">
        <v>665</v>
      </c>
      <c r="C645" t="s">
        <v>27</v>
      </c>
      <c r="D645" t="s">
        <v>11</v>
      </c>
      <c r="E645" s="4">
        <v>38613690</v>
      </c>
      <c r="F645">
        <v>25.15</v>
      </c>
      <c r="G645">
        <v>17.05</v>
      </c>
      <c r="H645">
        <v>1022.98</v>
      </c>
      <c r="I645">
        <v>67.790000000000006</v>
      </c>
      <c r="J645" s="5">
        <v>46060</v>
      </c>
      <c r="K645">
        <f t="shared" si="10"/>
        <v>71.319999999999993</v>
      </c>
      <c r="L645" t="str" cm="1">
        <f t="array" ref="L645">_xlfn.IFS(E645&gt;=52000000,"Platinum",E645&gt;=37000000,"Gold",E645&gt;=30000000,"Sliver",E645&lt;30000000,"Bronze")</f>
        <v>Gold</v>
      </c>
    </row>
    <row r="646" spans="1:12" x14ac:dyDescent="0.25">
      <c r="A646">
        <v>645</v>
      </c>
      <c r="B646" t="s">
        <v>666</v>
      </c>
      <c r="C646" t="s">
        <v>10</v>
      </c>
      <c r="D646" t="s">
        <v>25</v>
      </c>
      <c r="E646" s="4">
        <v>46148117</v>
      </c>
      <c r="F646">
        <v>58.16</v>
      </c>
      <c r="G646">
        <v>5.27</v>
      </c>
      <c r="H646">
        <v>316.43</v>
      </c>
      <c r="I646">
        <v>9.07</v>
      </c>
      <c r="J646" s="5">
        <v>46060</v>
      </c>
      <c r="K646">
        <f t="shared" si="10"/>
        <v>25.46</v>
      </c>
      <c r="L646" t="str" cm="1">
        <f t="array" ref="L646">_xlfn.IFS(E646&gt;=52000000,"Platinum",E646&gt;=37000000,"Gold",E646&gt;=30000000,"Sliver",E646&lt;30000000,"Bronze")</f>
        <v>Gold</v>
      </c>
    </row>
    <row r="647" spans="1:12" x14ac:dyDescent="0.25">
      <c r="A647">
        <v>646</v>
      </c>
      <c r="B647" t="s">
        <v>667</v>
      </c>
      <c r="C647" t="s">
        <v>16</v>
      </c>
      <c r="D647" s="1" t="s">
        <v>32</v>
      </c>
      <c r="E647" s="4">
        <v>35907454</v>
      </c>
      <c r="F647">
        <v>34.700000000000003</v>
      </c>
      <c r="G647">
        <v>2.15</v>
      </c>
      <c r="H647">
        <v>128.76</v>
      </c>
      <c r="I647">
        <v>6.18</v>
      </c>
      <c r="J647" s="5">
        <v>46060</v>
      </c>
      <c r="K647">
        <f t="shared" si="10"/>
        <v>35.74</v>
      </c>
      <c r="L647" t="str" cm="1">
        <f t="array" ref="L647">_xlfn.IFS(E647&gt;=52000000,"Platinum",E647&gt;=37000000,"Gold",E647&gt;=30000000,"Sliver",E647&lt;30000000,"Bronze")</f>
        <v>Sliver</v>
      </c>
    </row>
    <row r="648" spans="1:12" x14ac:dyDescent="0.25">
      <c r="A648">
        <v>647</v>
      </c>
      <c r="B648" t="s">
        <v>668</v>
      </c>
      <c r="C648" t="s">
        <v>16</v>
      </c>
      <c r="D648" t="s">
        <v>13</v>
      </c>
      <c r="E648" s="4">
        <v>43160376</v>
      </c>
      <c r="F648">
        <v>53.28</v>
      </c>
      <c r="G648">
        <v>3.29</v>
      </c>
      <c r="H648">
        <v>197.15</v>
      </c>
      <c r="I648">
        <v>6.17</v>
      </c>
      <c r="J648" s="5">
        <v>46060</v>
      </c>
      <c r="K648">
        <f t="shared" si="10"/>
        <v>26.45</v>
      </c>
      <c r="L648" t="str" cm="1">
        <f t="array" ref="L648">_xlfn.IFS(E648&gt;=52000000,"Platinum",E648&gt;=37000000,"Gold",E648&gt;=30000000,"Sliver",E648&lt;30000000,"Bronze")</f>
        <v>Gold</v>
      </c>
    </row>
    <row r="649" spans="1:12" x14ac:dyDescent="0.25">
      <c r="A649">
        <v>648</v>
      </c>
      <c r="B649" t="s">
        <v>669</v>
      </c>
      <c r="C649" t="s">
        <v>27</v>
      </c>
      <c r="D649" t="s">
        <v>25</v>
      </c>
      <c r="E649" s="4">
        <v>42884515</v>
      </c>
      <c r="F649">
        <v>15.26</v>
      </c>
      <c r="G649">
        <v>30.2</v>
      </c>
      <c r="H649">
        <v>1811.98</v>
      </c>
      <c r="I649">
        <v>197.9</v>
      </c>
      <c r="J649" s="5">
        <v>46060</v>
      </c>
      <c r="K649">
        <f t="shared" si="10"/>
        <v>141.32</v>
      </c>
      <c r="L649" t="str" cm="1">
        <f t="array" ref="L649">_xlfn.IFS(E649&gt;=52000000,"Platinum",E649&gt;=37000000,"Gold",E649&gt;=30000000,"Sliver",E649&lt;30000000,"Bronze")</f>
        <v>Gold</v>
      </c>
    </row>
    <row r="650" spans="1:12" x14ac:dyDescent="0.25">
      <c r="A650">
        <v>649</v>
      </c>
      <c r="B650" t="s">
        <v>670</v>
      </c>
      <c r="C650" t="s">
        <v>21</v>
      </c>
      <c r="D650" t="s">
        <v>22</v>
      </c>
      <c r="E650" s="4">
        <v>38270455</v>
      </c>
      <c r="F650">
        <v>39.299999999999997</v>
      </c>
      <c r="G650">
        <v>2.91</v>
      </c>
      <c r="H650">
        <v>174.7</v>
      </c>
      <c r="I650">
        <v>7.41</v>
      </c>
      <c r="J650" s="5">
        <v>46060</v>
      </c>
      <c r="K650">
        <f t="shared" si="10"/>
        <v>34.06</v>
      </c>
      <c r="L650" t="str" cm="1">
        <f t="array" ref="L650">_xlfn.IFS(E650&gt;=52000000,"Platinum",E650&gt;=37000000,"Gold",E650&gt;=30000000,"Sliver",E650&lt;30000000,"Bronze")</f>
        <v>Gold</v>
      </c>
    </row>
    <row r="651" spans="1:12" x14ac:dyDescent="0.25">
      <c r="A651">
        <v>650</v>
      </c>
      <c r="B651" t="s">
        <v>671</v>
      </c>
      <c r="C651" t="s">
        <v>29</v>
      </c>
      <c r="D651" t="s">
        <v>17</v>
      </c>
      <c r="E651" s="4">
        <v>44020636</v>
      </c>
      <c r="F651">
        <v>33.869999999999997</v>
      </c>
      <c r="G651">
        <v>8.5500000000000007</v>
      </c>
      <c r="H651">
        <v>513.17999999999995</v>
      </c>
      <c r="I651">
        <v>25.25</v>
      </c>
      <c r="J651" s="5">
        <v>46060</v>
      </c>
      <c r="K651">
        <f t="shared" si="10"/>
        <v>45.69</v>
      </c>
      <c r="L651" t="str" cm="1">
        <f t="array" ref="L651">_xlfn.IFS(E651&gt;=52000000,"Platinum",E651&gt;=37000000,"Gold",E651&gt;=30000000,"Sliver",E651&lt;30000000,"Bronze")</f>
        <v>Gold</v>
      </c>
    </row>
    <row r="652" spans="1:12" x14ac:dyDescent="0.25">
      <c r="A652">
        <v>651</v>
      </c>
      <c r="B652" t="s">
        <v>672</v>
      </c>
      <c r="C652" t="s">
        <v>46</v>
      </c>
      <c r="D652" t="s">
        <v>25</v>
      </c>
      <c r="E652" s="4">
        <v>34027270</v>
      </c>
      <c r="F652">
        <v>58.27</v>
      </c>
      <c r="G652">
        <v>2.75</v>
      </c>
      <c r="H652">
        <v>165.07</v>
      </c>
      <c r="I652">
        <v>4.72</v>
      </c>
      <c r="J652" s="5">
        <v>46060</v>
      </c>
      <c r="K652">
        <f t="shared" si="10"/>
        <v>23.23</v>
      </c>
      <c r="L652" t="str" cm="1">
        <f t="array" ref="L652">_xlfn.IFS(E652&gt;=52000000,"Platinum",E652&gt;=37000000,"Gold",E652&gt;=30000000,"Sliver",E652&lt;30000000,"Bronze")</f>
        <v>Sliver</v>
      </c>
    </row>
    <row r="653" spans="1:12" x14ac:dyDescent="0.25">
      <c r="A653">
        <v>652</v>
      </c>
      <c r="B653" t="s">
        <v>673</v>
      </c>
      <c r="C653" t="s">
        <v>21</v>
      </c>
      <c r="D653" t="s">
        <v>22</v>
      </c>
      <c r="E653" s="4">
        <v>44524321</v>
      </c>
      <c r="F653">
        <v>40.03</v>
      </c>
      <c r="G653">
        <v>2.83</v>
      </c>
      <c r="H653">
        <v>170.02</v>
      </c>
      <c r="I653">
        <v>7.08</v>
      </c>
      <c r="J653" s="5">
        <v>46060</v>
      </c>
      <c r="K653">
        <f t="shared" si="10"/>
        <v>33.53</v>
      </c>
      <c r="L653" t="str" cm="1">
        <f t="array" ref="L653">_xlfn.IFS(E653&gt;=52000000,"Platinum",E653&gt;=37000000,"Gold",E653&gt;=30000000,"Sliver",E653&lt;30000000,"Bronze")</f>
        <v>Gold</v>
      </c>
    </row>
    <row r="654" spans="1:12" x14ac:dyDescent="0.25">
      <c r="A654">
        <v>653</v>
      </c>
      <c r="B654" t="s">
        <v>674</v>
      </c>
      <c r="C654" t="s">
        <v>21</v>
      </c>
      <c r="D654" t="s">
        <v>22</v>
      </c>
      <c r="E654" s="4">
        <v>43960900</v>
      </c>
      <c r="F654">
        <v>49.95</v>
      </c>
      <c r="G654">
        <v>2.85</v>
      </c>
      <c r="H654">
        <v>170.79</v>
      </c>
      <c r="I654">
        <v>5.7</v>
      </c>
      <c r="J654" s="5">
        <v>46060</v>
      </c>
      <c r="K654">
        <f t="shared" si="10"/>
        <v>27.88</v>
      </c>
      <c r="L654" t="str" cm="1">
        <f t="array" ref="L654">_xlfn.IFS(E654&gt;=52000000,"Platinum",E654&gt;=37000000,"Gold",E654&gt;=30000000,"Sliver",E654&lt;30000000,"Bronze")</f>
        <v>Gold</v>
      </c>
    </row>
    <row r="655" spans="1:12" x14ac:dyDescent="0.25">
      <c r="A655">
        <v>654</v>
      </c>
      <c r="B655" t="s">
        <v>675</v>
      </c>
      <c r="C655" t="s">
        <v>16</v>
      </c>
      <c r="D655" t="s">
        <v>22</v>
      </c>
      <c r="E655" s="4">
        <v>46121181</v>
      </c>
      <c r="F655">
        <v>52.63</v>
      </c>
      <c r="G655">
        <v>7.99</v>
      </c>
      <c r="H655">
        <v>479.21</v>
      </c>
      <c r="I655">
        <v>15.18</v>
      </c>
      <c r="J655" s="5">
        <v>46060</v>
      </c>
      <c r="K655">
        <f t="shared" si="10"/>
        <v>31.28</v>
      </c>
      <c r="L655" t="str" cm="1">
        <f t="array" ref="L655">_xlfn.IFS(E655&gt;=52000000,"Platinum",E655&gt;=37000000,"Gold",E655&gt;=30000000,"Sliver",E655&lt;30000000,"Bronze")</f>
        <v>Gold</v>
      </c>
    </row>
    <row r="656" spans="1:12" x14ac:dyDescent="0.25">
      <c r="A656">
        <v>655</v>
      </c>
      <c r="B656" t="s">
        <v>676</v>
      </c>
      <c r="C656" t="s">
        <v>16</v>
      </c>
      <c r="D656" t="s">
        <v>17</v>
      </c>
      <c r="E656" s="4">
        <v>39984134</v>
      </c>
      <c r="F656">
        <v>36.770000000000003</v>
      </c>
      <c r="G656">
        <v>7.71</v>
      </c>
      <c r="H656">
        <v>462.59</v>
      </c>
      <c r="I656">
        <v>20.97</v>
      </c>
      <c r="J656" s="5">
        <v>46060</v>
      </c>
      <c r="K656">
        <f t="shared" si="10"/>
        <v>42.1</v>
      </c>
      <c r="L656" t="str" cm="1">
        <f t="array" ref="L656">_xlfn.IFS(E656&gt;=52000000,"Platinum",E656&gt;=37000000,"Gold",E656&gt;=30000000,"Sliver",E656&lt;30000000,"Bronze")</f>
        <v>Gold</v>
      </c>
    </row>
    <row r="657" spans="1:12" x14ac:dyDescent="0.25">
      <c r="A657">
        <v>656</v>
      </c>
      <c r="B657" t="s">
        <v>677</v>
      </c>
      <c r="C657" t="s">
        <v>29</v>
      </c>
      <c r="D657" t="s">
        <v>32</v>
      </c>
      <c r="E657" s="4">
        <v>32907203</v>
      </c>
      <c r="F657">
        <v>56.97</v>
      </c>
      <c r="G657">
        <v>9.15</v>
      </c>
      <c r="H657">
        <v>548.70000000000005</v>
      </c>
      <c r="I657">
        <v>16.05</v>
      </c>
      <c r="J657" s="5">
        <v>46060</v>
      </c>
      <c r="K657">
        <f t="shared" si="10"/>
        <v>29.54</v>
      </c>
      <c r="L657" t="str" cm="1">
        <f t="array" ref="L657">_xlfn.IFS(E657&gt;=52000000,"Platinum",E657&gt;=37000000,"Gold",E657&gt;=30000000,"Sliver",E657&lt;30000000,"Bronze")</f>
        <v>Sliver</v>
      </c>
    </row>
    <row r="658" spans="1:12" x14ac:dyDescent="0.25">
      <c r="A658">
        <v>657</v>
      </c>
      <c r="B658" t="s">
        <v>678</v>
      </c>
      <c r="C658" t="s">
        <v>10</v>
      </c>
      <c r="D658" t="s">
        <v>32</v>
      </c>
      <c r="E658" s="4">
        <v>39405613</v>
      </c>
      <c r="F658">
        <v>44.39</v>
      </c>
      <c r="G658">
        <v>7.72</v>
      </c>
      <c r="H658">
        <v>462.99</v>
      </c>
      <c r="I658">
        <v>17.38</v>
      </c>
      <c r="J658" s="5">
        <v>46060</v>
      </c>
      <c r="K658">
        <f t="shared" si="10"/>
        <v>36.5</v>
      </c>
      <c r="L658" t="str" cm="1">
        <f t="array" ref="L658">_xlfn.IFS(E658&gt;=52000000,"Platinum",E658&gt;=37000000,"Gold",E658&gt;=30000000,"Sliver",E658&lt;30000000,"Bronze")</f>
        <v>Gold</v>
      </c>
    </row>
    <row r="659" spans="1:12" x14ac:dyDescent="0.25">
      <c r="A659">
        <v>658</v>
      </c>
      <c r="B659" t="s">
        <v>679</v>
      </c>
      <c r="C659" t="s">
        <v>29</v>
      </c>
      <c r="D659" t="s">
        <v>11</v>
      </c>
      <c r="E659" s="4">
        <v>40607761</v>
      </c>
      <c r="F659">
        <v>40.94</v>
      </c>
      <c r="G659">
        <v>3.18</v>
      </c>
      <c r="H659">
        <v>191.03</v>
      </c>
      <c r="I659">
        <v>7.78</v>
      </c>
      <c r="J659" s="5">
        <v>46060</v>
      </c>
      <c r="K659">
        <f t="shared" si="10"/>
        <v>33.42</v>
      </c>
      <c r="L659" t="str" cm="1">
        <f t="array" ref="L659">_xlfn.IFS(E659&gt;=52000000,"Platinum",E659&gt;=37000000,"Gold",E659&gt;=30000000,"Sliver",E659&lt;30000000,"Bronze")</f>
        <v>Gold</v>
      </c>
    </row>
    <row r="660" spans="1:12" x14ac:dyDescent="0.25">
      <c r="A660">
        <v>659</v>
      </c>
      <c r="B660" t="s">
        <v>680</v>
      </c>
      <c r="C660" t="s">
        <v>19</v>
      </c>
      <c r="D660" t="s">
        <v>22</v>
      </c>
      <c r="E660" s="4">
        <v>32285276</v>
      </c>
      <c r="F660">
        <v>46.06</v>
      </c>
      <c r="G660">
        <v>7.44</v>
      </c>
      <c r="H660">
        <v>446.33</v>
      </c>
      <c r="I660">
        <v>16.149999999999999</v>
      </c>
      <c r="J660" s="5">
        <v>46060</v>
      </c>
      <c r="K660">
        <f t="shared" si="10"/>
        <v>35.049999999999997</v>
      </c>
      <c r="L660" t="str" cm="1">
        <f t="array" ref="L660">_xlfn.IFS(E660&gt;=52000000,"Platinum",E660&gt;=37000000,"Gold",E660&gt;=30000000,"Sliver",E660&lt;30000000,"Bronze")</f>
        <v>Sliver</v>
      </c>
    </row>
    <row r="661" spans="1:12" x14ac:dyDescent="0.25">
      <c r="A661">
        <v>660</v>
      </c>
      <c r="B661" t="s">
        <v>681</v>
      </c>
      <c r="C661" t="s">
        <v>29</v>
      </c>
      <c r="D661" t="s">
        <v>17</v>
      </c>
      <c r="E661" s="4">
        <v>31757404</v>
      </c>
      <c r="F661">
        <v>35.49</v>
      </c>
      <c r="G661">
        <v>3.97</v>
      </c>
      <c r="H661">
        <v>237.96</v>
      </c>
      <c r="I661">
        <v>11.17</v>
      </c>
      <c r="J661" s="5">
        <v>46060</v>
      </c>
      <c r="K661">
        <f t="shared" si="10"/>
        <v>37.840000000000003</v>
      </c>
      <c r="L661" t="str" cm="1">
        <f t="array" ref="L661">_xlfn.IFS(E661&gt;=52000000,"Platinum",E661&gt;=37000000,"Gold",E661&gt;=30000000,"Sliver",E661&lt;30000000,"Bronze")</f>
        <v>Sliver</v>
      </c>
    </row>
    <row r="662" spans="1:12" x14ac:dyDescent="0.25">
      <c r="A662">
        <v>661</v>
      </c>
      <c r="B662" t="s">
        <v>682</v>
      </c>
      <c r="C662" t="s">
        <v>16</v>
      </c>
      <c r="D662" t="s">
        <v>32</v>
      </c>
      <c r="E662" s="4">
        <v>33319940</v>
      </c>
      <c r="F662">
        <v>39.229999999999997</v>
      </c>
      <c r="G662">
        <v>8.5500000000000007</v>
      </c>
      <c r="H662">
        <v>512.95000000000005</v>
      </c>
      <c r="I662">
        <v>21.79</v>
      </c>
      <c r="J662" s="5">
        <v>46060</v>
      </c>
      <c r="K662">
        <f t="shared" si="10"/>
        <v>41.28</v>
      </c>
      <c r="L662" t="str" cm="1">
        <f t="array" ref="L662">_xlfn.IFS(E662&gt;=52000000,"Platinum",E662&gt;=37000000,"Gold",E662&gt;=30000000,"Sliver",E662&lt;30000000,"Bronze")</f>
        <v>Sliver</v>
      </c>
    </row>
    <row r="663" spans="1:12" x14ac:dyDescent="0.25">
      <c r="A663">
        <v>662</v>
      </c>
      <c r="B663" t="s">
        <v>683</v>
      </c>
      <c r="C663" t="s">
        <v>16</v>
      </c>
      <c r="D663" t="s">
        <v>22</v>
      </c>
      <c r="E663" s="4">
        <v>44091999</v>
      </c>
      <c r="F663">
        <v>59.73</v>
      </c>
      <c r="G663">
        <v>2.2599999999999998</v>
      </c>
      <c r="H663">
        <v>135.65</v>
      </c>
      <c r="I663">
        <v>3.79</v>
      </c>
      <c r="J663" s="5">
        <v>46060</v>
      </c>
      <c r="K663">
        <f t="shared" si="10"/>
        <v>22.03</v>
      </c>
      <c r="L663" t="str" cm="1">
        <f t="array" ref="L663">_xlfn.IFS(E663&gt;=52000000,"Platinum",E663&gt;=37000000,"Gold",E663&gt;=30000000,"Sliver",E663&lt;30000000,"Bronze")</f>
        <v>Gold</v>
      </c>
    </row>
    <row r="664" spans="1:12" x14ac:dyDescent="0.25">
      <c r="A664">
        <v>663</v>
      </c>
      <c r="B664" t="s">
        <v>684</v>
      </c>
      <c r="C664" t="s">
        <v>27</v>
      </c>
      <c r="D664" t="s">
        <v>32</v>
      </c>
      <c r="E664" s="4">
        <v>36844437</v>
      </c>
      <c r="F664">
        <v>21.59</v>
      </c>
      <c r="G664">
        <v>14.15</v>
      </c>
      <c r="H664">
        <v>848.87</v>
      </c>
      <c r="I664">
        <v>65.53</v>
      </c>
      <c r="J664" s="5">
        <v>46060</v>
      </c>
      <c r="K664">
        <f t="shared" si="10"/>
        <v>71.97</v>
      </c>
      <c r="L664" t="str" cm="1">
        <f t="array" ref="L664">_xlfn.IFS(E664&gt;=52000000,"Platinum",E664&gt;=37000000,"Gold",E664&gt;=30000000,"Sliver",E664&lt;30000000,"Bronze")</f>
        <v>Sliver</v>
      </c>
    </row>
    <row r="665" spans="1:12" x14ac:dyDescent="0.25">
      <c r="A665">
        <v>664</v>
      </c>
      <c r="B665" t="s">
        <v>685</v>
      </c>
      <c r="C665" t="s">
        <v>29</v>
      </c>
      <c r="D665" t="s">
        <v>11</v>
      </c>
      <c r="E665" s="4">
        <v>39383326</v>
      </c>
      <c r="F665">
        <v>38.380000000000003</v>
      </c>
      <c r="G665">
        <v>8.5399999999999991</v>
      </c>
      <c r="H665">
        <v>512.29999999999995</v>
      </c>
      <c r="I665">
        <v>22.25</v>
      </c>
      <c r="J665" s="5">
        <v>46060</v>
      </c>
      <c r="K665">
        <f t="shared" si="10"/>
        <v>41.94</v>
      </c>
      <c r="L665" t="str" cm="1">
        <f t="array" ref="L665">_xlfn.IFS(E665&gt;=52000000,"Platinum",E665&gt;=37000000,"Gold",E665&gt;=30000000,"Sliver",E665&lt;30000000,"Bronze")</f>
        <v>Gold</v>
      </c>
    </row>
    <row r="666" spans="1:12" x14ac:dyDescent="0.25">
      <c r="A666">
        <v>665</v>
      </c>
      <c r="B666" t="s">
        <v>686</v>
      </c>
      <c r="C666" t="s">
        <v>46</v>
      </c>
      <c r="D666" t="s">
        <v>25</v>
      </c>
      <c r="E666" s="4">
        <v>45410300</v>
      </c>
      <c r="F666">
        <v>43.84</v>
      </c>
      <c r="G666">
        <v>6.34</v>
      </c>
      <c r="H666">
        <v>380.18</v>
      </c>
      <c r="I666">
        <v>14.45</v>
      </c>
      <c r="J666" s="5">
        <v>46060</v>
      </c>
      <c r="K666">
        <f t="shared" si="10"/>
        <v>35.31</v>
      </c>
      <c r="L666" t="str" cm="1">
        <f t="array" ref="L666">_xlfn.IFS(E666&gt;=52000000,"Platinum",E666&gt;=37000000,"Gold",E666&gt;=30000000,"Sliver",E666&lt;30000000,"Bronze")</f>
        <v>Gold</v>
      </c>
    </row>
    <row r="667" spans="1:12" x14ac:dyDescent="0.25">
      <c r="A667">
        <v>666</v>
      </c>
      <c r="B667" t="s">
        <v>687</v>
      </c>
      <c r="C667" t="s">
        <v>10</v>
      </c>
      <c r="D667" t="s">
        <v>17</v>
      </c>
      <c r="E667" s="4">
        <v>41735421</v>
      </c>
      <c r="F667">
        <v>40.909999999999997</v>
      </c>
      <c r="G667">
        <v>6.73</v>
      </c>
      <c r="H667">
        <v>404.05</v>
      </c>
      <c r="I667">
        <v>16.46</v>
      </c>
      <c r="J667" s="5">
        <v>46060</v>
      </c>
      <c r="K667">
        <f t="shared" si="10"/>
        <v>37.78</v>
      </c>
      <c r="L667" t="str" cm="1">
        <f t="array" ref="L667">_xlfn.IFS(E667&gt;=52000000,"Platinum",E667&gt;=37000000,"Gold",E667&gt;=30000000,"Sliver",E667&lt;30000000,"Bronze")</f>
        <v>Gold</v>
      </c>
    </row>
    <row r="668" spans="1:12" x14ac:dyDescent="0.25">
      <c r="A668">
        <v>667</v>
      </c>
      <c r="B668" t="s">
        <v>688</v>
      </c>
      <c r="C668" t="s">
        <v>16</v>
      </c>
      <c r="D668" t="s">
        <v>17</v>
      </c>
      <c r="E668" s="4">
        <v>42760809</v>
      </c>
      <c r="F668">
        <v>46.72</v>
      </c>
      <c r="G668">
        <v>5.72</v>
      </c>
      <c r="H668" s="1">
        <f>CALCULATION!$D$11</f>
        <v>343.315</v>
      </c>
      <c r="I668">
        <v>20.93</v>
      </c>
      <c r="J668" s="5">
        <v>46060</v>
      </c>
      <c r="K668">
        <f t="shared" si="10"/>
        <v>37.11</v>
      </c>
      <c r="L668" t="str" cm="1">
        <f t="array" ref="L668">_xlfn.IFS(E668&gt;=52000000,"Platinum",E668&gt;=37000000,"Gold",E668&gt;=30000000,"Sliver",E668&lt;30000000,"Bronze")</f>
        <v>Gold</v>
      </c>
    </row>
    <row r="669" spans="1:12" x14ac:dyDescent="0.25">
      <c r="A669">
        <v>668</v>
      </c>
      <c r="B669" t="s">
        <v>689</v>
      </c>
      <c r="C669" t="s">
        <v>16</v>
      </c>
      <c r="D669" t="s">
        <v>11</v>
      </c>
      <c r="E669" s="4">
        <v>44773299</v>
      </c>
      <c r="F669">
        <v>47.12</v>
      </c>
      <c r="G669">
        <v>2.34</v>
      </c>
      <c r="H669">
        <v>140.19</v>
      </c>
      <c r="I669">
        <v>4.96</v>
      </c>
      <c r="J669" s="5">
        <v>46060</v>
      </c>
      <c r="K669">
        <f t="shared" si="10"/>
        <v>28.92</v>
      </c>
      <c r="L669" t="str" cm="1">
        <f t="array" ref="L669">_xlfn.IFS(E669&gt;=52000000,"Platinum",E669&gt;=37000000,"Gold",E669&gt;=30000000,"Sliver",E669&lt;30000000,"Bronze")</f>
        <v>Gold</v>
      </c>
    </row>
    <row r="670" spans="1:12" x14ac:dyDescent="0.25">
      <c r="A670">
        <v>669</v>
      </c>
      <c r="B670" t="s">
        <v>690</v>
      </c>
      <c r="C670" t="s">
        <v>16</v>
      </c>
      <c r="D670" t="s">
        <v>32</v>
      </c>
      <c r="E670" s="4">
        <v>37699759</v>
      </c>
      <c r="F670">
        <v>41.99</v>
      </c>
      <c r="G670">
        <v>2.5</v>
      </c>
      <c r="H670">
        <v>149.72</v>
      </c>
      <c r="I670">
        <v>5.94</v>
      </c>
      <c r="J670" s="5">
        <v>46060</v>
      </c>
      <c r="K670">
        <f t="shared" si="10"/>
        <v>31.98</v>
      </c>
      <c r="L670" t="str" cm="1">
        <f t="array" ref="L670">_xlfn.IFS(E670&gt;=52000000,"Platinum",E670&gt;=37000000,"Gold",E670&gt;=30000000,"Sliver",E670&lt;30000000,"Bronze")</f>
        <v>Gold</v>
      </c>
    </row>
    <row r="671" spans="1:12" x14ac:dyDescent="0.25">
      <c r="A671">
        <v>670</v>
      </c>
      <c r="B671" t="s">
        <v>691</v>
      </c>
      <c r="C671" t="s">
        <v>46</v>
      </c>
      <c r="D671" t="s">
        <v>13</v>
      </c>
      <c r="E671" s="4">
        <v>32210377</v>
      </c>
      <c r="F671">
        <v>46.66</v>
      </c>
      <c r="G671">
        <v>3.56</v>
      </c>
      <c r="H671">
        <v>213.4</v>
      </c>
      <c r="I671">
        <v>7.62</v>
      </c>
      <c r="J671" s="5">
        <v>46060</v>
      </c>
      <c r="K671">
        <f t="shared" si="10"/>
        <v>30.48</v>
      </c>
      <c r="L671" t="str" cm="1">
        <f t="array" ref="L671">_xlfn.IFS(E671&gt;=52000000,"Platinum",E671&gt;=37000000,"Gold",E671&gt;=30000000,"Sliver",E671&lt;30000000,"Bronze")</f>
        <v>Sliver</v>
      </c>
    </row>
    <row r="672" spans="1:12" x14ac:dyDescent="0.25">
      <c r="A672">
        <v>671</v>
      </c>
      <c r="B672" t="s">
        <v>692</v>
      </c>
      <c r="C672" t="s">
        <v>16</v>
      </c>
      <c r="D672" t="s">
        <v>25</v>
      </c>
      <c r="E672" s="4">
        <v>32355260</v>
      </c>
      <c r="F672">
        <v>43.9</v>
      </c>
      <c r="G672">
        <v>5.72</v>
      </c>
      <c r="H672" s="1">
        <f>CALCULATION!$D$11</f>
        <v>343.315</v>
      </c>
      <c r="I672">
        <v>17.22</v>
      </c>
      <c r="J672" s="5">
        <v>46060</v>
      </c>
      <c r="K672">
        <f t="shared" si="10"/>
        <v>36.659999999999997</v>
      </c>
      <c r="L672" t="str" cm="1">
        <f t="array" ref="L672">_xlfn.IFS(E672&gt;=52000000,"Platinum",E672&gt;=37000000,"Gold",E672&gt;=30000000,"Sliver",E672&lt;30000000,"Bronze")</f>
        <v>Sliver</v>
      </c>
    </row>
    <row r="673" spans="1:12" x14ac:dyDescent="0.25">
      <c r="A673">
        <v>672</v>
      </c>
      <c r="B673" t="s">
        <v>693</v>
      </c>
      <c r="C673" t="s">
        <v>10</v>
      </c>
      <c r="D673" t="s">
        <v>25</v>
      </c>
      <c r="E673" s="4">
        <v>31602816</v>
      </c>
      <c r="F673">
        <v>43.09</v>
      </c>
      <c r="G673">
        <v>3.26</v>
      </c>
      <c r="H673">
        <v>195.54</v>
      </c>
      <c r="I673">
        <v>7.56</v>
      </c>
      <c r="J673" s="5">
        <v>46060</v>
      </c>
      <c r="K673">
        <f t="shared" si="10"/>
        <v>32.24</v>
      </c>
      <c r="L673" t="str" cm="1">
        <f t="array" ref="L673">_xlfn.IFS(E673&gt;=52000000,"Platinum",E673&gt;=37000000,"Gold",E673&gt;=30000000,"Sliver",E673&lt;30000000,"Bronze")</f>
        <v>Sliver</v>
      </c>
    </row>
    <row r="674" spans="1:12" x14ac:dyDescent="0.25">
      <c r="A674">
        <v>673</v>
      </c>
      <c r="B674" t="s">
        <v>694</v>
      </c>
      <c r="C674" t="s">
        <v>19</v>
      </c>
      <c r="D674" t="s">
        <v>11</v>
      </c>
      <c r="E674" s="4">
        <v>37171119</v>
      </c>
      <c r="F674">
        <v>49.05</v>
      </c>
      <c r="G674">
        <v>2.61</v>
      </c>
      <c r="H674">
        <v>156.69999999999999</v>
      </c>
      <c r="I674">
        <v>5.32</v>
      </c>
      <c r="J674" s="5">
        <v>46060</v>
      </c>
      <c r="K674">
        <f t="shared" si="10"/>
        <v>28.14</v>
      </c>
      <c r="L674" t="str" cm="1">
        <f t="array" ref="L674">_xlfn.IFS(E674&gt;=52000000,"Platinum",E674&gt;=37000000,"Gold",E674&gt;=30000000,"Sliver",E674&lt;30000000,"Bronze")</f>
        <v>Gold</v>
      </c>
    </row>
    <row r="675" spans="1:12" x14ac:dyDescent="0.25">
      <c r="A675">
        <v>674</v>
      </c>
      <c r="B675" t="s">
        <v>695</v>
      </c>
      <c r="C675" t="s">
        <v>19</v>
      </c>
      <c r="D675" t="s">
        <v>25</v>
      </c>
      <c r="E675" s="4">
        <v>43469979</v>
      </c>
      <c r="F675">
        <v>40.32</v>
      </c>
      <c r="G675">
        <v>5.72</v>
      </c>
      <c r="H675" s="1">
        <f>CALCULATION!$D$11</f>
        <v>343.315</v>
      </c>
      <c r="I675">
        <v>5.31</v>
      </c>
      <c r="J675" s="5">
        <v>46060</v>
      </c>
      <c r="K675">
        <f t="shared" si="10"/>
        <v>32.5</v>
      </c>
      <c r="L675" t="str" cm="1">
        <f t="array" ref="L675">_xlfn.IFS(E675&gt;=52000000,"Platinum",E675&gt;=37000000,"Gold",E675&gt;=30000000,"Sliver",E675&lt;30000000,"Bronze")</f>
        <v>Gold</v>
      </c>
    </row>
    <row r="676" spans="1:12" x14ac:dyDescent="0.25">
      <c r="A676">
        <v>675</v>
      </c>
      <c r="B676" t="s">
        <v>696</v>
      </c>
      <c r="C676" t="s">
        <v>21</v>
      </c>
      <c r="D676" t="s">
        <v>13</v>
      </c>
      <c r="E676" s="4">
        <v>38028535</v>
      </c>
      <c r="F676">
        <v>40.590000000000003</v>
      </c>
      <c r="G676">
        <v>1.51</v>
      </c>
      <c r="H676">
        <v>90.85</v>
      </c>
      <c r="I676">
        <v>3.73</v>
      </c>
      <c r="J676" s="5">
        <v>46060</v>
      </c>
      <c r="K676">
        <f t="shared" si="10"/>
        <v>31.57</v>
      </c>
      <c r="L676" t="str" cm="1">
        <f t="array" ref="L676">_xlfn.IFS(E676&gt;=52000000,"Platinum",E676&gt;=37000000,"Gold",E676&gt;=30000000,"Sliver",E676&lt;30000000,"Bronze")</f>
        <v>Gold</v>
      </c>
    </row>
    <row r="677" spans="1:12" x14ac:dyDescent="0.25">
      <c r="A677">
        <v>676</v>
      </c>
      <c r="B677" t="s">
        <v>697</v>
      </c>
      <c r="C677" t="s">
        <v>16</v>
      </c>
      <c r="D677" t="s">
        <v>17</v>
      </c>
      <c r="E677" s="4">
        <v>32331685</v>
      </c>
      <c r="F677">
        <v>37.15</v>
      </c>
      <c r="G677">
        <v>8.2100000000000009</v>
      </c>
      <c r="H677">
        <v>492.87</v>
      </c>
      <c r="I677">
        <v>22.11</v>
      </c>
      <c r="J677" s="5">
        <v>46060</v>
      </c>
      <c r="K677">
        <f t="shared" si="10"/>
        <v>42.48</v>
      </c>
      <c r="L677" t="str" cm="1">
        <f t="array" ref="L677">_xlfn.IFS(E677&gt;=52000000,"Platinum",E677&gt;=37000000,"Gold",E677&gt;=30000000,"Sliver",E677&lt;30000000,"Bronze")</f>
        <v>Sliver</v>
      </c>
    </row>
    <row r="678" spans="1:12" x14ac:dyDescent="0.25">
      <c r="A678">
        <v>677</v>
      </c>
      <c r="B678" t="s">
        <v>698</v>
      </c>
      <c r="C678" t="s">
        <v>46</v>
      </c>
      <c r="D678" t="s">
        <v>11</v>
      </c>
      <c r="E678" s="4">
        <v>45293877</v>
      </c>
      <c r="F678">
        <v>32.89</v>
      </c>
      <c r="G678">
        <v>2.9</v>
      </c>
      <c r="H678">
        <v>173.88</v>
      </c>
      <c r="I678">
        <v>8.81</v>
      </c>
      <c r="J678" s="5">
        <v>46060</v>
      </c>
      <c r="K678">
        <f t="shared" si="10"/>
        <v>37.96</v>
      </c>
      <c r="L678" t="str" cm="1">
        <f t="array" ref="L678">_xlfn.IFS(E678&gt;=52000000,"Platinum",E678&gt;=37000000,"Gold",E678&gt;=30000000,"Sliver",E678&lt;30000000,"Bronze")</f>
        <v>Gold</v>
      </c>
    </row>
    <row r="679" spans="1:12" x14ac:dyDescent="0.25">
      <c r="A679">
        <v>678</v>
      </c>
      <c r="B679" t="s">
        <v>699</v>
      </c>
      <c r="C679" t="s">
        <v>21</v>
      </c>
      <c r="D679" t="s">
        <v>25</v>
      </c>
      <c r="E679" s="4">
        <v>30752207</v>
      </c>
      <c r="F679">
        <v>44.44</v>
      </c>
      <c r="G679">
        <v>2.68</v>
      </c>
      <c r="H679">
        <v>160.5</v>
      </c>
      <c r="I679">
        <v>6.02</v>
      </c>
      <c r="J679" s="5">
        <v>46060</v>
      </c>
      <c r="K679">
        <f t="shared" si="10"/>
        <v>30.79</v>
      </c>
      <c r="L679" t="str" cm="1">
        <f t="array" ref="L679">_xlfn.IFS(E679&gt;=52000000,"Platinum",E679&gt;=37000000,"Gold",E679&gt;=30000000,"Sliver",E679&lt;30000000,"Bronze")</f>
        <v>Sliver</v>
      </c>
    </row>
    <row r="680" spans="1:12" x14ac:dyDescent="0.25">
      <c r="A680">
        <v>679</v>
      </c>
      <c r="B680" t="s">
        <v>700</v>
      </c>
      <c r="C680" t="s">
        <v>16</v>
      </c>
      <c r="D680" t="s">
        <v>13</v>
      </c>
      <c r="E680" s="4">
        <v>36820412</v>
      </c>
      <c r="F680">
        <v>51.96</v>
      </c>
      <c r="G680">
        <v>6.02</v>
      </c>
      <c r="H680">
        <v>361.35</v>
      </c>
      <c r="I680">
        <v>11.59</v>
      </c>
      <c r="J680" s="5">
        <v>46060</v>
      </c>
      <c r="K680">
        <f t="shared" si="10"/>
        <v>29.82</v>
      </c>
      <c r="L680" t="str" cm="1">
        <f t="array" ref="L680">_xlfn.IFS(E680&gt;=52000000,"Platinum",E680&gt;=37000000,"Gold",E680&gt;=30000000,"Sliver",E680&lt;30000000,"Bronze")</f>
        <v>Sliver</v>
      </c>
    </row>
    <row r="681" spans="1:12" x14ac:dyDescent="0.25">
      <c r="A681">
        <v>680</v>
      </c>
      <c r="B681" t="s">
        <v>701</v>
      </c>
      <c r="C681" t="s">
        <v>10</v>
      </c>
      <c r="D681" t="s">
        <v>32</v>
      </c>
      <c r="E681" s="4">
        <v>40555465</v>
      </c>
      <c r="F681" s="1">
        <f>CALCULATION!$C$11</f>
        <v>42.81</v>
      </c>
      <c r="G681" s="1">
        <v>6.54</v>
      </c>
      <c r="H681">
        <v>392.5</v>
      </c>
      <c r="I681">
        <v>12.65</v>
      </c>
      <c r="J681" s="5">
        <v>46060</v>
      </c>
      <c r="K681">
        <f t="shared" si="10"/>
        <v>34.92</v>
      </c>
      <c r="L681" t="str" cm="1">
        <f t="array" ref="L681">_xlfn.IFS(E681&gt;=52000000,"Platinum",E681&gt;=37000000,"Gold",E681&gt;=30000000,"Sliver",E681&lt;30000000,"Bronze")</f>
        <v>Gold</v>
      </c>
    </row>
    <row r="682" spans="1:12" x14ac:dyDescent="0.25">
      <c r="A682">
        <v>681</v>
      </c>
      <c r="B682" t="s">
        <v>702</v>
      </c>
      <c r="C682" t="s">
        <v>29</v>
      </c>
      <c r="D682" t="s">
        <v>13</v>
      </c>
      <c r="E682" s="4">
        <v>39616943</v>
      </c>
      <c r="F682">
        <v>47.87</v>
      </c>
      <c r="G682">
        <v>2.77</v>
      </c>
      <c r="H682">
        <v>166.2</v>
      </c>
      <c r="I682">
        <v>5.79</v>
      </c>
      <c r="J682" s="5">
        <v>46060</v>
      </c>
      <c r="K682">
        <f t="shared" si="10"/>
        <v>28.96</v>
      </c>
      <c r="L682" t="str" cm="1">
        <f t="array" ref="L682">_xlfn.IFS(E682&gt;=52000000,"Platinum",E682&gt;=37000000,"Gold",E682&gt;=30000000,"Sliver",E682&lt;30000000,"Bronze")</f>
        <v>Gold</v>
      </c>
    </row>
    <row r="683" spans="1:12" x14ac:dyDescent="0.25">
      <c r="A683">
        <v>682</v>
      </c>
      <c r="B683" t="s">
        <v>703</v>
      </c>
      <c r="C683" t="s">
        <v>16</v>
      </c>
      <c r="D683" t="s">
        <v>11</v>
      </c>
      <c r="E683" s="4">
        <v>39346737</v>
      </c>
      <c r="F683">
        <v>53.83</v>
      </c>
      <c r="G683">
        <v>3.41</v>
      </c>
      <c r="H683">
        <v>204.56</v>
      </c>
      <c r="I683">
        <v>6.33</v>
      </c>
      <c r="J683" s="5">
        <v>46060</v>
      </c>
      <c r="K683">
        <f t="shared" si="10"/>
        <v>26.25</v>
      </c>
      <c r="L683" t="str" cm="1">
        <f t="array" ref="L683">_xlfn.IFS(E683&gt;=52000000,"Platinum",E683&gt;=37000000,"Gold",E683&gt;=30000000,"Sliver",E683&lt;30000000,"Bronze")</f>
        <v>Gold</v>
      </c>
    </row>
    <row r="684" spans="1:12" x14ac:dyDescent="0.25">
      <c r="A684">
        <v>683</v>
      </c>
      <c r="B684" t="s">
        <v>704</v>
      </c>
      <c r="C684" t="s">
        <v>16</v>
      </c>
      <c r="D684" t="s">
        <v>25</v>
      </c>
      <c r="E684" s="4">
        <v>38827949</v>
      </c>
      <c r="F684">
        <v>53.59</v>
      </c>
      <c r="G684">
        <v>5.28</v>
      </c>
      <c r="H684">
        <v>316.94</v>
      </c>
      <c r="I684">
        <v>9.86</v>
      </c>
      <c r="J684" s="5">
        <v>46060</v>
      </c>
      <c r="K684">
        <f t="shared" si="10"/>
        <v>28.14</v>
      </c>
      <c r="L684" t="str" cm="1">
        <f t="array" ref="L684">_xlfn.IFS(E684&gt;=52000000,"Platinum",E684&gt;=37000000,"Gold",E684&gt;=30000000,"Sliver",E684&lt;30000000,"Bronze")</f>
        <v>Gold</v>
      </c>
    </row>
    <row r="685" spans="1:12" x14ac:dyDescent="0.25">
      <c r="A685">
        <v>684</v>
      </c>
      <c r="B685" t="s">
        <v>705</v>
      </c>
      <c r="C685" s="1" t="s">
        <v>21</v>
      </c>
      <c r="D685" t="s">
        <v>22</v>
      </c>
      <c r="E685" s="4">
        <v>41017365</v>
      </c>
      <c r="F685">
        <v>29.42</v>
      </c>
      <c r="G685">
        <v>12.59</v>
      </c>
      <c r="H685">
        <v>755.59</v>
      </c>
      <c r="I685">
        <v>42.8</v>
      </c>
      <c r="J685" s="5">
        <v>46060</v>
      </c>
      <c r="K685">
        <f t="shared" si="10"/>
        <v>56.69</v>
      </c>
      <c r="L685" t="str" cm="1">
        <f t="array" ref="L685">_xlfn.IFS(E685&gt;=52000000,"Platinum",E685&gt;=37000000,"Gold",E685&gt;=30000000,"Sliver",E685&lt;30000000,"Bronze")</f>
        <v>Gold</v>
      </c>
    </row>
    <row r="686" spans="1:12" x14ac:dyDescent="0.25">
      <c r="A686">
        <v>685</v>
      </c>
      <c r="B686" t="s">
        <v>706</v>
      </c>
      <c r="C686" t="s">
        <v>46</v>
      </c>
      <c r="D686" t="s">
        <v>25</v>
      </c>
      <c r="E686" s="4">
        <v>40346234</v>
      </c>
      <c r="F686">
        <v>32.799999999999997</v>
      </c>
      <c r="G686">
        <v>6.76</v>
      </c>
      <c r="H686">
        <v>405.57</v>
      </c>
      <c r="I686">
        <v>20.61</v>
      </c>
      <c r="J686" s="5">
        <v>46060</v>
      </c>
      <c r="K686">
        <f t="shared" si="10"/>
        <v>43.91</v>
      </c>
      <c r="L686" t="str" cm="1">
        <f t="array" ref="L686">_xlfn.IFS(E686&gt;=52000000,"Platinum",E686&gt;=37000000,"Gold",E686&gt;=30000000,"Sliver",E686&lt;30000000,"Bronze")</f>
        <v>Gold</v>
      </c>
    </row>
    <row r="687" spans="1:12" x14ac:dyDescent="0.25">
      <c r="A687">
        <v>686</v>
      </c>
      <c r="B687" t="s">
        <v>707</v>
      </c>
      <c r="C687" t="s">
        <v>27</v>
      </c>
      <c r="D687" t="s">
        <v>32</v>
      </c>
      <c r="E687" s="4">
        <v>39286448</v>
      </c>
      <c r="F687">
        <v>16.43</v>
      </c>
      <c r="G687">
        <v>23.62</v>
      </c>
      <c r="H687">
        <v>1417.24</v>
      </c>
      <c r="I687">
        <v>143.77000000000001</v>
      </c>
      <c r="J687" s="5">
        <v>46060</v>
      </c>
      <c r="K687">
        <f t="shared" si="10"/>
        <v>113.67</v>
      </c>
      <c r="L687" t="str" cm="1">
        <f t="array" ref="L687">_xlfn.IFS(E687&gt;=52000000,"Platinum",E687&gt;=37000000,"Gold",E687&gt;=30000000,"Sliver",E687&lt;30000000,"Bronze")</f>
        <v>Gold</v>
      </c>
    </row>
    <row r="688" spans="1:12" x14ac:dyDescent="0.25">
      <c r="A688">
        <v>687</v>
      </c>
      <c r="B688" t="s">
        <v>708</v>
      </c>
      <c r="C688" t="s">
        <v>46</v>
      </c>
      <c r="D688" t="s">
        <v>32</v>
      </c>
      <c r="E688" s="4">
        <v>43208356</v>
      </c>
      <c r="F688">
        <v>36.880000000000003</v>
      </c>
      <c r="G688">
        <v>8.6999999999999993</v>
      </c>
      <c r="H688">
        <v>521.73</v>
      </c>
      <c r="I688">
        <v>23.58</v>
      </c>
      <c r="J688" s="5">
        <v>46060</v>
      </c>
      <c r="K688">
        <f t="shared" si="10"/>
        <v>43.35</v>
      </c>
      <c r="L688" t="str" cm="1">
        <f t="array" ref="L688">_xlfn.IFS(E688&gt;=52000000,"Platinum",E688&gt;=37000000,"Gold",E688&gt;=30000000,"Sliver",E688&lt;30000000,"Bronze")</f>
        <v>Gold</v>
      </c>
    </row>
    <row r="689" spans="1:12" x14ac:dyDescent="0.25">
      <c r="A689">
        <v>688</v>
      </c>
      <c r="B689" t="s">
        <v>709</v>
      </c>
      <c r="C689" t="s">
        <v>16</v>
      </c>
      <c r="D689" t="s">
        <v>17</v>
      </c>
      <c r="E689" s="4">
        <v>32435741</v>
      </c>
      <c r="F689">
        <v>49.27</v>
      </c>
      <c r="G689">
        <v>2.37</v>
      </c>
      <c r="H689">
        <v>142.18</v>
      </c>
      <c r="I689">
        <v>4.8099999999999996</v>
      </c>
      <c r="J689" s="5">
        <v>46060</v>
      </c>
      <c r="K689">
        <f t="shared" si="10"/>
        <v>27.77</v>
      </c>
      <c r="L689" t="str" cm="1">
        <f t="array" ref="L689">_xlfn.IFS(E689&gt;=52000000,"Platinum",E689&gt;=37000000,"Gold",E689&gt;=30000000,"Sliver",E689&lt;30000000,"Bronze")</f>
        <v>Sliver</v>
      </c>
    </row>
    <row r="690" spans="1:12" x14ac:dyDescent="0.25">
      <c r="A690">
        <v>689</v>
      </c>
      <c r="B690" t="s">
        <v>710</v>
      </c>
      <c r="C690" t="s">
        <v>29</v>
      </c>
      <c r="D690" t="s">
        <v>13</v>
      </c>
      <c r="E690" s="4">
        <v>35227652</v>
      </c>
      <c r="F690">
        <v>54.91</v>
      </c>
      <c r="G690">
        <v>3.52</v>
      </c>
      <c r="H690">
        <v>211.27</v>
      </c>
      <c r="I690">
        <v>6.41</v>
      </c>
      <c r="J690" s="5">
        <v>46060</v>
      </c>
      <c r="K690">
        <f t="shared" si="10"/>
        <v>25.75</v>
      </c>
      <c r="L690" t="str" cm="1">
        <f t="array" ref="L690">_xlfn.IFS(E690&gt;=52000000,"Platinum",E690&gt;=37000000,"Gold",E690&gt;=30000000,"Sliver",E690&lt;30000000,"Bronze")</f>
        <v>Sliver</v>
      </c>
    </row>
    <row r="691" spans="1:12" x14ac:dyDescent="0.25">
      <c r="A691">
        <v>690</v>
      </c>
      <c r="B691" t="s">
        <v>711</v>
      </c>
      <c r="C691" t="s">
        <v>10</v>
      </c>
      <c r="D691" t="s">
        <v>11</v>
      </c>
      <c r="E691" s="4">
        <v>35376631</v>
      </c>
      <c r="F691">
        <v>49.39</v>
      </c>
      <c r="G691">
        <v>2.3199999999999998</v>
      </c>
      <c r="H691">
        <v>139.18</v>
      </c>
      <c r="I691">
        <v>4.7</v>
      </c>
      <c r="J691" s="5">
        <v>46060</v>
      </c>
      <c r="K691">
        <f t="shared" si="10"/>
        <v>27.66</v>
      </c>
      <c r="L691" t="str" cm="1">
        <f t="array" ref="L691">_xlfn.IFS(E691&gt;=52000000,"Platinum",E691&gt;=37000000,"Gold",E691&gt;=30000000,"Sliver",E691&lt;30000000,"Bronze")</f>
        <v>Sliver</v>
      </c>
    </row>
    <row r="692" spans="1:12" x14ac:dyDescent="0.25">
      <c r="A692">
        <v>691</v>
      </c>
      <c r="B692" t="s">
        <v>712</v>
      </c>
      <c r="C692" t="s">
        <v>10</v>
      </c>
      <c r="D692" t="s">
        <v>11</v>
      </c>
      <c r="E692" s="4">
        <v>34188896</v>
      </c>
      <c r="F692">
        <v>56.34</v>
      </c>
      <c r="G692">
        <v>2.91</v>
      </c>
      <c r="H692">
        <v>174.51</v>
      </c>
      <c r="I692">
        <v>5.16</v>
      </c>
      <c r="J692" s="5">
        <v>46060</v>
      </c>
      <c r="K692">
        <f t="shared" si="10"/>
        <v>24.41</v>
      </c>
      <c r="L692" t="str" cm="1">
        <f t="array" ref="L692">_xlfn.IFS(E692&gt;=52000000,"Platinum",E692&gt;=37000000,"Gold",E692&gt;=30000000,"Sliver",E692&lt;30000000,"Bronze")</f>
        <v>Sliver</v>
      </c>
    </row>
    <row r="693" spans="1:12" x14ac:dyDescent="0.25">
      <c r="A693">
        <v>692</v>
      </c>
      <c r="B693" t="s">
        <v>713</v>
      </c>
      <c r="C693" t="s">
        <v>19</v>
      </c>
      <c r="D693" t="s">
        <v>22</v>
      </c>
      <c r="E693" s="4">
        <v>41546195</v>
      </c>
      <c r="F693">
        <v>52.75</v>
      </c>
      <c r="G693">
        <v>2.0099999999999998</v>
      </c>
      <c r="H693">
        <v>120.69</v>
      </c>
      <c r="I693">
        <v>3.81</v>
      </c>
      <c r="J693" s="5">
        <v>46060</v>
      </c>
      <c r="K693">
        <f t="shared" si="10"/>
        <v>25.53</v>
      </c>
      <c r="L693" t="str" cm="1">
        <f t="array" ref="L693">_xlfn.IFS(E693&gt;=52000000,"Platinum",E693&gt;=37000000,"Gold",E693&gt;=30000000,"Sliver",E693&lt;30000000,"Bronze")</f>
        <v>Gold</v>
      </c>
    </row>
    <row r="694" spans="1:12" x14ac:dyDescent="0.25">
      <c r="A694">
        <v>693</v>
      </c>
      <c r="B694" t="s">
        <v>714</v>
      </c>
      <c r="C694" t="s">
        <v>19</v>
      </c>
      <c r="D694" t="s">
        <v>32</v>
      </c>
      <c r="E694" s="4">
        <v>44799517</v>
      </c>
      <c r="F694">
        <v>30.03</v>
      </c>
      <c r="G694">
        <v>6.49</v>
      </c>
      <c r="H694">
        <v>389.55</v>
      </c>
      <c r="I694">
        <v>21.62</v>
      </c>
      <c r="J694" s="5">
        <v>46060</v>
      </c>
      <c r="K694">
        <f t="shared" si="10"/>
        <v>45.8</v>
      </c>
      <c r="L694" t="str" cm="1">
        <f t="array" ref="L694">_xlfn.IFS(E694&gt;=52000000,"Platinum",E694&gt;=37000000,"Gold",E694&gt;=30000000,"Sliver",E694&lt;30000000,"Bronze")</f>
        <v>Gold</v>
      </c>
    </row>
    <row r="695" spans="1:12" x14ac:dyDescent="0.25">
      <c r="A695">
        <v>694</v>
      </c>
      <c r="B695" t="s">
        <v>715</v>
      </c>
      <c r="C695" t="s">
        <v>29</v>
      </c>
      <c r="D695" t="s">
        <v>22</v>
      </c>
      <c r="E695" s="4">
        <v>39334936</v>
      </c>
      <c r="F695">
        <v>34.380000000000003</v>
      </c>
      <c r="G695">
        <v>3.54</v>
      </c>
      <c r="H695">
        <v>212.33</v>
      </c>
      <c r="I695">
        <v>10.29</v>
      </c>
      <c r="J695" s="5">
        <v>46060</v>
      </c>
      <c r="K695">
        <f t="shared" si="10"/>
        <v>37.96</v>
      </c>
      <c r="L695" t="str" cm="1">
        <f t="array" ref="L695">_xlfn.IFS(E695&gt;=52000000,"Platinum",E695&gt;=37000000,"Gold",E695&gt;=30000000,"Sliver",E695&lt;30000000,"Bronze")</f>
        <v>Gold</v>
      </c>
    </row>
    <row r="696" spans="1:12" x14ac:dyDescent="0.25">
      <c r="A696">
        <v>695</v>
      </c>
      <c r="B696" t="s">
        <v>716</v>
      </c>
      <c r="C696" t="s">
        <v>46</v>
      </c>
      <c r="D696" t="s">
        <v>11</v>
      </c>
      <c r="E696" s="4">
        <v>40123084</v>
      </c>
      <c r="F696">
        <v>48.77</v>
      </c>
      <c r="G696">
        <v>8.9600000000000009</v>
      </c>
      <c r="H696">
        <v>537.36</v>
      </c>
      <c r="I696">
        <v>18.36</v>
      </c>
      <c r="J696" s="5">
        <v>46060</v>
      </c>
      <c r="K696">
        <f t="shared" si="10"/>
        <v>34.799999999999997</v>
      </c>
      <c r="L696" t="str" cm="1">
        <f t="array" ref="L696">_xlfn.IFS(E696&gt;=52000000,"Platinum",E696&gt;=37000000,"Gold",E696&gt;=30000000,"Sliver",E696&lt;30000000,"Bronze")</f>
        <v>Gold</v>
      </c>
    </row>
    <row r="697" spans="1:12" x14ac:dyDescent="0.25">
      <c r="A697">
        <v>696</v>
      </c>
      <c r="B697" t="s">
        <v>717</v>
      </c>
      <c r="C697" t="s">
        <v>16</v>
      </c>
      <c r="D697" t="s">
        <v>13</v>
      </c>
      <c r="E697" s="4">
        <v>38879571</v>
      </c>
      <c r="F697">
        <v>59.18</v>
      </c>
      <c r="G697">
        <v>3.11</v>
      </c>
      <c r="H697">
        <v>186.43</v>
      </c>
      <c r="I697">
        <v>5.25</v>
      </c>
      <c r="J697" s="5">
        <v>46060</v>
      </c>
      <c r="K697">
        <f t="shared" si="10"/>
        <v>23.04</v>
      </c>
      <c r="L697" t="str" cm="1">
        <f t="array" ref="L697">_xlfn.IFS(E697&gt;=52000000,"Platinum",E697&gt;=37000000,"Gold",E697&gt;=30000000,"Sliver",E697&lt;30000000,"Bronze")</f>
        <v>Gold</v>
      </c>
    </row>
    <row r="698" spans="1:12" x14ac:dyDescent="0.25">
      <c r="A698">
        <v>697</v>
      </c>
      <c r="B698" t="s">
        <v>718</v>
      </c>
      <c r="C698" t="s">
        <v>29</v>
      </c>
      <c r="D698" t="s">
        <v>11</v>
      </c>
      <c r="E698" s="4">
        <v>35599685</v>
      </c>
      <c r="F698">
        <v>32.950000000000003</v>
      </c>
      <c r="G698">
        <v>2.21</v>
      </c>
      <c r="H698">
        <v>132.63</v>
      </c>
      <c r="I698">
        <v>6.71</v>
      </c>
      <c r="J698" s="5">
        <v>46060</v>
      </c>
      <c r="K698">
        <f t="shared" si="10"/>
        <v>36.880000000000003</v>
      </c>
      <c r="L698" t="str" cm="1">
        <f t="array" ref="L698">_xlfn.IFS(E698&gt;=52000000,"Platinum",E698&gt;=37000000,"Gold",E698&gt;=30000000,"Sliver",E698&lt;30000000,"Bronze")</f>
        <v>Sliver</v>
      </c>
    </row>
    <row r="699" spans="1:12" x14ac:dyDescent="0.25">
      <c r="A699">
        <v>698</v>
      </c>
      <c r="B699" t="s">
        <v>719</v>
      </c>
      <c r="C699" t="s">
        <v>46</v>
      </c>
      <c r="D699" t="s">
        <v>25</v>
      </c>
      <c r="E699" s="4">
        <v>37925547</v>
      </c>
      <c r="F699">
        <v>41.68</v>
      </c>
      <c r="G699">
        <v>3.94</v>
      </c>
      <c r="H699">
        <v>236.57</v>
      </c>
      <c r="I699">
        <v>9.4600000000000009</v>
      </c>
      <c r="J699" s="5">
        <v>46060</v>
      </c>
      <c r="K699">
        <f t="shared" si="10"/>
        <v>33.89</v>
      </c>
      <c r="L699" t="str" cm="1">
        <f t="array" ref="L699">_xlfn.IFS(E699&gt;=52000000,"Platinum",E699&gt;=37000000,"Gold",E699&gt;=30000000,"Sliver",E699&lt;30000000,"Bronze")</f>
        <v>Gold</v>
      </c>
    </row>
    <row r="700" spans="1:12" x14ac:dyDescent="0.25">
      <c r="A700">
        <v>699</v>
      </c>
      <c r="B700" t="s">
        <v>720</v>
      </c>
      <c r="C700" t="s">
        <v>46</v>
      </c>
      <c r="D700" t="s">
        <v>11</v>
      </c>
      <c r="E700" s="4">
        <v>30935095</v>
      </c>
      <c r="F700">
        <v>47.55</v>
      </c>
      <c r="G700">
        <v>8.15</v>
      </c>
      <c r="H700">
        <v>488.95</v>
      </c>
      <c r="I700">
        <v>17.14</v>
      </c>
      <c r="J700" s="5">
        <v>46060</v>
      </c>
      <c r="K700">
        <f t="shared" si="10"/>
        <v>34.799999999999997</v>
      </c>
      <c r="L700" t="str" cm="1">
        <f t="array" ref="L700">_xlfn.IFS(E700&gt;=52000000,"Platinum",E700&gt;=37000000,"Gold",E700&gt;=30000000,"Sliver",E700&lt;30000000,"Bronze")</f>
        <v>Sliver</v>
      </c>
    </row>
    <row r="701" spans="1:12" x14ac:dyDescent="0.25">
      <c r="A701">
        <v>700</v>
      </c>
      <c r="B701" t="s">
        <v>721</v>
      </c>
      <c r="C701" t="s">
        <v>46</v>
      </c>
      <c r="D701" t="s">
        <v>32</v>
      </c>
      <c r="E701" s="4">
        <v>37903848</v>
      </c>
      <c r="F701">
        <v>55.95</v>
      </c>
      <c r="G701">
        <v>5.22</v>
      </c>
      <c r="H701">
        <v>313.27</v>
      </c>
      <c r="I701">
        <v>9.33</v>
      </c>
      <c r="J701" s="5">
        <v>46060</v>
      </c>
      <c r="K701">
        <f t="shared" si="10"/>
        <v>26.69</v>
      </c>
      <c r="L701" t="str" cm="1">
        <f t="array" ref="L701">_xlfn.IFS(E701&gt;=52000000,"Platinum",E701&gt;=37000000,"Gold",E701&gt;=30000000,"Sliver",E701&lt;30000000,"Bronze")</f>
        <v>Gold</v>
      </c>
    </row>
    <row r="702" spans="1:12" x14ac:dyDescent="0.25">
      <c r="A702">
        <v>701</v>
      </c>
      <c r="B702" t="s">
        <v>722</v>
      </c>
      <c r="C702" t="s">
        <v>46</v>
      </c>
      <c r="D702" t="s">
        <v>13</v>
      </c>
      <c r="E702" s="4">
        <v>35300330</v>
      </c>
      <c r="F702">
        <v>48.05</v>
      </c>
      <c r="G702">
        <v>8.8699999999999992</v>
      </c>
      <c r="H702">
        <v>532.34</v>
      </c>
      <c r="I702">
        <v>18.46</v>
      </c>
      <c r="J702" s="5">
        <v>46060</v>
      </c>
      <c r="K702">
        <f t="shared" si="10"/>
        <v>35.21</v>
      </c>
      <c r="L702" t="str" cm="1">
        <f t="array" ref="L702">_xlfn.IFS(E702&gt;=52000000,"Platinum",E702&gt;=37000000,"Gold",E702&gt;=30000000,"Sliver",E702&lt;30000000,"Bronze")</f>
        <v>Sliver</v>
      </c>
    </row>
    <row r="703" spans="1:12" x14ac:dyDescent="0.25">
      <c r="A703">
        <v>702</v>
      </c>
      <c r="B703" t="s">
        <v>723</v>
      </c>
      <c r="C703" t="s">
        <v>16</v>
      </c>
      <c r="D703" t="s">
        <v>22</v>
      </c>
      <c r="E703" s="4">
        <v>39230463</v>
      </c>
      <c r="F703">
        <v>49.69</v>
      </c>
      <c r="G703">
        <v>8.32</v>
      </c>
      <c r="H703">
        <v>499.15</v>
      </c>
      <c r="I703">
        <v>16.739999999999998</v>
      </c>
      <c r="J703" s="5">
        <v>46060</v>
      </c>
      <c r="K703">
        <f t="shared" si="10"/>
        <v>33.53</v>
      </c>
      <c r="L703" t="str" cm="1">
        <f t="array" ref="L703">_xlfn.IFS(E703&gt;=52000000,"Platinum",E703&gt;=37000000,"Gold",E703&gt;=30000000,"Sliver",E703&lt;30000000,"Bronze")</f>
        <v>Gold</v>
      </c>
    </row>
    <row r="704" spans="1:12" x14ac:dyDescent="0.25">
      <c r="A704">
        <v>703</v>
      </c>
      <c r="B704" t="s">
        <v>724</v>
      </c>
      <c r="C704" t="s">
        <v>27</v>
      </c>
      <c r="D704" t="s">
        <v>17</v>
      </c>
      <c r="E704" s="4">
        <v>38811770</v>
      </c>
      <c r="F704">
        <v>28.96</v>
      </c>
      <c r="G704">
        <v>34.369999999999997</v>
      </c>
      <c r="H704">
        <v>2062.04</v>
      </c>
      <c r="I704">
        <v>118.67</v>
      </c>
      <c r="J704" s="5">
        <v>46060</v>
      </c>
      <c r="K704">
        <f t="shared" si="10"/>
        <v>94.86</v>
      </c>
      <c r="L704" t="str" cm="1">
        <f t="array" ref="L704">_xlfn.IFS(E704&gt;=52000000,"Platinum",E704&gt;=37000000,"Gold",E704&gt;=30000000,"Sliver",E704&lt;30000000,"Bronze")</f>
        <v>Gold</v>
      </c>
    </row>
    <row r="705" spans="1:12" x14ac:dyDescent="0.25">
      <c r="A705">
        <v>704</v>
      </c>
      <c r="B705" t="s">
        <v>725</v>
      </c>
      <c r="C705" t="s">
        <v>19</v>
      </c>
      <c r="D705" t="s">
        <v>11</v>
      </c>
      <c r="E705" s="4">
        <v>39164160</v>
      </c>
      <c r="F705">
        <v>32.54</v>
      </c>
      <c r="G705">
        <v>9.4600000000000009</v>
      </c>
      <c r="H705">
        <v>567.64</v>
      </c>
      <c r="I705">
        <v>29.07</v>
      </c>
      <c r="J705" s="5">
        <v>46060</v>
      </c>
      <c r="K705">
        <f t="shared" si="10"/>
        <v>48.27</v>
      </c>
      <c r="L705" t="str" cm="1">
        <f t="array" ref="L705">_xlfn.IFS(E705&gt;=52000000,"Platinum",E705&gt;=37000000,"Gold",E705&gt;=30000000,"Sliver",E705&lt;30000000,"Bronze")</f>
        <v>Gold</v>
      </c>
    </row>
    <row r="706" spans="1:12" x14ac:dyDescent="0.25">
      <c r="A706">
        <v>705</v>
      </c>
      <c r="B706" t="s">
        <v>726</v>
      </c>
      <c r="C706" t="s">
        <v>10</v>
      </c>
      <c r="D706" t="s">
        <v>32</v>
      </c>
      <c r="E706" s="4">
        <v>37699315</v>
      </c>
      <c r="F706">
        <v>49.41</v>
      </c>
      <c r="G706">
        <v>2.2400000000000002</v>
      </c>
      <c r="H706">
        <v>134.69</v>
      </c>
      <c r="I706">
        <v>4.54</v>
      </c>
      <c r="J706" s="5">
        <v>46060</v>
      </c>
      <c r="K706">
        <f t="shared" si="10"/>
        <v>27.57</v>
      </c>
      <c r="L706" t="str" cm="1">
        <f t="array" ref="L706">_xlfn.IFS(E706&gt;=52000000,"Platinum",E706&gt;=37000000,"Gold",E706&gt;=30000000,"Sliver",E706&lt;30000000,"Bronze")</f>
        <v>Gold</v>
      </c>
    </row>
    <row r="707" spans="1:12" x14ac:dyDescent="0.25">
      <c r="A707">
        <v>706</v>
      </c>
      <c r="B707" t="s">
        <v>727</v>
      </c>
      <c r="C707" t="s">
        <v>21</v>
      </c>
      <c r="D707" t="s">
        <v>32</v>
      </c>
      <c r="E707" s="4">
        <v>31111355</v>
      </c>
      <c r="F707">
        <v>46.04</v>
      </c>
      <c r="G707">
        <v>2.71</v>
      </c>
      <c r="H707">
        <v>162.76</v>
      </c>
      <c r="I707">
        <v>5.89</v>
      </c>
      <c r="J707" s="5">
        <v>46060</v>
      </c>
      <c r="K707">
        <f t="shared" ref="K707:K770" si="11">ROUND((100-F707)*0.5 + I707*0.5,2)</f>
        <v>29.93</v>
      </c>
      <c r="L707" t="str" cm="1">
        <f t="array" ref="L707">_xlfn.IFS(E707&gt;=52000000,"Platinum",E707&gt;=37000000,"Gold",E707&gt;=30000000,"Sliver",E707&lt;30000000,"Bronze")</f>
        <v>Sliver</v>
      </c>
    </row>
    <row r="708" spans="1:12" x14ac:dyDescent="0.25">
      <c r="A708">
        <v>707</v>
      </c>
      <c r="B708" t="s">
        <v>728</v>
      </c>
      <c r="C708" t="s">
        <v>27</v>
      </c>
      <c r="D708" t="s">
        <v>25</v>
      </c>
      <c r="E708" s="4">
        <v>44064110</v>
      </c>
      <c r="F708" s="1">
        <f>CALCULATION!$C$11</f>
        <v>42.81</v>
      </c>
      <c r="G708" s="1">
        <v>36.520000000000003</v>
      </c>
      <c r="H708">
        <v>2191.44</v>
      </c>
      <c r="I708">
        <v>172.61</v>
      </c>
      <c r="J708" s="5">
        <v>46060</v>
      </c>
      <c r="K708">
        <f t="shared" si="11"/>
        <v>114.9</v>
      </c>
      <c r="L708" t="str" cm="1">
        <f t="array" ref="L708">_xlfn.IFS(E708&gt;=52000000,"Platinum",E708&gt;=37000000,"Gold",E708&gt;=30000000,"Sliver",E708&lt;30000000,"Bronze")</f>
        <v>Gold</v>
      </c>
    </row>
    <row r="709" spans="1:12" x14ac:dyDescent="0.25">
      <c r="A709">
        <v>708</v>
      </c>
      <c r="B709" t="s">
        <v>729</v>
      </c>
      <c r="C709" t="s">
        <v>10</v>
      </c>
      <c r="D709" t="s">
        <v>11</v>
      </c>
      <c r="E709" s="4">
        <v>35617362</v>
      </c>
      <c r="F709">
        <v>56.02</v>
      </c>
      <c r="G709">
        <v>6.81</v>
      </c>
      <c r="H709">
        <v>408.86</v>
      </c>
      <c r="I709">
        <v>12.16</v>
      </c>
      <c r="J709" s="5">
        <v>46060</v>
      </c>
      <c r="K709">
        <f t="shared" si="11"/>
        <v>28.07</v>
      </c>
      <c r="L709" t="str" cm="1">
        <f t="array" ref="L709">_xlfn.IFS(E709&gt;=52000000,"Platinum",E709&gt;=37000000,"Gold",E709&gt;=30000000,"Sliver",E709&lt;30000000,"Bronze")</f>
        <v>Sliver</v>
      </c>
    </row>
    <row r="710" spans="1:12" x14ac:dyDescent="0.25">
      <c r="A710">
        <v>709</v>
      </c>
      <c r="B710" t="s">
        <v>730</v>
      </c>
      <c r="C710" t="s">
        <v>21</v>
      </c>
      <c r="D710" t="s">
        <v>17</v>
      </c>
      <c r="E710" s="4">
        <v>34499322</v>
      </c>
      <c r="F710">
        <v>37.76</v>
      </c>
      <c r="G710">
        <v>2.54</v>
      </c>
      <c r="H710">
        <v>152.29</v>
      </c>
      <c r="I710">
        <v>6.72</v>
      </c>
      <c r="J710" s="5">
        <v>46060</v>
      </c>
      <c r="K710">
        <f t="shared" si="11"/>
        <v>34.479999999999997</v>
      </c>
      <c r="L710" t="str" cm="1">
        <f t="array" ref="L710">_xlfn.IFS(E710&gt;=52000000,"Platinum",E710&gt;=37000000,"Gold",E710&gt;=30000000,"Sliver",E710&lt;30000000,"Bronze")</f>
        <v>Sliver</v>
      </c>
    </row>
    <row r="711" spans="1:12" x14ac:dyDescent="0.25">
      <c r="A711">
        <v>710</v>
      </c>
      <c r="B711" t="s">
        <v>731</v>
      </c>
      <c r="C711" t="s">
        <v>29</v>
      </c>
      <c r="D711" t="s">
        <v>13</v>
      </c>
      <c r="E711" s="4">
        <v>37818619</v>
      </c>
      <c r="F711">
        <v>55.93</v>
      </c>
      <c r="G711">
        <v>4.38</v>
      </c>
      <c r="H711">
        <v>262.51</v>
      </c>
      <c r="I711">
        <v>7.82</v>
      </c>
      <c r="J711" s="5">
        <v>46060</v>
      </c>
      <c r="K711">
        <f t="shared" si="11"/>
        <v>25.95</v>
      </c>
      <c r="L711" t="str" cm="1">
        <f t="array" ref="L711">_xlfn.IFS(E711&gt;=52000000,"Platinum",E711&gt;=37000000,"Gold",E711&gt;=30000000,"Sliver",E711&lt;30000000,"Bronze")</f>
        <v>Gold</v>
      </c>
    </row>
    <row r="712" spans="1:12" x14ac:dyDescent="0.25">
      <c r="A712">
        <v>711</v>
      </c>
      <c r="B712" t="s">
        <v>732</v>
      </c>
      <c r="C712" t="s">
        <v>46</v>
      </c>
      <c r="D712" t="s">
        <v>22</v>
      </c>
      <c r="E712" s="4">
        <v>39323391</v>
      </c>
      <c r="F712">
        <v>55.27</v>
      </c>
      <c r="G712">
        <v>3.89</v>
      </c>
      <c r="H712">
        <v>233.25</v>
      </c>
      <c r="I712">
        <v>7.03</v>
      </c>
      <c r="J712" s="5">
        <v>46060</v>
      </c>
      <c r="K712">
        <f t="shared" si="11"/>
        <v>25.88</v>
      </c>
      <c r="L712" t="str" cm="1">
        <f t="array" ref="L712">_xlfn.IFS(E712&gt;=52000000,"Platinum",E712&gt;=37000000,"Gold",E712&gt;=30000000,"Sliver",E712&lt;30000000,"Bronze")</f>
        <v>Gold</v>
      </c>
    </row>
    <row r="713" spans="1:12" x14ac:dyDescent="0.25">
      <c r="A713">
        <v>712</v>
      </c>
      <c r="B713" t="s">
        <v>733</v>
      </c>
      <c r="C713" t="s">
        <v>21</v>
      </c>
      <c r="D713" t="s">
        <v>13</v>
      </c>
      <c r="E713" s="4">
        <v>33591217</v>
      </c>
      <c r="F713">
        <v>47.33</v>
      </c>
      <c r="G713">
        <v>1.84</v>
      </c>
      <c r="H713">
        <v>110.3</v>
      </c>
      <c r="I713">
        <v>3.88</v>
      </c>
      <c r="J713" s="5">
        <v>46060</v>
      </c>
      <c r="K713">
        <f t="shared" si="11"/>
        <v>28.28</v>
      </c>
      <c r="L713" t="str" cm="1">
        <f t="array" ref="L713">_xlfn.IFS(E713&gt;=52000000,"Platinum",E713&gt;=37000000,"Gold",E713&gt;=30000000,"Sliver",E713&lt;30000000,"Bronze")</f>
        <v>Sliver</v>
      </c>
    </row>
    <row r="714" spans="1:12" x14ac:dyDescent="0.25">
      <c r="A714">
        <v>713</v>
      </c>
      <c r="B714" t="s">
        <v>734</v>
      </c>
      <c r="C714" t="s">
        <v>19</v>
      </c>
      <c r="D714" t="s">
        <v>25</v>
      </c>
      <c r="E714" s="4">
        <v>36549913</v>
      </c>
      <c r="F714" s="1">
        <f>CALCULATION!$C$11</f>
        <v>42.81</v>
      </c>
      <c r="G714" s="1">
        <v>2.81</v>
      </c>
      <c r="H714">
        <v>168.43</v>
      </c>
      <c r="I714">
        <v>9.0500000000000007</v>
      </c>
      <c r="J714" s="5">
        <v>46060</v>
      </c>
      <c r="K714">
        <f t="shared" si="11"/>
        <v>33.119999999999997</v>
      </c>
      <c r="L714" t="str" cm="1">
        <f t="array" ref="L714">_xlfn.IFS(E714&gt;=52000000,"Platinum",E714&gt;=37000000,"Gold",E714&gt;=30000000,"Sliver",E714&lt;30000000,"Bronze")</f>
        <v>Sliver</v>
      </c>
    </row>
    <row r="715" spans="1:12" x14ac:dyDescent="0.25">
      <c r="A715">
        <v>714</v>
      </c>
      <c r="B715" t="s">
        <v>735</v>
      </c>
      <c r="C715" t="s">
        <v>21</v>
      </c>
      <c r="D715" t="s">
        <v>22</v>
      </c>
      <c r="E715" s="4">
        <v>40079848</v>
      </c>
      <c r="F715">
        <v>35.659999999999997</v>
      </c>
      <c r="G715">
        <v>1.24</v>
      </c>
      <c r="H715">
        <v>74.12</v>
      </c>
      <c r="I715">
        <v>3.46</v>
      </c>
      <c r="J715" s="5">
        <v>46060</v>
      </c>
      <c r="K715">
        <f t="shared" si="11"/>
        <v>33.9</v>
      </c>
      <c r="L715" t="str" cm="1">
        <f t="array" ref="L715">_xlfn.IFS(E715&gt;=52000000,"Platinum",E715&gt;=37000000,"Gold",E715&gt;=30000000,"Sliver",E715&lt;30000000,"Bronze")</f>
        <v>Gold</v>
      </c>
    </row>
    <row r="716" spans="1:12" x14ac:dyDescent="0.25">
      <c r="A716">
        <v>715</v>
      </c>
      <c r="B716" t="s">
        <v>736</v>
      </c>
      <c r="C716" t="s">
        <v>16</v>
      </c>
      <c r="D716" t="s">
        <v>32</v>
      </c>
      <c r="E716" s="4">
        <v>43830842</v>
      </c>
      <c r="F716">
        <v>31.61</v>
      </c>
      <c r="G716">
        <v>4.99</v>
      </c>
      <c r="H716">
        <v>299.5</v>
      </c>
      <c r="I716">
        <v>15.79</v>
      </c>
      <c r="J716" s="5">
        <v>46060</v>
      </c>
      <c r="K716">
        <f t="shared" si="11"/>
        <v>42.09</v>
      </c>
      <c r="L716" t="str" cm="1">
        <f t="array" ref="L716">_xlfn.IFS(E716&gt;=52000000,"Platinum",E716&gt;=37000000,"Gold",E716&gt;=30000000,"Sliver",E716&lt;30000000,"Bronze")</f>
        <v>Gold</v>
      </c>
    </row>
    <row r="717" spans="1:12" x14ac:dyDescent="0.25">
      <c r="A717">
        <v>716</v>
      </c>
      <c r="B717" t="s">
        <v>737</v>
      </c>
      <c r="C717" t="s">
        <v>46</v>
      </c>
      <c r="D717" t="s">
        <v>17</v>
      </c>
      <c r="E717" s="4">
        <v>32569221</v>
      </c>
      <c r="F717">
        <v>45.62</v>
      </c>
      <c r="G717">
        <v>7.69</v>
      </c>
      <c r="H717">
        <v>461.3</v>
      </c>
      <c r="I717">
        <v>16.850000000000001</v>
      </c>
      <c r="J717" s="5">
        <v>46060</v>
      </c>
      <c r="K717">
        <f t="shared" si="11"/>
        <v>35.619999999999997</v>
      </c>
      <c r="L717" t="str" cm="1">
        <f t="array" ref="L717">_xlfn.IFS(E717&gt;=52000000,"Platinum",E717&gt;=37000000,"Gold",E717&gt;=30000000,"Sliver",E717&lt;30000000,"Bronze")</f>
        <v>Sliver</v>
      </c>
    </row>
    <row r="718" spans="1:12" x14ac:dyDescent="0.25">
      <c r="A718">
        <v>717</v>
      </c>
      <c r="B718" t="s">
        <v>738</v>
      </c>
      <c r="C718" t="s">
        <v>16</v>
      </c>
      <c r="D718" t="s">
        <v>25</v>
      </c>
      <c r="E718" s="4">
        <v>41204123</v>
      </c>
      <c r="F718">
        <v>55.76</v>
      </c>
      <c r="G718">
        <v>4.3600000000000003</v>
      </c>
      <c r="H718">
        <v>261.88</v>
      </c>
      <c r="I718">
        <v>7.83</v>
      </c>
      <c r="J718" s="5">
        <v>46060</v>
      </c>
      <c r="K718">
        <f t="shared" si="11"/>
        <v>26.04</v>
      </c>
      <c r="L718" t="str" cm="1">
        <f t="array" ref="L718">_xlfn.IFS(E718&gt;=52000000,"Platinum",E718&gt;=37000000,"Gold",E718&gt;=30000000,"Sliver",E718&lt;30000000,"Bronze")</f>
        <v>Gold</v>
      </c>
    </row>
    <row r="719" spans="1:12" x14ac:dyDescent="0.25">
      <c r="A719">
        <v>718</v>
      </c>
      <c r="B719" t="s">
        <v>739</v>
      </c>
      <c r="C719" t="s">
        <v>19</v>
      </c>
      <c r="D719" t="s">
        <v>25</v>
      </c>
      <c r="E719" s="4">
        <v>32784004</v>
      </c>
      <c r="F719">
        <v>46.2</v>
      </c>
      <c r="G719">
        <v>3.73</v>
      </c>
      <c r="H719">
        <v>223.98</v>
      </c>
      <c r="I719">
        <v>8.08</v>
      </c>
      <c r="J719" s="5">
        <v>46060</v>
      </c>
      <c r="K719">
        <f t="shared" si="11"/>
        <v>30.94</v>
      </c>
      <c r="L719" t="str" cm="1">
        <f t="array" ref="L719">_xlfn.IFS(E719&gt;=52000000,"Platinum",E719&gt;=37000000,"Gold",E719&gt;=30000000,"Sliver",E719&lt;30000000,"Bronze")</f>
        <v>Sliver</v>
      </c>
    </row>
    <row r="720" spans="1:12" x14ac:dyDescent="0.25">
      <c r="A720">
        <v>719</v>
      </c>
      <c r="B720" t="s">
        <v>740</v>
      </c>
      <c r="C720" t="s">
        <v>21</v>
      </c>
      <c r="D720" t="s">
        <v>32</v>
      </c>
      <c r="E720" s="4">
        <v>37398267</v>
      </c>
      <c r="F720">
        <v>36.56</v>
      </c>
      <c r="G720">
        <v>2.92</v>
      </c>
      <c r="H720">
        <v>175.45</v>
      </c>
      <c r="I720">
        <v>8</v>
      </c>
      <c r="J720" s="5">
        <v>46060</v>
      </c>
      <c r="K720">
        <f t="shared" si="11"/>
        <v>35.72</v>
      </c>
      <c r="L720" t="str" cm="1">
        <f t="array" ref="L720">_xlfn.IFS(E720&gt;=52000000,"Platinum",E720&gt;=37000000,"Gold",E720&gt;=30000000,"Sliver",E720&lt;30000000,"Bronze")</f>
        <v>Gold</v>
      </c>
    </row>
    <row r="721" spans="1:12" x14ac:dyDescent="0.25">
      <c r="A721">
        <v>720</v>
      </c>
      <c r="B721" t="s">
        <v>741</v>
      </c>
      <c r="C721" t="s">
        <v>27</v>
      </c>
      <c r="D721" t="s">
        <v>25</v>
      </c>
      <c r="E721" s="4">
        <v>38670973</v>
      </c>
      <c r="F721">
        <v>18.3</v>
      </c>
      <c r="G721">
        <v>15.5</v>
      </c>
      <c r="H721">
        <v>929.91</v>
      </c>
      <c r="I721">
        <v>84.69</v>
      </c>
      <c r="J721" s="5">
        <v>46060</v>
      </c>
      <c r="K721">
        <f t="shared" si="11"/>
        <v>83.2</v>
      </c>
      <c r="L721" t="str" cm="1">
        <f t="array" ref="L721">_xlfn.IFS(E721&gt;=52000000,"Platinum",E721&gt;=37000000,"Gold",E721&gt;=30000000,"Sliver",E721&lt;30000000,"Bronze")</f>
        <v>Gold</v>
      </c>
    </row>
    <row r="722" spans="1:12" x14ac:dyDescent="0.25">
      <c r="A722">
        <v>721</v>
      </c>
      <c r="B722" t="s">
        <v>742</v>
      </c>
      <c r="C722" t="s">
        <v>46</v>
      </c>
      <c r="D722" t="s">
        <v>17</v>
      </c>
      <c r="E722" s="4">
        <v>30373559</v>
      </c>
      <c r="F722">
        <v>50.13</v>
      </c>
      <c r="G722">
        <v>8.07</v>
      </c>
      <c r="H722">
        <v>484</v>
      </c>
      <c r="I722">
        <v>16.09</v>
      </c>
      <c r="J722" s="5">
        <v>46060</v>
      </c>
      <c r="K722">
        <f t="shared" si="11"/>
        <v>32.979999999999997</v>
      </c>
      <c r="L722" t="str" cm="1">
        <f t="array" ref="L722">_xlfn.IFS(E722&gt;=52000000,"Platinum",E722&gt;=37000000,"Gold",E722&gt;=30000000,"Sliver",E722&lt;30000000,"Bronze")</f>
        <v>Sliver</v>
      </c>
    </row>
    <row r="723" spans="1:12" x14ac:dyDescent="0.25">
      <c r="A723">
        <v>722</v>
      </c>
      <c r="B723" t="s">
        <v>743</v>
      </c>
      <c r="C723" t="s">
        <v>16</v>
      </c>
      <c r="D723" t="s">
        <v>22</v>
      </c>
      <c r="E723" s="4">
        <v>42639537</v>
      </c>
      <c r="F723">
        <v>57.17</v>
      </c>
      <c r="G723">
        <v>4.1900000000000004</v>
      </c>
      <c r="H723">
        <v>251.18</v>
      </c>
      <c r="I723">
        <v>7.32</v>
      </c>
      <c r="J723" s="5">
        <v>46060</v>
      </c>
      <c r="K723">
        <f t="shared" si="11"/>
        <v>25.08</v>
      </c>
      <c r="L723" t="str" cm="1">
        <f t="array" ref="L723">_xlfn.IFS(E723&gt;=52000000,"Platinum",E723&gt;=37000000,"Gold",E723&gt;=30000000,"Sliver",E723&lt;30000000,"Bronze")</f>
        <v>Gold</v>
      </c>
    </row>
    <row r="724" spans="1:12" x14ac:dyDescent="0.25">
      <c r="A724">
        <v>723</v>
      </c>
      <c r="B724" t="s">
        <v>744</v>
      </c>
      <c r="C724" t="s">
        <v>29</v>
      </c>
      <c r="D724" t="s">
        <v>17</v>
      </c>
      <c r="E724" s="4">
        <v>31959253</v>
      </c>
      <c r="F724">
        <v>32.880000000000003</v>
      </c>
      <c r="G724">
        <v>5.72</v>
      </c>
      <c r="H724" s="1">
        <f>CALCULATION!$D$11</f>
        <v>343.315</v>
      </c>
      <c r="I724">
        <v>15.36</v>
      </c>
      <c r="J724" s="5">
        <v>46060</v>
      </c>
      <c r="K724">
        <f t="shared" si="11"/>
        <v>41.24</v>
      </c>
      <c r="L724" t="str" cm="1">
        <f t="array" ref="L724">_xlfn.IFS(E724&gt;=52000000,"Platinum",E724&gt;=37000000,"Gold",E724&gt;=30000000,"Sliver",E724&lt;30000000,"Bronze")</f>
        <v>Sliver</v>
      </c>
    </row>
    <row r="725" spans="1:12" x14ac:dyDescent="0.25">
      <c r="A725">
        <v>724</v>
      </c>
      <c r="B725" t="s">
        <v>745</v>
      </c>
      <c r="C725" t="s">
        <v>29</v>
      </c>
      <c r="D725" t="s">
        <v>22</v>
      </c>
      <c r="E725" s="4">
        <v>34340662</v>
      </c>
      <c r="F725">
        <v>49.47</v>
      </c>
      <c r="G725">
        <v>2.6</v>
      </c>
      <c r="H725">
        <v>156.01</v>
      </c>
      <c r="I725">
        <v>5.26</v>
      </c>
      <c r="J725" s="5">
        <v>46060</v>
      </c>
      <c r="K725">
        <f t="shared" si="11"/>
        <v>27.9</v>
      </c>
      <c r="L725" t="str" cm="1">
        <f t="array" ref="L725">_xlfn.IFS(E725&gt;=52000000,"Platinum",E725&gt;=37000000,"Gold",E725&gt;=30000000,"Sliver",E725&lt;30000000,"Bronze")</f>
        <v>Sliver</v>
      </c>
    </row>
    <row r="726" spans="1:12" x14ac:dyDescent="0.25">
      <c r="A726">
        <v>725</v>
      </c>
      <c r="B726" t="s">
        <v>746</v>
      </c>
      <c r="C726" t="s">
        <v>46</v>
      </c>
      <c r="D726" t="s">
        <v>11</v>
      </c>
      <c r="E726" s="4">
        <v>37735985</v>
      </c>
      <c r="F726">
        <v>47.86</v>
      </c>
      <c r="G726">
        <v>4.45</v>
      </c>
      <c r="H726">
        <v>267.16000000000003</v>
      </c>
      <c r="I726">
        <v>9.3000000000000007</v>
      </c>
      <c r="J726" s="5">
        <v>46060</v>
      </c>
      <c r="K726">
        <f t="shared" si="11"/>
        <v>30.72</v>
      </c>
      <c r="L726" t="str" cm="1">
        <f t="array" ref="L726">_xlfn.IFS(E726&gt;=52000000,"Platinum",E726&gt;=37000000,"Gold",E726&gt;=30000000,"Sliver",E726&lt;30000000,"Bronze")</f>
        <v>Gold</v>
      </c>
    </row>
    <row r="727" spans="1:12" x14ac:dyDescent="0.25">
      <c r="A727">
        <v>726</v>
      </c>
      <c r="B727" t="s">
        <v>747</v>
      </c>
      <c r="C727" t="s">
        <v>21</v>
      </c>
      <c r="D727" t="s">
        <v>25</v>
      </c>
      <c r="E727" s="4">
        <v>40464856</v>
      </c>
      <c r="F727">
        <v>37.36</v>
      </c>
      <c r="G727">
        <v>1.96</v>
      </c>
      <c r="H727">
        <v>117.39</v>
      </c>
      <c r="I727">
        <v>5.24</v>
      </c>
      <c r="J727" s="5">
        <v>46060</v>
      </c>
      <c r="K727">
        <f t="shared" si="11"/>
        <v>33.94</v>
      </c>
      <c r="L727" t="str" cm="1">
        <f t="array" ref="L727">_xlfn.IFS(E727&gt;=52000000,"Platinum",E727&gt;=37000000,"Gold",E727&gt;=30000000,"Sliver",E727&lt;30000000,"Bronze")</f>
        <v>Gold</v>
      </c>
    </row>
    <row r="728" spans="1:12" x14ac:dyDescent="0.25">
      <c r="A728">
        <v>727</v>
      </c>
      <c r="B728" t="s">
        <v>748</v>
      </c>
      <c r="C728" t="s">
        <v>16</v>
      </c>
      <c r="D728" t="s">
        <v>11</v>
      </c>
      <c r="E728" s="4">
        <v>36024071</v>
      </c>
      <c r="F728">
        <v>52.82</v>
      </c>
      <c r="G728">
        <v>6.58</v>
      </c>
      <c r="H728">
        <v>395.01</v>
      </c>
      <c r="I728">
        <v>12.46</v>
      </c>
      <c r="J728" s="5">
        <v>46060</v>
      </c>
      <c r="K728">
        <f t="shared" si="11"/>
        <v>29.82</v>
      </c>
      <c r="L728" t="str" cm="1">
        <f t="array" ref="L728">_xlfn.IFS(E728&gt;=52000000,"Platinum",E728&gt;=37000000,"Gold",E728&gt;=30000000,"Sliver",E728&lt;30000000,"Bronze")</f>
        <v>Sliver</v>
      </c>
    </row>
    <row r="729" spans="1:12" x14ac:dyDescent="0.25">
      <c r="A729">
        <v>728</v>
      </c>
      <c r="B729" t="s">
        <v>749</v>
      </c>
      <c r="C729" t="s">
        <v>21</v>
      </c>
      <c r="D729" t="s">
        <v>22</v>
      </c>
      <c r="E729" s="4">
        <v>40109600</v>
      </c>
      <c r="F729">
        <v>38.700000000000003</v>
      </c>
      <c r="G729">
        <v>2.8</v>
      </c>
      <c r="H729">
        <v>167.8</v>
      </c>
      <c r="I729">
        <v>7.23</v>
      </c>
      <c r="J729" s="5">
        <v>46060</v>
      </c>
      <c r="K729">
        <f t="shared" si="11"/>
        <v>34.270000000000003</v>
      </c>
      <c r="L729" t="str" cm="1">
        <f t="array" ref="L729">_xlfn.IFS(E729&gt;=52000000,"Platinum",E729&gt;=37000000,"Gold",E729&gt;=30000000,"Sliver",E729&lt;30000000,"Bronze")</f>
        <v>Gold</v>
      </c>
    </row>
    <row r="730" spans="1:12" x14ac:dyDescent="0.25">
      <c r="A730">
        <v>729</v>
      </c>
      <c r="B730" t="s">
        <v>750</v>
      </c>
      <c r="C730" t="s">
        <v>29</v>
      </c>
      <c r="D730" t="s">
        <v>11</v>
      </c>
      <c r="E730" s="4">
        <v>43528960</v>
      </c>
      <c r="F730">
        <v>51.7</v>
      </c>
      <c r="G730">
        <v>9.9700000000000006</v>
      </c>
      <c r="H730">
        <v>598.30999999999995</v>
      </c>
      <c r="I730">
        <v>19.29</v>
      </c>
      <c r="J730" s="5">
        <v>46060</v>
      </c>
      <c r="K730">
        <f t="shared" si="11"/>
        <v>33.799999999999997</v>
      </c>
      <c r="L730" t="str" cm="1">
        <f t="array" ref="L730">_xlfn.IFS(E730&gt;=52000000,"Platinum",E730&gt;=37000000,"Gold",E730&gt;=30000000,"Sliver",E730&lt;30000000,"Bronze")</f>
        <v>Gold</v>
      </c>
    </row>
    <row r="731" spans="1:12" x14ac:dyDescent="0.25">
      <c r="A731">
        <v>730</v>
      </c>
      <c r="B731" t="s">
        <v>751</v>
      </c>
      <c r="C731" t="s">
        <v>29</v>
      </c>
      <c r="D731" t="s">
        <v>13</v>
      </c>
      <c r="E731" s="4">
        <v>32539151</v>
      </c>
      <c r="F731">
        <v>45.75</v>
      </c>
      <c r="G731">
        <v>5.72</v>
      </c>
      <c r="H731" s="1">
        <f>CALCULATION!$D$11</f>
        <v>343.315</v>
      </c>
      <c r="I731">
        <v>11.41</v>
      </c>
      <c r="J731" s="5">
        <v>46060</v>
      </c>
      <c r="K731">
        <f t="shared" si="11"/>
        <v>32.83</v>
      </c>
      <c r="L731" t="str" cm="1">
        <f t="array" ref="L731">_xlfn.IFS(E731&gt;=52000000,"Platinum",E731&gt;=37000000,"Gold",E731&gt;=30000000,"Sliver",E731&lt;30000000,"Bronze")</f>
        <v>Sliver</v>
      </c>
    </row>
    <row r="732" spans="1:12" x14ac:dyDescent="0.25">
      <c r="A732">
        <v>731</v>
      </c>
      <c r="B732" t="s">
        <v>752</v>
      </c>
      <c r="C732" t="s">
        <v>16</v>
      </c>
      <c r="D732" t="s">
        <v>22</v>
      </c>
      <c r="E732" s="4">
        <v>43531379</v>
      </c>
      <c r="F732">
        <v>52.54</v>
      </c>
      <c r="G732">
        <v>7.39</v>
      </c>
      <c r="H732">
        <v>443.44</v>
      </c>
      <c r="I732">
        <v>14.07</v>
      </c>
      <c r="J732" s="5">
        <v>46060</v>
      </c>
      <c r="K732">
        <f t="shared" si="11"/>
        <v>30.77</v>
      </c>
      <c r="L732" t="str" cm="1">
        <f t="array" ref="L732">_xlfn.IFS(E732&gt;=52000000,"Platinum",E732&gt;=37000000,"Gold",E732&gt;=30000000,"Sliver",E732&lt;30000000,"Bronze")</f>
        <v>Gold</v>
      </c>
    </row>
    <row r="733" spans="1:12" x14ac:dyDescent="0.25">
      <c r="A733">
        <v>732</v>
      </c>
      <c r="B733" t="s">
        <v>753</v>
      </c>
      <c r="C733" t="s">
        <v>19</v>
      </c>
      <c r="D733" t="s">
        <v>17</v>
      </c>
      <c r="E733" s="4">
        <v>31481917</v>
      </c>
      <c r="F733">
        <v>56.17</v>
      </c>
      <c r="G733">
        <v>4.46</v>
      </c>
      <c r="H733">
        <v>267.58999999999997</v>
      </c>
      <c r="I733">
        <v>7.94</v>
      </c>
      <c r="J733" s="5">
        <v>46060</v>
      </c>
      <c r="K733">
        <f t="shared" si="11"/>
        <v>25.89</v>
      </c>
      <c r="L733" t="str" cm="1">
        <f t="array" ref="L733">_xlfn.IFS(E733&gt;=52000000,"Platinum",E733&gt;=37000000,"Gold",E733&gt;=30000000,"Sliver",E733&lt;30000000,"Bronze")</f>
        <v>Sliver</v>
      </c>
    </row>
    <row r="734" spans="1:12" x14ac:dyDescent="0.25">
      <c r="A734">
        <v>733</v>
      </c>
      <c r="B734" t="s">
        <v>754</v>
      </c>
      <c r="C734" t="s">
        <v>16</v>
      </c>
      <c r="D734" t="s">
        <v>32</v>
      </c>
      <c r="E734" s="4">
        <v>37702391</v>
      </c>
      <c r="F734">
        <v>46.45</v>
      </c>
      <c r="G734">
        <v>8.93</v>
      </c>
      <c r="H734">
        <v>535.72</v>
      </c>
      <c r="I734">
        <v>19.22</v>
      </c>
      <c r="J734" s="5">
        <v>46060</v>
      </c>
      <c r="K734">
        <f t="shared" si="11"/>
        <v>36.39</v>
      </c>
      <c r="L734" t="str" cm="1">
        <f t="array" ref="L734">_xlfn.IFS(E734&gt;=52000000,"Platinum",E734&gt;=37000000,"Gold",E734&gt;=30000000,"Sliver",E734&lt;30000000,"Bronze")</f>
        <v>Gold</v>
      </c>
    </row>
    <row r="735" spans="1:12" x14ac:dyDescent="0.25">
      <c r="A735">
        <v>734</v>
      </c>
      <c r="B735" t="s">
        <v>755</v>
      </c>
      <c r="C735" t="s">
        <v>10</v>
      </c>
      <c r="D735" t="s">
        <v>17</v>
      </c>
      <c r="E735" s="4">
        <v>38279943</v>
      </c>
      <c r="F735">
        <v>43.67</v>
      </c>
      <c r="G735">
        <v>9.65</v>
      </c>
      <c r="H735">
        <v>578.83000000000004</v>
      </c>
      <c r="I735">
        <v>22.09</v>
      </c>
      <c r="J735" s="5">
        <v>46060</v>
      </c>
      <c r="K735">
        <f t="shared" si="11"/>
        <v>39.21</v>
      </c>
      <c r="L735" t="str" cm="1">
        <f t="array" ref="L735">_xlfn.IFS(E735&gt;=52000000,"Platinum",E735&gt;=37000000,"Gold",E735&gt;=30000000,"Sliver",E735&lt;30000000,"Bronze")</f>
        <v>Gold</v>
      </c>
    </row>
    <row r="736" spans="1:12" x14ac:dyDescent="0.25">
      <c r="A736">
        <v>735</v>
      </c>
      <c r="B736" t="s">
        <v>756</v>
      </c>
      <c r="C736" t="s">
        <v>10</v>
      </c>
      <c r="D736" t="s">
        <v>17</v>
      </c>
      <c r="E736" s="4">
        <v>31368913</v>
      </c>
      <c r="F736">
        <v>38.4</v>
      </c>
      <c r="G736">
        <v>6.27</v>
      </c>
      <c r="H736">
        <v>376.3</v>
      </c>
      <c r="I736">
        <v>16.329999999999998</v>
      </c>
      <c r="J736" s="5">
        <v>46060</v>
      </c>
      <c r="K736">
        <f t="shared" si="11"/>
        <v>38.97</v>
      </c>
      <c r="L736" t="str" cm="1">
        <f t="array" ref="L736">_xlfn.IFS(E736&gt;=52000000,"Platinum",E736&gt;=37000000,"Gold",E736&gt;=30000000,"Sliver",E736&lt;30000000,"Bronze")</f>
        <v>Sliver</v>
      </c>
    </row>
    <row r="737" spans="1:12" x14ac:dyDescent="0.25">
      <c r="A737">
        <v>736</v>
      </c>
      <c r="B737" t="s">
        <v>757</v>
      </c>
      <c r="C737" t="s">
        <v>27</v>
      </c>
      <c r="D737" t="s">
        <v>22</v>
      </c>
      <c r="E737" s="4">
        <v>42292789</v>
      </c>
      <c r="F737">
        <v>17.82</v>
      </c>
      <c r="G737">
        <v>28.73</v>
      </c>
      <c r="H737">
        <v>1723.71</v>
      </c>
      <c r="I737">
        <v>161.21</v>
      </c>
      <c r="J737" s="5">
        <v>46060</v>
      </c>
      <c r="K737">
        <f t="shared" si="11"/>
        <v>121.7</v>
      </c>
      <c r="L737" t="str" cm="1">
        <f t="array" ref="L737">_xlfn.IFS(E737&gt;=52000000,"Platinum",E737&gt;=37000000,"Gold",E737&gt;=30000000,"Sliver",E737&lt;30000000,"Bronze")</f>
        <v>Gold</v>
      </c>
    </row>
    <row r="738" spans="1:12" x14ac:dyDescent="0.25">
      <c r="A738">
        <v>737</v>
      </c>
      <c r="B738" t="s">
        <v>758</v>
      </c>
      <c r="C738" t="s">
        <v>27</v>
      </c>
      <c r="D738" t="s">
        <v>22</v>
      </c>
      <c r="E738" s="4">
        <v>31547776</v>
      </c>
      <c r="F738" s="1">
        <f>CALCULATION!$C$11</f>
        <v>42.81</v>
      </c>
      <c r="G738" s="1">
        <v>24.25</v>
      </c>
      <c r="H738">
        <v>1454.82</v>
      </c>
      <c r="I738">
        <v>116.91</v>
      </c>
      <c r="J738" s="5">
        <v>46060</v>
      </c>
      <c r="K738">
        <f t="shared" si="11"/>
        <v>87.05</v>
      </c>
      <c r="L738" t="str" cm="1">
        <f t="array" ref="L738">_xlfn.IFS(E738&gt;=52000000,"Platinum",E738&gt;=37000000,"Gold",E738&gt;=30000000,"Sliver",E738&lt;30000000,"Bronze")</f>
        <v>Sliver</v>
      </c>
    </row>
    <row r="739" spans="1:12" x14ac:dyDescent="0.25">
      <c r="A739">
        <v>738</v>
      </c>
      <c r="B739" t="s">
        <v>759</v>
      </c>
      <c r="C739" t="s">
        <v>46</v>
      </c>
      <c r="D739" t="s">
        <v>17</v>
      </c>
      <c r="E739" s="4">
        <v>31139751</v>
      </c>
      <c r="F739">
        <v>42.92</v>
      </c>
      <c r="G739">
        <v>7.19</v>
      </c>
      <c r="H739">
        <v>431.52</v>
      </c>
      <c r="I739">
        <v>16.760000000000002</v>
      </c>
      <c r="J739" s="5">
        <v>46060</v>
      </c>
      <c r="K739">
        <f t="shared" si="11"/>
        <v>36.92</v>
      </c>
      <c r="L739" t="str" cm="1">
        <f t="array" ref="L739">_xlfn.IFS(E739&gt;=52000000,"Platinum",E739&gt;=37000000,"Gold",E739&gt;=30000000,"Sliver",E739&lt;30000000,"Bronze")</f>
        <v>Sliver</v>
      </c>
    </row>
    <row r="740" spans="1:12" x14ac:dyDescent="0.25">
      <c r="A740">
        <v>739</v>
      </c>
      <c r="B740" t="s">
        <v>760</v>
      </c>
      <c r="C740" t="s">
        <v>46</v>
      </c>
      <c r="D740" t="s">
        <v>17</v>
      </c>
      <c r="E740" s="4">
        <v>32672376</v>
      </c>
      <c r="F740">
        <v>35.799999999999997</v>
      </c>
      <c r="G740">
        <v>7.2</v>
      </c>
      <c r="H740">
        <v>432.04</v>
      </c>
      <c r="I740">
        <v>20.11</v>
      </c>
      <c r="J740" s="5">
        <v>46060</v>
      </c>
      <c r="K740">
        <f t="shared" si="11"/>
        <v>42.16</v>
      </c>
      <c r="L740" t="str" cm="1">
        <f t="array" ref="L740">_xlfn.IFS(E740&gt;=52000000,"Platinum",E740&gt;=37000000,"Gold",E740&gt;=30000000,"Sliver",E740&lt;30000000,"Bronze")</f>
        <v>Sliver</v>
      </c>
    </row>
    <row r="741" spans="1:12" x14ac:dyDescent="0.25">
      <c r="A741">
        <v>740</v>
      </c>
      <c r="B741" t="s">
        <v>761</v>
      </c>
      <c r="C741" t="s">
        <v>16</v>
      </c>
      <c r="D741" s="1" t="s">
        <v>32</v>
      </c>
      <c r="E741" s="4">
        <v>35065254</v>
      </c>
      <c r="F741">
        <v>52.54</v>
      </c>
      <c r="G741">
        <v>5.17</v>
      </c>
      <c r="H741">
        <v>309.94</v>
      </c>
      <c r="I741">
        <v>9.83</v>
      </c>
      <c r="J741" s="5">
        <v>46060</v>
      </c>
      <c r="K741">
        <f t="shared" si="11"/>
        <v>28.65</v>
      </c>
      <c r="L741" t="str" cm="1">
        <f t="array" ref="L741">_xlfn.IFS(E741&gt;=52000000,"Platinum",E741&gt;=37000000,"Gold",E741&gt;=30000000,"Sliver",E741&lt;30000000,"Bronze")</f>
        <v>Sliver</v>
      </c>
    </row>
    <row r="742" spans="1:12" x14ac:dyDescent="0.25">
      <c r="A742">
        <v>741</v>
      </c>
      <c r="B742" t="s">
        <v>762</v>
      </c>
      <c r="C742" t="s">
        <v>29</v>
      </c>
      <c r="D742" t="s">
        <v>11</v>
      </c>
      <c r="E742" s="4">
        <v>35342847</v>
      </c>
      <c r="F742">
        <v>43.98</v>
      </c>
      <c r="G742">
        <v>4.49</v>
      </c>
      <c r="H742">
        <v>269.31</v>
      </c>
      <c r="I742">
        <v>10.210000000000001</v>
      </c>
      <c r="J742" s="5">
        <v>46060</v>
      </c>
      <c r="K742">
        <f t="shared" si="11"/>
        <v>33.119999999999997</v>
      </c>
      <c r="L742" t="str" cm="1">
        <f t="array" ref="L742">_xlfn.IFS(E742&gt;=52000000,"Platinum",E742&gt;=37000000,"Gold",E742&gt;=30000000,"Sliver",E742&lt;30000000,"Bronze")</f>
        <v>Sliver</v>
      </c>
    </row>
    <row r="743" spans="1:12" x14ac:dyDescent="0.25">
      <c r="A743">
        <v>742</v>
      </c>
      <c r="B743" t="s">
        <v>763</v>
      </c>
      <c r="C743" t="s">
        <v>21</v>
      </c>
      <c r="D743" t="s">
        <v>25</v>
      </c>
      <c r="E743" s="4">
        <v>35978458</v>
      </c>
      <c r="F743" s="1">
        <f>CALCULATION!$C$11</f>
        <v>42.81</v>
      </c>
      <c r="G743" s="1">
        <v>1.92</v>
      </c>
      <c r="H743">
        <v>115.27</v>
      </c>
      <c r="I743">
        <v>4.24</v>
      </c>
      <c r="J743" s="5">
        <v>46060</v>
      </c>
      <c r="K743">
        <f t="shared" si="11"/>
        <v>30.72</v>
      </c>
      <c r="L743" t="str" cm="1">
        <f t="array" ref="L743">_xlfn.IFS(E743&gt;=52000000,"Platinum",E743&gt;=37000000,"Gold",E743&gt;=30000000,"Sliver",E743&lt;30000000,"Bronze")</f>
        <v>Sliver</v>
      </c>
    </row>
    <row r="744" spans="1:12" x14ac:dyDescent="0.25">
      <c r="A744">
        <v>743</v>
      </c>
      <c r="B744" t="s">
        <v>764</v>
      </c>
      <c r="C744" t="s">
        <v>46</v>
      </c>
      <c r="D744" s="1" t="s">
        <v>32</v>
      </c>
      <c r="E744" s="4">
        <v>37954141</v>
      </c>
      <c r="F744">
        <v>47.13</v>
      </c>
      <c r="G744">
        <v>7.83</v>
      </c>
      <c r="H744">
        <v>469.72</v>
      </c>
      <c r="I744">
        <v>16.61</v>
      </c>
      <c r="J744" s="5">
        <v>46060</v>
      </c>
      <c r="K744">
        <f t="shared" si="11"/>
        <v>34.74</v>
      </c>
      <c r="L744" t="str" cm="1">
        <f t="array" ref="L744">_xlfn.IFS(E744&gt;=52000000,"Platinum",E744&gt;=37000000,"Gold",E744&gt;=30000000,"Sliver",E744&lt;30000000,"Bronze")</f>
        <v>Gold</v>
      </c>
    </row>
    <row r="745" spans="1:12" x14ac:dyDescent="0.25">
      <c r="A745">
        <v>744</v>
      </c>
      <c r="B745" t="s">
        <v>765</v>
      </c>
      <c r="C745" t="s">
        <v>19</v>
      </c>
      <c r="D745" t="s">
        <v>32</v>
      </c>
      <c r="E745" s="4">
        <v>34699323</v>
      </c>
      <c r="F745">
        <v>54.15</v>
      </c>
      <c r="G745">
        <v>4.41</v>
      </c>
      <c r="H745">
        <v>264.33999999999997</v>
      </c>
      <c r="I745">
        <v>8.14</v>
      </c>
      <c r="J745" s="5">
        <v>46060</v>
      </c>
      <c r="K745">
        <f t="shared" si="11"/>
        <v>27</v>
      </c>
      <c r="L745" t="str" cm="1">
        <f t="array" ref="L745">_xlfn.IFS(E745&gt;=52000000,"Platinum",E745&gt;=37000000,"Gold",E745&gt;=30000000,"Sliver",E745&lt;30000000,"Bronze")</f>
        <v>Sliver</v>
      </c>
    </row>
    <row r="746" spans="1:12" x14ac:dyDescent="0.25">
      <c r="A746">
        <v>745</v>
      </c>
      <c r="B746" t="s">
        <v>766</v>
      </c>
      <c r="C746" t="s">
        <v>16</v>
      </c>
      <c r="D746" t="s">
        <v>22</v>
      </c>
      <c r="E746" s="4">
        <v>41660051</v>
      </c>
      <c r="F746">
        <v>50.18</v>
      </c>
      <c r="G746">
        <v>9.0299999999999994</v>
      </c>
      <c r="H746">
        <v>541.9</v>
      </c>
      <c r="I746">
        <v>18</v>
      </c>
      <c r="J746" s="5">
        <v>46060</v>
      </c>
      <c r="K746">
        <f t="shared" si="11"/>
        <v>33.909999999999997</v>
      </c>
      <c r="L746" t="str" cm="1">
        <f t="array" ref="L746">_xlfn.IFS(E746&gt;=52000000,"Platinum",E746&gt;=37000000,"Gold",E746&gt;=30000000,"Sliver",E746&lt;30000000,"Bronze")</f>
        <v>Gold</v>
      </c>
    </row>
    <row r="747" spans="1:12" x14ac:dyDescent="0.25">
      <c r="A747">
        <v>746</v>
      </c>
      <c r="B747" t="s">
        <v>767</v>
      </c>
      <c r="C747" s="1" t="s">
        <v>21</v>
      </c>
      <c r="D747" t="s">
        <v>32</v>
      </c>
      <c r="E747" s="4">
        <v>32807037</v>
      </c>
      <c r="F747">
        <v>56.39</v>
      </c>
      <c r="G747">
        <v>7.73</v>
      </c>
      <c r="H747">
        <v>463.52</v>
      </c>
      <c r="I747">
        <v>13.7</v>
      </c>
      <c r="J747" s="5">
        <v>46060</v>
      </c>
      <c r="K747">
        <f t="shared" si="11"/>
        <v>28.66</v>
      </c>
      <c r="L747" t="str" cm="1">
        <f t="array" ref="L747">_xlfn.IFS(E747&gt;=52000000,"Platinum",E747&gt;=37000000,"Gold",E747&gt;=30000000,"Sliver",E747&lt;30000000,"Bronze")</f>
        <v>Sliver</v>
      </c>
    </row>
    <row r="748" spans="1:12" x14ac:dyDescent="0.25">
      <c r="A748">
        <v>747</v>
      </c>
      <c r="B748" t="s">
        <v>768</v>
      </c>
      <c r="C748" t="s">
        <v>27</v>
      </c>
      <c r="D748" t="s">
        <v>13</v>
      </c>
      <c r="E748" s="4">
        <v>31615207</v>
      </c>
      <c r="F748">
        <v>19.510000000000002</v>
      </c>
      <c r="G748">
        <v>36.54</v>
      </c>
      <c r="H748">
        <v>2192.2399999999998</v>
      </c>
      <c r="I748">
        <v>187.27</v>
      </c>
      <c r="J748" s="5">
        <v>46060</v>
      </c>
      <c r="K748">
        <f t="shared" si="11"/>
        <v>133.88</v>
      </c>
      <c r="L748" t="str" cm="1">
        <f t="array" ref="L748">_xlfn.IFS(E748&gt;=52000000,"Platinum",E748&gt;=37000000,"Gold",E748&gt;=30000000,"Sliver",E748&lt;30000000,"Bronze")</f>
        <v>Sliver</v>
      </c>
    </row>
    <row r="749" spans="1:12" x14ac:dyDescent="0.25">
      <c r="A749">
        <v>748</v>
      </c>
      <c r="B749" t="s">
        <v>769</v>
      </c>
      <c r="C749" t="s">
        <v>10</v>
      </c>
      <c r="D749" t="s">
        <v>25</v>
      </c>
      <c r="E749" s="4">
        <v>36053846</v>
      </c>
      <c r="F749">
        <v>44.29</v>
      </c>
      <c r="G749">
        <v>7.83</v>
      </c>
      <c r="H749">
        <v>469.89</v>
      </c>
      <c r="I749">
        <v>17.68</v>
      </c>
      <c r="J749" s="5">
        <v>46060</v>
      </c>
      <c r="K749">
        <f t="shared" si="11"/>
        <v>36.700000000000003</v>
      </c>
      <c r="L749" t="str" cm="1">
        <f t="array" ref="L749">_xlfn.IFS(E749&gt;=52000000,"Platinum",E749&gt;=37000000,"Gold",E749&gt;=30000000,"Sliver",E749&lt;30000000,"Bronze")</f>
        <v>Sliver</v>
      </c>
    </row>
    <row r="750" spans="1:12" x14ac:dyDescent="0.25">
      <c r="A750">
        <v>749</v>
      </c>
      <c r="B750" t="s">
        <v>770</v>
      </c>
      <c r="C750" t="s">
        <v>19</v>
      </c>
      <c r="D750" t="s">
        <v>32</v>
      </c>
      <c r="E750" s="4">
        <v>38715117</v>
      </c>
      <c r="F750">
        <v>59.65</v>
      </c>
      <c r="G750">
        <v>8.06</v>
      </c>
      <c r="H750">
        <v>483.57</v>
      </c>
      <c r="I750">
        <v>13.51</v>
      </c>
      <c r="J750" s="5">
        <v>46060</v>
      </c>
      <c r="K750">
        <f t="shared" si="11"/>
        <v>26.93</v>
      </c>
      <c r="L750" t="str" cm="1">
        <f t="array" ref="L750">_xlfn.IFS(E750&gt;=52000000,"Platinum",E750&gt;=37000000,"Gold",E750&gt;=30000000,"Sliver",E750&lt;30000000,"Bronze")</f>
        <v>Gold</v>
      </c>
    </row>
    <row r="751" spans="1:12" x14ac:dyDescent="0.25">
      <c r="A751">
        <v>750</v>
      </c>
      <c r="B751" t="s">
        <v>771</v>
      </c>
      <c r="C751" t="s">
        <v>46</v>
      </c>
      <c r="D751" t="s">
        <v>25</v>
      </c>
      <c r="E751" s="4">
        <v>38269992</v>
      </c>
      <c r="F751">
        <v>31.65</v>
      </c>
      <c r="G751">
        <v>8.92</v>
      </c>
      <c r="H751">
        <v>534.91999999999996</v>
      </c>
      <c r="I751">
        <v>28.17</v>
      </c>
      <c r="J751" s="5">
        <v>46060</v>
      </c>
      <c r="K751">
        <f t="shared" si="11"/>
        <v>48.26</v>
      </c>
      <c r="L751" t="str" cm="1">
        <f t="array" ref="L751">_xlfn.IFS(E751&gt;=52000000,"Platinum",E751&gt;=37000000,"Gold",E751&gt;=30000000,"Sliver",E751&lt;30000000,"Bronze")</f>
        <v>Gold</v>
      </c>
    </row>
    <row r="752" spans="1:12" x14ac:dyDescent="0.25">
      <c r="A752">
        <v>751</v>
      </c>
      <c r="B752" t="s">
        <v>772</v>
      </c>
      <c r="C752" t="s">
        <v>16</v>
      </c>
      <c r="D752" t="s">
        <v>25</v>
      </c>
      <c r="E752" s="4">
        <v>34985734</v>
      </c>
      <c r="F752">
        <v>56.93</v>
      </c>
      <c r="G752">
        <v>4.91</v>
      </c>
      <c r="H752">
        <v>294.43</v>
      </c>
      <c r="I752">
        <v>8.6199999999999992</v>
      </c>
      <c r="J752" s="5">
        <v>46060</v>
      </c>
      <c r="K752">
        <f t="shared" si="11"/>
        <v>25.85</v>
      </c>
      <c r="L752" t="str" cm="1">
        <f t="array" ref="L752">_xlfn.IFS(E752&gt;=52000000,"Platinum",E752&gt;=37000000,"Gold",E752&gt;=30000000,"Sliver",E752&lt;30000000,"Bronze")</f>
        <v>Sliver</v>
      </c>
    </row>
    <row r="753" spans="1:12" x14ac:dyDescent="0.25">
      <c r="A753">
        <v>752</v>
      </c>
      <c r="B753" t="s">
        <v>773</v>
      </c>
      <c r="C753" t="s">
        <v>16</v>
      </c>
      <c r="D753" t="s">
        <v>17</v>
      </c>
      <c r="E753" s="4">
        <v>37129719</v>
      </c>
      <c r="F753">
        <v>53.98</v>
      </c>
      <c r="G753">
        <v>2.1800000000000002</v>
      </c>
      <c r="H753">
        <v>130.9</v>
      </c>
      <c r="I753">
        <v>4.04</v>
      </c>
      <c r="J753" s="5">
        <v>46060</v>
      </c>
      <c r="K753">
        <f t="shared" si="11"/>
        <v>25.03</v>
      </c>
      <c r="L753" t="str" cm="1">
        <f t="array" ref="L753">_xlfn.IFS(E753&gt;=52000000,"Platinum",E753&gt;=37000000,"Gold",E753&gt;=30000000,"Sliver",E753&lt;30000000,"Bronze")</f>
        <v>Gold</v>
      </c>
    </row>
    <row r="754" spans="1:12" x14ac:dyDescent="0.25">
      <c r="A754">
        <v>753</v>
      </c>
      <c r="B754" t="s">
        <v>774</v>
      </c>
      <c r="C754" t="s">
        <v>19</v>
      </c>
      <c r="D754" t="s">
        <v>22</v>
      </c>
      <c r="E754" s="4">
        <v>33429193</v>
      </c>
      <c r="F754">
        <v>53.78</v>
      </c>
      <c r="G754">
        <v>2.1800000000000002</v>
      </c>
      <c r="H754">
        <v>131</v>
      </c>
      <c r="I754">
        <v>4.0599999999999996</v>
      </c>
      <c r="J754" s="5">
        <v>46060</v>
      </c>
      <c r="K754">
        <f t="shared" si="11"/>
        <v>25.14</v>
      </c>
      <c r="L754" t="str" cm="1">
        <f t="array" ref="L754">_xlfn.IFS(E754&gt;=52000000,"Platinum",E754&gt;=37000000,"Gold",E754&gt;=30000000,"Sliver",E754&lt;30000000,"Bronze")</f>
        <v>Sliver</v>
      </c>
    </row>
    <row r="755" spans="1:12" x14ac:dyDescent="0.25">
      <c r="A755">
        <v>754</v>
      </c>
      <c r="B755" t="s">
        <v>775</v>
      </c>
      <c r="C755" s="1" t="s">
        <v>21</v>
      </c>
      <c r="D755" t="s">
        <v>11</v>
      </c>
      <c r="E755" s="4">
        <v>41557675</v>
      </c>
      <c r="F755">
        <v>18.920000000000002</v>
      </c>
      <c r="G755">
        <v>25.76</v>
      </c>
      <c r="H755">
        <v>1545.85</v>
      </c>
      <c r="I755">
        <v>136.16999999999999</v>
      </c>
      <c r="J755" s="5">
        <v>46060</v>
      </c>
      <c r="K755">
        <f t="shared" si="11"/>
        <v>108.63</v>
      </c>
      <c r="L755" t="str" cm="1">
        <f t="array" ref="L755">_xlfn.IFS(E755&gt;=52000000,"Platinum",E755&gt;=37000000,"Gold",E755&gt;=30000000,"Sliver",E755&lt;30000000,"Bronze")</f>
        <v>Gold</v>
      </c>
    </row>
    <row r="756" spans="1:12" x14ac:dyDescent="0.25">
      <c r="A756">
        <v>755</v>
      </c>
      <c r="B756" t="s">
        <v>776</v>
      </c>
      <c r="C756" t="s">
        <v>10</v>
      </c>
      <c r="D756" t="s">
        <v>13</v>
      </c>
      <c r="E756" s="4">
        <v>37549050</v>
      </c>
      <c r="F756">
        <v>54.91</v>
      </c>
      <c r="G756">
        <v>8.86</v>
      </c>
      <c r="H756">
        <v>531.67999999999995</v>
      </c>
      <c r="I756">
        <v>16.14</v>
      </c>
      <c r="J756" s="5">
        <v>46060</v>
      </c>
      <c r="K756">
        <f t="shared" si="11"/>
        <v>30.62</v>
      </c>
      <c r="L756" t="str" cm="1">
        <f t="array" ref="L756">_xlfn.IFS(E756&gt;=52000000,"Platinum",E756&gt;=37000000,"Gold",E756&gt;=30000000,"Sliver",E756&lt;30000000,"Bronze")</f>
        <v>Gold</v>
      </c>
    </row>
    <row r="757" spans="1:12" x14ac:dyDescent="0.25">
      <c r="A757">
        <v>756</v>
      </c>
      <c r="B757" t="s">
        <v>777</v>
      </c>
      <c r="C757" t="s">
        <v>19</v>
      </c>
      <c r="D757" t="s">
        <v>32</v>
      </c>
      <c r="E757" s="4">
        <v>35393824</v>
      </c>
      <c r="F757">
        <v>51.45</v>
      </c>
      <c r="G757">
        <v>3.72</v>
      </c>
      <c r="H757">
        <v>223.33</v>
      </c>
      <c r="I757">
        <v>7.23</v>
      </c>
      <c r="J757" s="5">
        <v>46060</v>
      </c>
      <c r="K757">
        <f t="shared" si="11"/>
        <v>27.89</v>
      </c>
      <c r="L757" t="str" cm="1">
        <f t="array" ref="L757">_xlfn.IFS(E757&gt;=52000000,"Platinum",E757&gt;=37000000,"Gold",E757&gt;=30000000,"Sliver",E757&lt;30000000,"Bronze")</f>
        <v>Sliver</v>
      </c>
    </row>
    <row r="758" spans="1:12" x14ac:dyDescent="0.25">
      <c r="A758">
        <v>757</v>
      </c>
      <c r="B758" t="s">
        <v>778</v>
      </c>
      <c r="C758" t="s">
        <v>19</v>
      </c>
      <c r="D758" t="s">
        <v>32</v>
      </c>
      <c r="E758" s="4">
        <v>30742304</v>
      </c>
      <c r="F758">
        <v>47.18</v>
      </c>
      <c r="G758">
        <v>3.53</v>
      </c>
      <c r="H758">
        <v>211.69</v>
      </c>
      <c r="I758">
        <v>7.48</v>
      </c>
      <c r="J758" s="5">
        <v>46060</v>
      </c>
      <c r="K758">
        <f t="shared" si="11"/>
        <v>30.15</v>
      </c>
      <c r="L758" t="str" cm="1">
        <f t="array" ref="L758">_xlfn.IFS(E758&gt;=52000000,"Platinum",E758&gt;=37000000,"Gold",E758&gt;=30000000,"Sliver",E758&lt;30000000,"Bronze")</f>
        <v>Sliver</v>
      </c>
    </row>
    <row r="759" spans="1:12" x14ac:dyDescent="0.25">
      <c r="A759">
        <v>758</v>
      </c>
      <c r="B759" t="s">
        <v>779</v>
      </c>
      <c r="C759" t="s">
        <v>16</v>
      </c>
      <c r="D759" t="s">
        <v>17</v>
      </c>
      <c r="E759" s="4">
        <v>32598971</v>
      </c>
      <c r="F759">
        <v>54.44</v>
      </c>
      <c r="G759">
        <v>5.72</v>
      </c>
      <c r="H759" s="1">
        <f>CALCULATION!$D$11</f>
        <v>343.315</v>
      </c>
      <c r="I759">
        <v>16.93</v>
      </c>
      <c r="J759" s="5">
        <v>46060</v>
      </c>
      <c r="K759">
        <f t="shared" si="11"/>
        <v>31.25</v>
      </c>
      <c r="L759" t="str" cm="1">
        <f t="array" ref="L759">_xlfn.IFS(E759&gt;=52000000,"Platinum",E759&gt;=37000000,"Gold",E759&gt;=30000000,"Sliver",E759&lt;30000000,"Bronze")</f>
        <v>Sliver</v>
      </c>
    </row>
    <row r="760" spans="1:12" x14ac:dyDescent="0.25">
      <c r="A760">
        <v>759</v>
      </c>
      <c r="B760" t="s">
        <v>780</v>
      </c>
      <c r="C760" t="s">
        <v>10</v>
      </c>
      <c r="D760" t="s">
        <v>22</v>
      </c>
      <c r="E760" s="4">
        <v>39533409</v>
      </c>
      <c r="F760">
        <v>52.23</v>
      </c>
      <c r="G760">
        <v>4.28</v>
      </c>
      <c r="H760">
        <v>256.77</v>
      </c>
      <c r="I760">
        <v>8.19</v>
      </c>
      <c r="J760" s="5">
        <v>46060</v>
      </c>
      <c r="K760">
        <f t="shared" si="11"/>
        <v>27.98</v>
      </c>
      <c r="L760" t="str" cm="1">
        <f t="array" ref="L760">_xlfn.IFS(E760&gt;=52000000,"Platinum",E760&gt;=37000000,"Gold",E760&gt;=30000000,"Sliver",E760&lt;30000000,"Bronze")</f>
        <v>Gold</v>
      </c>
    </row>
    <row r="761" spans="1:12" x14ac:dyDescent="0.25">
      <c r="A761">
        <v>760</v>
      </c>
      <c r="B761" t="s">
        <v>781</v>
      </c>
      <c r="C761" t="s">
        <v>29</v>
      </c>
      <c r="D761" t="s">
        <v>11</v>
      </c>
      <c r="E761" s="4">
        <v>32749738</v>
      </c>
      <c r="F761">
        <v>54.82</v>
      </c>
      <c r="G761">
        <v>8.8699999999999992</v>
      </c>
      <c r="H761">
        <v>532.33000000000004</v>
      </c>
      <c r="I761">
        <v>16.18</v>
      </c>
      <c r="J761" s="5">
        <v>46060</v>
      </c>
      <c r="K761">
        <f t="shared" si="11"/>
        <v>30.68</v>
      </c>
      <c r="L761" t="str" cm="1">
        <f t="array" ref="L761">_xlfn.IFS(E761&gt;=52000000,"Platinum",E761&gt;=37000000,"Gold",E761&gt;=30000000,"Sliver",E761&lt;30000000,"Bronze")</f>
        <v>Sliver</v>
      </c>
    </row>
    <row r="762" spans="1:12" x14ac:dyDescent="0.25">
      <c r="A762">
        <v>761</v>
      </c>
      <c r="B762" t="s">
        <v>782</v>
      </c>
      <c r="C762" t="s">
        <v>29</v>
      </c>
      <c r="D762" t="s">
        <v>13</v>
      </c>
      <c r="E762" s="4">
        <v>36895927</v>
      </c>
      <c r="F762">
        <v>35.93</v>
      </c>
      <c r="G762">
        <v>3.4</v>
      </c>
      <c r="H762">
        <v>203.75</v>
      </c>
      <c r="I762">
        <v>9.4499999999999993</v>
      </c>
      <c r="J762" s="5">
        <v>46060</v>
      </c>
      <c r="K762">
        <f t="shared" si="11"/>
        <v>36.76</v>
      </c>
      <c r="L762" t="str" cm="1">
        <f t="array" ref="L762">_xlfn.IFS(E762&gt;=52000000,"Platinum",E762&gt;=37000000,"Gold",E762&gt;=30000000,"Sliver",E762&lt;30000000,"Bronze")</f>
        <v>Sliver</v>
      </c>
    </row>
    <row r="763" spans="1:12" x14ac:dyDescent="0.25">
      <c r="A763">
        <v>762</v>
      </c>
      <c r="B763" t="s">
        <v>783</v>
      </c>
      <c r="C763" t="s">
        <v>21</v>
      </c>
      <c r="D763" t="s">
        <v>13</v>
      </c>
      <c r="E763" s="4">
        <v>33749229</v>
      </c>
      <c r="F763">
        <v>39.01</v>
      </c>
      <c r="G763">
        <v>2.7</v>
      </c>
      <c r="H763">
        <v>161.97</v>
      </c>
      <c r="I763">
        <v>6.92</v>
      </c>
      <c r="J763" s="5">
        <v>46060</v>
      </c>
      <c r="K763">
        <f t="shared" si="11"/>
        <v>33.96</v>
      </c>
      <c r="L763" t="str" cm="1">
        <f t="array" ref="L763">_xlfn.IFS(E763&gt;=52000000,"Platinum",E763&gt;=37000000,"Gold",E763&gt;=30000000,"Sliver",E763&lt;30000000,"Bronze")</f>
        <v>Sliver</v>
      </c>
    </row>
    <row r="764" spans="1:12" x14ac:dyDescent="0.25">
      <c r="A764">
        <v>763</v>
      </c>
      <c r="B764" t="s">
        <v>784</v>
      </c>
      <c r="C764" t="s">
        <v>21</v>
      </c>
      <c r="D764" t="s">
        <v>17</v>
      </c>
      <c r="E764" s="4">
        <v>29920826</v>
      </c>
      <c r="F764">
        <v>42.32</v>
      </c>
      <c r="G764">
        <v>2.46</v>
      </c>
      <c r="H764">
        <v>147.32</v>
      </c>
      <c r="I764">
        <v>5.8</v>
      </c>
      <c r="J764" s="5">
        <v>46060</v>
      </c>
      <c r="K764">
        <f t="shared" si="11"/>
        <v>31.74</v>
      </c>
      <c r="L764" t="str" cm="1">
        <f t="array" ref="L764">_xlfn.IFS(E764&gt;=52000000,"Platinum",E764&gt;=37000000,"Gold",E764&gt;=30000000,"Sliver",E764&lt;30000000,"Bronze")</f>
        <v>Bronze</v>
      </c>
    </row>
    <row r="765" spans="1:12" x14ac:dyDescent="0.25">
      <c r="A765">
        <v>764</v>
      </c>
      <c r="B765" t="s">
        <v>785</v>
      </c>
      <c r="C765" t="s">
        <v>19</v>
      </c>
      <c r="D765" t="s">
        <v>25</v>
      </c>
      <c r="E765" s="4">
        <v>40249272</v>
      </c>
      <c r="F765">
        <v>44.24</v>
      </c>
      <c r="G765">
        <v>9.26</v>
      </c>
      <c r="H765">
        <v>555.88</v>
      </c>
      <c r="I765">
        <v>20.94</v>
      </c>
      <c r="J765" s="5">
        <v>46060</v>
      </c>
      <c r="K765">
        <f t="shared" si="11"/>
        <v>38.35</v>
      </c>
      <c r="L765" t="str" cm="1">
        <f t="array" ref="L765">_xlfn.IFS(E765&gt;=52000000,"Platinum",E765&gt;=37000000,"Gold",E765&gt;=30000000,"Sliver",E765&lt;30000000,"Bronze")</f>
        <v>Gold</v>
      </c>
    </row>
    <row r="766" spans="1:12" x14ac:dyDescent="0.25">
      <c r="A766">
        <v>765</v>
      </c>
      <c r="B766" t="s">
        <v>786</v>
      </c>
      <c r="C766" t="s">
        <v>19</v>
      </c>
      <c r="D766" t="s">
        <v>17</v>
      </c>
      <c r="E766" s="4">
        <v>29998143</v>
      </c>
      <c r="F766">
        <v>43.53</v>
      </c>
      <c r="G766">
        <v>7.71</v>
      </c>
      <c r="H766">
        <v>462.55</v>
      </c>
      <c r="I766">
        <v>17.71</v>
      </c>
      <c r="J766" s="5">
        <v>46060</v>
      </c>
      <c r="K766">
        <f t="shared" si="11"/>
        <v>37.090000000000003</v>
      </c>
      <c r="L766" t="str" cm="1">
        <f t="array" ref="L766">_xlfn.IFS(E766&gt;=52000000,"Platinum",E766&gt;=37000000,"Gold",E766&gt;=30000000,"Sliver",E766&lt;30000000,"Bronze")</f>
        <v>Bronze</v>
      </c>
    </row>
    <row r="767" spans="1:12" x14ac:dyDescent="0.25">
      <c r="A767">
        <v>766</v>
      </c>
      <c r="B767" t="s">
        <v>787</v>
      </c>
      <c r="C767" t="s">
        <v>21</v>
      </c>
      <c r="D767" t="s">
        <v>17</v>
      </c>
      <c r="E767" s="4">
        <v>39253249</v>
      </c>
      <c r="F767">
        <v>38.68</v>
      </c>
      <c r="G767">
        <v>2.99</v>
      </c>
      <c r="H767">
        <v>179.3</v>
      </c>
      <c r="I767">
        <v>7.73</v>
      </c>
      <c r="J767" s="5">
        <v>46060</v>
      </c>
      <c r="K767">
        <f t="shared" si="11"/>
        <v>34.53</v>
      </c>
      <c r="L767" t="str" cm="1">
        <f t="array" ref="L767">_xlfn.IFS(E767&gt;=52000000,"Platinum",E767&gt;=37000000,"Gold",E767&gt;=30000000,"Sliver",E767&lt;30000000,"Bronze")</f>
        <v>Gold</v>
      </c>
    </row>
    <row r="768" spans="1:12" x14ac:dyDescent="0.25">
      <c r="A768">
        <v>767</v>
      </c>
      <c r="B768" t="s">
        <v>788</v>
      </c>
      <c r="C768" t="s">
        <v>19</v>
      </c>
      <c r="D768" t="s">
        <v>11</v>
      </c>
      <c r="E768" s="4">
        <v>41002405</v>
      </c>
      <c r="F768">
        <v>43.94</v>
      </c>
      <c r="G768">
        <v>3.63</v>
      </c>
      <c r="H768">
        <v>217.86</v>
      </c>
      <c r="I768">
        <v>8.26</v>
      </c>
      <c r="J768" s="5">
        <v>46060</v>
      </c>
      <c r="K768">
        <f t="shared" si="11"/>
        <v>32.159999999999997</v>
      </c>
      <c r="L768" t="str" cm="1">
        <f t="array" ref="L768">_xlfn.IFS(E768&gt;=52000000,"Platinum",E768&gt;=37000000,"Gold",E768&gt;=30000000,"Sliver",E768&lt;30000000,"Bronze")</f>
        <v>Gold</v>
      </c>
    </row>
    <row r="769" spans="1:12" x14ac:dyDescent="0.25">
      <c r="A769">
        <v>768</v>
      </c>
      <c r="B769" t="s">
        <v>789</v>
      </c>
      <c r="C769" t="s">
        <v>29</v>
      </c>
      <c r="D769" t="s">
        <v>32</v>
      </c>
      <c r="E769" s="4">
        <v>32428529</v>
      </c>
      <c r="F769">
        <v>53.85</v>
      </c>
      <c r="G769">
        <v>4.3600000000000003</v>
      </c>
      <c r="H769">
        <v>261.67</v>
      </c>
      <c r="I769">
        <v>8.1</v>
      </c>
      <c r="J769" s="5">
        <v>46060</v>
      </c>
      <c r="K769">
        <f t="shared" si="11"/>
        <v>27.13</v>
      </c>
      <c r="L769" t="str" cm="1">
        <f t="array" ref="L769">_xlfn.IFS(E769&gt;=52000000,"Platinum",E769&gt;=37000000,"Gold",E769&gt;=30000000,"Sliver",E769&lt;30000000,"Bronze")</f>
        <v>Sliver</v>
      </c>
    </row>
    <row r="770" spans="1:12" x14ac:dyDescent="0.25">
      <c r="A770">
        <v>769</v>
      </c>
      <c r="B770" t="s">
        <v>790</v>
      </c>
      <c r="C770" t="s">
        <v>27</v>
      </c>
      <c r="D770" t="s">
        <v>22</v>
      </c>
      <c r="E770" s="4">
        <v>31042036</v>
      </c>
      <c r="F770">
        <v>28.83</v>
      </c>
      <c r="G770">
        <v>12.23</v>
      </c>
      <c r="H770">
        <v>733.86</v>
      </c>
      <c r="I770">
        <v>42.42</v>
      </c>
      <c r="J770" s="5">
        <v>46060</v>
      </c>
      <c r="K770">
        <f t="shared" si="11"/>
        <v>56.8</v>
      </c>
      <c r="L770" t="str" cm="1">
        <f t="array" ref="L770">_xlfn.IFS(E770&gt;=52000000,"Platinum",E770&gt;=37000000,"Gold",E770&gt;=30000000,"Sliver",E770&lt;30000000,"Bronze")</f>
        <v>Sliver</v>
      </c>
    </row>
    <row r="771" spans="1:12" x14ac:dyDescent="0.25">
      <c r="A771">
        <v>770</v>
      </c>
      <c r="B771" t="s">
        <v>791</v>
      </c>
      <c r="C771" t="s">
        <v>27</v>
      </c>
      <c r="D771" t="s">
        <v>13</v>
      </c>
      <c r="E771" s="4">
        <v>39868717</v>
      </c>
      <c r="F771">
        <v>28.25</v>
      </c>
      <c r="G771">
        <v>17.47</v>
      </c>
      <c r="H771">
        <v>1048.18</v>
      </c>
      <c r="I771">
        <v>61.84</v>
      </c>
      <c r="J771" s="5">
        <v>46060</v>
      </c>
      <c r="K771">
        <f t="shared" ref="K771:K834" si="12">ROUND((100-F771)*0.5 + I771*0.5,2)</f>
        <v>66.8</v>
      </c>
      <c r="L771" t="str" cm="1">
        <f t="array" ref="L771">_xlfn.IFS(E771&gt;=52000000,"Platinum",E771&gt;=37000000,"Gold",E771&gt;=30000000,"Sliver",E771&lt;30000000,"Bronze")</f>
        <v>Gold</v>
      </c>
    </row>
    <row r="772" spans="1:12" x14ac:dyDescent="0.25">
      <c r="A772">
        <v>771</v>
      </c>
      <c r="B772" t="s">
        <v>792</v>
      </c>
      <c r="C772" t="s">
        <v>10</v>
      </c>
      <c r="D772" t="s">
        <v>11</v>
      </c>
      <c r="E772" s="4">
        <v>38286496</v>
      </c>
      <c r="F772">
        <v>54.92</v>
      </c>
      <c r="G772">
        <v>6.11</v>
      </c>
      <c r="H772">
        <v>366.46</v>
      </c>
      <c r="I772">
        <v>11.12</v>
      </c>
      <c r="J772" s="5">
        <v>46060</v>
      </c>
      <c r="K772">
        <f t="shared" si="12"/>
        <v>28.1</v>
      </c>
      <c r="L772" t="str" cm="1">
        <f t="array" ref="L772">_xlfn.IFS(E772&gt;=52000000,"Platinum",E772&gt;=37000000,"Gold",E772&gt;=30000000,"Sliver",E772&lt;30000000,"Bronze")</f>
        <v>Gold</v>
      </c>
    </row>
    <row r="773" spans="1:12" x14ac:dyDescent="0.25">
      <c r="A773">
        <v>772</v>
      </c>
      <c r="B773" t="s">
        <v>793</v>
      </c>
      <c r="C773" t="s">
        <v>29</v>
      </c>
      <c r="D773" t="s">
        <v>25</v>
      </c>
      <c r="E773" s="4">
        <v>39345745</v>
      </c>
      <c r="F773">
        <v>56.27</v>
      </c>
      <c r="G773">
        <v>9.73</v>
      </c>
      <c r="H773">
        <v>583.72</v>
      </c>
      <c r="I773">
        <v>17.29</v>
      </c>
      <c r="J773" s="5">
        <v>46060</v>
      </c>
      <c r="K773">
        <f t="shared" si="12"/>
        <v>30.51</v>
      </c>
      <c r="L773" t="str" cm="1">
        <f t="array" ref="L773">_xlfn.IFS(E773&gt;=52000000,"Platinum",E773&gt;=37000000,"Gold",E773&gt;=30000000,"Sliver",E773&lt;30000000,"Bronze")</f>
        <v>Gold</v>
      </c>
    </row>
    <row r="774" spans="1:12" x14ac:dyDescent="0.25">
      <c r="A774">
        <v>773</v>
      </c>
      <c r="B774" t="s">
        <v>794</v>
      </c>
      <c r="C774" t="s">
        <v>27</v>
      </c>
      <c r="D774" t="s">
        <v>17</v>
      </c>
      <c r="E774" s="4">
        <v>32982898</v>
      </c>
      <c r="F774">
        <v>19.75</v>
      </c>
      <c r="G774">
        <v>38.909999999999997</v>
      </c>
      <c r="H774">
        <v>2334.61</v>
      </c>
      <c r="I774">
        <v>197.01</v>
      </c>
      <c r="J774" s="5">
        <v>46060</v>
      </c>
      <c r="K774">
        <f t="shared" si="12"/>
        <v>138.63</v>
      </c>
      <c r="L774" t="str" cm="1">
        <f t="array" ref="L774">_xlfn.IFS(E774&gt;=52000000,"Platinum",E774&gt;=37000000,"Gold",E774&gt;=30000000,"Sliver",E774&lt;30000000,"Bronze")</f>
        <v>Sliver</v>
      </c>
    </row>
    <row r="775" spans="1:12" x14ac:dyDescent="0.25">
      <c r="A775">
        <v>774</v>
      </c>
      <c r="B775" t="s">
        <v>795</v>
      </c>
      <c r="C775" t="s">
        <v>27</v>
      </c>
      <c r="D775" t="s">
        <v>17</v>
      </c>
      <c r="E775" s="4">
        <v>34417632</v>
      </c>
      <c r="F775">
        <v>21.48</v>
      </c>
      <c r="G775">
        <v>21.64</v>
      </c>
      <c r="H775">
        <v>1298.3800000000001</v>
      </c>
      <c r="I775">
        <v>100.74</v>
      </c>
      <c r="J775" s="5">
        <v>46060</v>
      </c>
      <c r="K775">
        <f t="shared" si="12"/>
        <v>89.63</v>
      </c>
      <c r="L775" t="str" cm="1">
        <f t="array" ref="L775">_xlfn.IFS(E775&gt;=52000000,"Platinum",E775&gt;=37000000,"Gold",E775&gt;=30000000,"Sliver",E775&lt;30000000,"Bronze")</f>
        <v>Sliver</v>
      </c>
    </row>
    <row r="776" spans="1:12" x14ac:dyDescent="0.25">
      <c r="A776">
        <v>775</v>
      </c>
      <c r="B776" t="s">
        <v>796</v>
      </c>
      <c r="C776" t="s">
        <v>21</v>
      </c>
      <c r="D776" t="s">
        <v>22</v>
      </c>
      <c r="E776" s="4">
        <v>38732508</v>
      </c>
      <c r="F776">
        <v>45.58</v>
      </c>
      <c r="G776">
        <v>1.63</v>
      </c>
      <c r="H776">
        <v>97.91</v>
      </c>
      <c r="I776">
        <v>3.58</v>
      </c>
      <c r="J776" s="5">
        <v>46060</v>
      </c>
      <c r="K776">
        <f t="shared" si="12"/>
        <v>29</v>
      </c>
      <c r="L776" t="str" cm="1">
        <f t="array" ref="L776">_xlfn.IFS(E776&gt;=52000000,"Platinum",E776&gt;=37000000,"Gold",E776&gt;=30000000,"Sliver",E776&lt;30000000,"Bronze")</f>
        <v>Gold</v>
      </c>
    </row>
    <row r="777" spans="1:12" x14ac:dyDescent="0.25">
      <c r="A777">
        <v>776</v>
      </c>
      <c r="B777" t="s">
        <v>797</v>
      </c>
      <c r="C777" t="s">
        <v>29</v>
      </c>
      <c r="D777" t="s">
        <v>17</v>
      </c>
      <c r="E777" s="4">
        <v>28861781</v>
      </c>
      <c r="F777">
        <v>43.31</v>
      </c>
      <c r="G777">
        <v>2.7</v>
      </c>
      <c r="H777">
        <v>161.77000000000001</v>
      </c>
      <c r="I777">
        <v>6.23</v>
      </c>
      <c r="J777" s="5">
        <v>46060</v>
      </c>
      <c r="K777">
        <f t="shared" si="12"/>
        <v>31.46</v>
      </c>
      <c r="L777" t="str" cm="1">
        <f t="array" ref="L777">_xlfn.IFS(E777&gt;=52000000,"Platinum",E777&gt;=37000000,"Gold",E777&gt;=30000000,"Sliver",E777&lt;30000000,"Bronze")</f>
        <v>Bronze</v>
      </c>
    </row>
    <row r="778" spans="1:12" x14ac:dyDescent="0.25">
      <c r="A778">
        <v>777</v>
      </c>
      <c r="B778" t="s">
        <v>798</v>
      </c>
      <c r="C778" t="s">
        <v>21</v>
      </c>
      <c r="D778" t="s">
        <v>17</v>
      </c>
      <c r="E778" s="4">
        <v>37869534</v>
      </c>
      <c r="F778">
        <v>37.72</v>
      </c>
      <c r="G778">
        <v>2.2400000000000002</v>
      </c>
      <c r="H778">
        <v>134.55000000000001</v>
      </c>
      <c r="I778">
        <v>5.95</v>
      </c>
      <c r="J778" s="5">
        <v>46060</v>
      </c>
      <c r="K778">
        <f t="shared" si="12"/>
        <v>34.119999999999997</v>
      </c>
      <c r="L778" t="str" cm="1">
        <f t="array" ref="L778">_xlfn.IFS(E778&gt;=52000000,"Platinum",E778&gt;=37000000,"Gold",E778&gt;=30000000,"Sliver",E778&lt;30000000,"Bronze")</f>
        <v>Gold</v>
      </c>
    </row>
    <row r="779" spans="1:12" x14ac:dyDescent="0.25">
      <c r="A779">
        <v>778</v>
      </c>
      <c r="B779" t="s">
        <v>799</v>
      </c>
      <c r="C779" t="s">
        <v>46</v>
      </c>
      <c r="D779" t="s">
        <v>32</v>
      </c>
      <c r="E779" s="4">
        <v>38779325</v>
      </c>
      <c r="F779">
        <v>43.23</v>
      </c>
      <c r="G779">
        <v>9.2799999999999994</v>
      </c>
      <c r="H779">
        <v>556.5</v>
      </c>
      <c r="I779">
        <v>21.46</v>
      </c>
      <c r="J779" s="5">
        <v>46060</v>
      </c>
      <c r="K779">
        <f t="shared" si="12"/>
        <v>39.119999999999997</v>
      </c>
      <c r="L779" t="str" cm="1">
        <f t="array" ref="L779">_xlfn.IFS(E779&gt;=52000000,"Platinum",E779&gt;=37000000,"Gold",E779&gt;=30000000,"Sliver",E779&lt;30000000,"Bronze")</f>
        <v>Gold</v>
      </c>
    </row>
    <row r="780" spans="1:12" x14ac:dyDescent="0.25">
      <c r="A780">
        <v>779</v>
      </c>
      <c r="B780" t="s">
        <v>800</v>
      </c>
      <c r="C780" t="s">
        <v>46</v>
      </c>
      <c r="D780" t="s">
        <v>11</v>
      </c>
      <c r="E780" s="4">
        <v>33532795</v>
      </c>
      <c r="F780">
        <v>46.18</v>
      </c>
      <c r="G780">
        <v>7.47</v>
      </c>
      <c r="H780">
        <v>448.16</v>
      </c>
      <c r="I780">
        <v>16.170000000000002</v>
      </c>
      <c r="J780" s="5">
        <v>46060</v>
      </c>
      <c r="K780">
        <f t="shared" si="12"/>
        <v>35</v>
      </c>
      <c r="L780" t="str" cm="1">
        <f t="array" ref="L780">_xlfn.IFS(E780&gt;=52000000,"Platinum",E780&gt;=37000000,"Gold",E780&gt;=30000000,"Sliver",E780&lt;30000000,"Bronze")</f>
        <v>Sliver</v>
      </c>
    </row>
    <row r="781" spans="1:12" x14ac:dyDescent="0.25">
      <c r="A781">
        <v>780</v>
      </c>
      <c r="B781" t="s">
        <v>801</v>
      </c>
      <c r="C781" t="s">
        <v>46</v>
      </c>
      <c r="D781" t="s">
        <v>13</v>
      </c>
      <c r="E781" s="4">
        <v>42417784</v>
      </c>
      <c r="F781">
        <v>44.05</v>
      </c>
      <c r="G781">
        <v>5.72</v>
      </c>
      <c r="H781" s="1">
        <f>CALCULATION!$D$11</f>
        <v>343.315</v>
      </c>
      <c r="I781">
        <v>13.59</v>
      </c>
      <c r="J781" s="5">
        <v>46060</v>
      </c>
      <c r="K781">
        <f t="shared" si="12"/>
        <v>34.770000000000003</v>
      </c>
      <c r="L781" t="str" cm="1">
        <f t="array" ref="L781">_xlfn.IFS(E781&gt;=52000000,"Platinum",E781&gt;=37000000,"Gold",E781&gt;=30000000,"Sliver",E781&lt;30000000,"Bronze")</f>
        <v>Gold</v>
      </c>
    </row>
    <row r="782" spans="1:12" x14ac:dyDescent="0.25">
      <c r="A782">
        <v>781</v>
      </c>
      <c r="B782" t="s">
        <v>802</v>
      </c>
      <c r="C782" t="s">
        <v>29</v>
      </c>
      <c r="D782" t="s">
        <v>25</v>
      </c>
      <c r="E782" s="4">
        <v>29972800</v>
      </c>
      <c r="F782">
        <v>40.46</v>
      </c>
      <c r="G782">
        <v>2.97</v>
      </c>
      <c r="H782">
        <v>177.99</v>
      </c>
      <c r="I782">
        <v>7.33</v>
      </c>
      <c r="J782" s="5">
        <v>46060</v>
      </c>
      <c r="K782">
        <f t="shared" si="12"/>
        <v>33.44</v>
      </c>
      <c r="L782" t="str" cm="1">
        <f t="array" ref="L782">_xlfn.IFS(E782&gt;=52000000,"Platinum",E782&gt;=37000000,"Gold",E782&gt;=30000000,"Sliver",E782&lt;30000000,"Bronze")</f>
        <v>Bronze</v>
      </c>
    </row>
    <row r="783" spans="1:12" x14ac:dyDescent="0.25">
      <c r="A783">
        <v>782</v>
      </c>
      <c r="B783" t="s">
        <v>803</v>
      </c>
      <c r="C783" t="s">
        <v>19</v>
      </c>
      <c r="D783" t="s">
        <v>11</v>
      </c>
      <c r="E783" s="4">
        <v>38549964</v>
      </c>
      <c r="F783">
        <v>38.119999999999997</v>
      </c>
      <c r="G783">
        <v>7.55</v>
      </c>
      <c r="H783">
        <v>452.93</v>
      </c>
      <c r="I783">
        <v>19.8</v>
      </c>
      <c r="J783" s="5">
        <v>46060</v>
      </c>
      <c r="K783">
        <f t="shared" si="12"/>
        <v>40.840000000000003</v>
      </c>
      <c r="L783" t="str" cm="1">
        <f t="array" ref="L783">_xlfn.IFS(E783&gt;=52000000,"Platinum",E783&gt;=37000000,"Gold",E783&gt;=30000000,"Sliver",E783&lt;30000000,"Bronze")</f>
        <v>Gold</v>
      </c>
    </row>
    <row r="784" spans="1:12" x14ac:dyDescent="0.25">
      <c r="A784">
        <v>783</v>
      </c>
      <c r="B784" t="s">
        <v>804</v>
      </c>
      <c r="C784" t="s">
        <v>46</v>
      </c>
      <c r="D784" t="s">
        <v>25</v>
      </c>
      <c r="E784" s="4">
        <v>39389262</v>
      </c>
      <c r="F784">
        <v>44.52</v>
      </c>
      <c r="G784">
        <v>6.83</v>
      </c>
      <c r="H784">
        <v>409.96</v>
      </c>
      <c r="I784">
        <v>15.35</v>
      </c>
      <c r="J784" s="5">
        <v>46060</v>
      </c>
      <c r="K784">
        <f t="shared" si="12"/>
        <v>35.42</v>
      </c>
      <c r="L784" t="str" cm="1">
        <f t="array" ref="L784">_xlfn.IFS(E784&gt;=52000000,"Platinum",E784&gt;=37000000,"Gold",E784&gt;=30000000,"Sliver",E784&lt;30000000,"Bronze")</f>
        <v>Gold</v>
      </c>
    </row>
    <row r="785" spans="1:12" x14ac:dyDescent="0.25">
      <c r="A785">
        <v>784</v>
      </c>
      <c r="B785" t="s">
        <v>805</v>
      </c>
      <c r="C785" t="s">
        <v>10</v>
      </c>
      <c r="D785" t="s">
        <v>11</v>
      </c>
      <c r="E785" s="4">
        <v>29274057</v>
      </c>
      <c r="F785">
        <v>49.54</v>
      </c>
      <c r="G785">
        <v>2.14</v>
      </c>
      <c r="H785">
        <v>128.37</v>
      </c>
      <c r="I785">
        <v>4.32</v>
      </c>
      <c r="J785" s="5">
        <v>46060</v>
      </c>
      <c r="K785">
        <f t="shared" si="12"/>
        <v>27.39</v>
      </c>
      <c r="L785" t="str" cm="1">
        <f t="array" ref="L785">_xlfn.IFS(E785&gt;=52000000,"Platinum",E785&gt;=37000000,"Gold",E785&gt;=30000000,"Sliver",E785&lt;30000000,"Bronze")</f>
        <v>Bronze</v>
      </c>
    </row>
    <row r="786" spans="1:12" x14ac:dyDescent="0.25">
      <c r="A786">
        <v>785</v>
      </c>
      <c r="B786" t="s">
        <v>806</v>
      </c>
      <c r="C786" t="s">
        <v>27</v>
      </c>
      <c r="D786" t="s">
        <v>13</v>
      </c>
      <c r="E786" s="4">
        <v>32809779</v>
      </c>
      <c r="F786">
        <v>27.54</v>
      </c>
      <c r="G786">
        <v>22.42</v>
      </c>
      <c r="H786">
        <v>1345.04</v>
      </c>
      <c r="I786">
        <v>81.400000000000006</v>
      </c>
      <c r="J786" s="5">
        <v>46060</v>
      </c>
      <c r="K786">
        <f t="shared" si="12"/>
        <v>76.930000000000007</v>
      </c>
      <c r="L786" t="str" cm="1">
        <f t="array" ref="L786">_xlfn.IFS(E786&gt;=52000000,"Platinum",E786&gt;=37000000,"Gold",E786&gt;=30000000,"Sliver",E786&lt;30000000,"Bronze")</f>
        <v>Sliver</v>
      </c>
    </row>
    <row r="787" spans="1:12" x14ac:dyDescent="0.25">
      <c r="A787">
        <v>786</v>
      </c>
      <c r="B787" t="s">
        <v>807</v>
      </c>
      <c r="C787" t="s">
        <v>10</v>
      </c>
      <c r="D787" t="s">
        <v>13</v>
      </c>
      <c r="E787" s="4">
        <v>42581041</v>
      </c>
      <c r="F787">
        <v>32.340000000000003</v>
      </c>
      <c r="G787">
        <v>4.1500000000000004</v>
      </c>
      <c r="H787">
        <v>249</v>
      </c>
      <c r="I787">
        <v>12.83</v>
      </c>
      <c r="J787" s="5">
        <v>46060</v>
      </c>
      <c r="K787">
        <f t="shared" si="12"/>
        <v>40.25</v>
      </c>
      <c r="L787" t="str" cm="1">
        <f t="array" ref="L787">_xlfn.IFS(E787&gt;=52000000,"Platinum",E787&gt;=37000000,"Gold",E787&gt;=30000000,"Sliver",E787&lt;30000000,"Bronze")</f>
        <v>Gold</v>
      </c>
    </row>
    <row r="788" spans="1:12" x14ac:dyDescent="0.25">
      <c r="A788">
        <v>787</v>
      </c>
      <c r="B788" t="s">
        <v>808</v>
      </c>
      <c r="C788" t="s">
        <v>21</v>
      </c>
      <c r="D788" t="s">
        <v>11</v>
      </c>
      <c r="E788" s="4">
        <v>40339641</v>
      </c>
      <c r="F788">
        <v>47.24</v>
      </c>
      <c r="G788">
        <v>1.82</v>
      </c>
      <c r="H788">
        <v>109.39</v>
      </c>
      <c r="I788">
        <v>3.86</v>
      </c>
      <c r="J788" s="5">
        <v>46060</v>
      </c>
      <c r="K788">
        <f t="shared" si="12"/>
        <v>28.31</v>
      </c>
      <c r="L788" t="str" cm="1">
        <f t="array" ref="L788">_xlfn.IFS(E788&gt;=52000000,"Platinum",E788&gt;=37000000,"Gold",E788&gt;=30000000,"Sliver",E788&lt;30000000,"Bronze")</f>
        <v>Gold</v>
      </c>
    </row>
    <row r="789" spans="1:12" x14ac:dyDescent="0.25">
      <c r="A789">
        <v>788</v>
      </c>
      <c r="B789" t="s">
        <v>809</v>
      </c>
      <c r="C789" t="s">
        <v>21</v>
      </c>
      <c r="D789" t="s">
        <v>22</v>
      </c>
      <c r="E789" s="4">
        <v>32062698</v>
      </c>
      <c r="F789">
        <v>48.79</v>
      </c>
      <c r="G789">
        <v>1.18</v>
      </c>
      <c r="H789">
        <v>70.67</v>
      </c>
      <c r="I789">
        <v>2.41</v>
      </c>
      <c r="J789" s="5">
        <v>46060</v>
      </c>
      <c r="K789">
        <f t="shared" si="12"/>
        <v>26.81</v>
      </c>
      <c r="L789" t="str" cm="1">
        <f t="array" ref="L789">_xlfn.IFS(E789&gt;=52000000,"Platinum",E789&gt;=37000000,"Gold",E789&gt;=30000000,"Sliver",E789&lt;30000000,"Bronze")</f>
        <v>Sliver</v>
      </c>
    </row>
    <row r="790" spans="1:12" x14ac:dyDescent="0.25">
      <c r="A790">
        <v>789</v>
      </c>
      <c r="B790" t="s">
        <v>810</v>
      </c>
      <c r="C790" t="s">
        <v>46</v>
      </c>
      <c r="D790" t="s">
        <v>32</v>
      </c>
      <c r="E790" s="4">
        <v>34305597</v>
      </c>
      <c r="F790">
        <v>48.36</v>
      </c>
      <c r="G790">
        <v>2.67</v>
      </c>
      <c r="H790">
        <v>160.35</v>
      </c>
      <c r="I790">
        <v>5.53</v>
      </c>
      <c r="J790" s="5">
        <v>46060</v>
      </c>
      <c r="K790">
        <f t="shared" si="12"/>
        <v>28.59</v>
      </c>
      <c r="L790" t="str" cm="1">
        <f t="array" ref="L790">_xlfn.IFS(E790&gt;=52000000,"Platinum",E790&gt;=37000000,"Gold",E790&gt;=30000000,"Sliver",E790&lt;30000000,"Bronze")</f>
        <v>Sliver</v>
      </c>
    </row>
    <row r="791" spans="1:12" x14ac:dyDescent="0.25">
      <c r="A791">
        <v>790</v>
      </c>
      <c r="B791" t="s">
        <v>811</v>
      </c>
      <c r="C791" t="s">
        <v>10</v>
      </c>
      <c r="D791" t="s">
        <v>25</v>
      </c>
      <c r="E791" s="4">
        <v>36418217</v>
      </c>
      <c r="F791">
        <v>55.76</v>
      </c>
      <c r="G791">
        <v>5.69</v>
      </c>
      <c r="H791">
        <v>341.55</v>
      </c>
      <c r="I791">
        <v>10.210000000000001</v>
      </c>
      <c r="J791" s="5">
        <v>46060</v>
      </c>
      <c r="K791">
        <f t="shared" si="12"/>
        <v>27.23</v>
      </c>
      <c r="L791" t="str" cm="1">
        <f t="array" ref="L791">_xlfn.IFS(E791&gt;=52000000,"Platinum",E791&gt;=37000000,"Gold",E791&gt;=30000000,"Sliver",E791&lt;30000000,"Bronze")</f>
        <v>Sliver</v>
      </c>
    </row>
    <row r="792" spans="1:12" x14ac:dyDescent="0.25">
      <c r="A792">
        <v>791</v>
      </c>
      <c r="B792" t="s">
        <v>812</v>
      </c>
      <c r="C792" t="s">
        <v>16</v>
      </c>
      <c r="D792" t="s">
        <v>25</v>
      </c>
      <c r="E792" s="4">
        <v>34836575</v>
      </c>
      <c r="F792">
        <v>47.76</v>
      </c>
      <c r="G792">
        <v>7.62</v>
      </c>
      <c r="H792">
        <v>457.4</v>
      </c>
      <c r="I792">
        <v>15.96</v>
      </c>
      <c r="J792" s="5">
        <v>46060</v>
      </c>
      <c r="K792">
        <f t="shared" si="12"/>
        <v>34.1</v>
      </c>
      <c r="L792" t="str" cm="1">
        <f t="array" ref="L792">_xlfn.IFS(E792&gt;=52000000,"Platinum",E792&gt;=37000000,"Gold",E792&gt;=30000000,"Sliver",E792&lt;30000000,"Bronze")</f>
        <v>Sliver</v>
      </c>
    </row>
    <row r="793" spans="1:12" x14ac:dyDescent="0.25">
      <c r="A793">
        <v>792</v>
      </c>
      <c r="B793" t="s">
        <v>813</v>
      </c>
      <c r="C793" t="s">
        <v>27</v>
      </c>
      <c r="D793" t="s">
        <v>22</v>
      </c>
      <c r="E793" s="4">
        <v>32124766</v>
      </c>
      <c r="F793">
        <v>20.94</v>
      </c>
      <c r="G793">
        <v>39.909999999999997</v>
      </c>
      <c r="H793">
        <v>2394.38</v>
      </c>
      <c r="I793">
        <v>190.57</v>
      </c>
      <c r="J793" s="5">
        <v>46060</v>
      </c>
      <c r="K793">
        <f t="shared" si="12"/>
        <v>134.82</v>
      </c>
      <c r="L793" t="str" cm="1">
        <f t="array" ref="L793">_xlfn.IFS(E793&gt;=52000000,"Platinum",E793&gt;=37000000,"Gold",E793&gt;=30000000,"Sliver",E793&lt;30000000,"Bronze")</f>
        <v>Sliver</v>
      </c>
    </row>
    <row r="794" spans="1:12" x14ac:dyDescent="0.25">
      <c r="A794">
        <v>793</v>
      </c>
      <c r="B794" t="s">
        <v>814</v>
      </c>
      <c r="C794" t="s">
        <v>29</v>
      </c>
      <c r="D794" t="s">
        <v>17</v>
      </c>
      <c r="E794" s="4">
        <v>35338278</v>
      </c>
      <c r="F794" s="1">
        <f>CALCULATION!$C$11</f>
        <v>42.81</v>
      </c>
      <c r="G794" s="1">
        <v>8.42</v>
      </c>
      <c r="H794">
        <v>505.41</v>
      </c>
      <c r="I794">
        <v>21.04</v>
      </c>
      <c r="J794" s="5">
        <v>46060</v>
      </c>
      <c r="K794">
        <f t="shared" si="12"/>
        <v>39.119999999999997</v>
      </c>
      <c r="L794" t="str" cm="1">
        <f t="array" ref="L794">_xlfn.IFS(E794&gt;=52000000,"Platinum",E794&gt;=37000000,"Gold",E794&gt;=30000000,"Sliver",E794&lt;30000000,"Bronze")</f>
        <v>Sliver</v>
      </c>
    </row>
    <row r="795" spans="1:12" x14ac:dyDescent="0.25">
      <c r="A795">
        <v>794</v>
      </c>
      <c r="B795" t="s">
        <v>815</v>
      </c>
      <c r="C795" t="s">
        <v>21</v>
      </c>
      <c r="D795" t="s">
        <v>17</v>
      </c>
      <c r="E795" s="4">
        <v>40293286</v>
      </c>
      <c r="F795">
        <v>41.27</v>
      </c>
      <c r="G795">
        <v>1.19</v>
      </c>
      <c r="H795">
        <v>71.5</v>
      </c>
      <c r="I795">
        <v>2.89</v>
      </c>
      <c r="J795" s="5">
        <v>46060</v>
      </c>
      <c r="K795">
        <f t="shared" si="12"/>
        <v>30.81</v>
      </c>
      <c r="L795" t="str" cm="1">
        <f t="array" ref="L795">_xlfn.IFS(E795&gt;=52000000,"Platinum",E795&gt;=37000000,"Gold",E795&gt;=30000000,"Sliver",E795&lt;30000000,"Bronze")</f>
        <v>Gold</v>
      </c>
    </row>
    <row r="796" spans="1:12" x14ac:dyDescent="0.25">
      <c r="A796">
        <v>795</v>
      </c>
      <c r="B796" t="s">
        <v>816</v>
      </c>
      <c r="C796" t="s">
        <v>46</v>
      </c>
      <c r="D796" t="s">
        <v>13</v>
      </c>
      <c r="E796" s="4">
        <v>39282033</v>
      </c>
      <c r="F796">
        <v>45.66</v>
      </c>
      <c r="G796">
        <v>7.76</v>
      </c>
      <c r="H796">
        <v>465.57</v>
      </c>
      <c r="I796">
        <v>16.989999999999998</v>
      </c>
      <c r="J796" s="5">
        <v>46060</v>
      </c>
      <c r="K796">
        <f t="shared" si="12"/>
        <v>35.67</v>
      </c>
      <c r="L796" t="str" cm="1">
        <f t="array" ref="L796">_xlfn.IFS(E796&gt;=52000000,"Platinum",E796&gt;=37000000,"Gold",E796&gt;=30000000,"Sliver",E796&lt;30000000,"Bronze")</f>
        <v>Gold</v>
      </c>
    </row>
    <row r="797" spans="1:12" x14ac:dyDescent="0.25">
      <c r="A797">
        <v>796</v>
      </c>
      <c r="B797" t="s">
        <v>817</v>
      </c>
      <c r="C797" t="s">
        <v>16</v>
      </c>
      <c r="D797" t="s">
        <v>32</v>
      </c>
      <c r="E797" s="4">
        <v>34363254</v>
      </c>
      <c r="F797">
        <v>43.56</v>
      </c>
      <c r="G797">
        <v>8.49</v>
      </c>
      <c r="H797">
        <v>509.36</v>
      </c>
      <c r="I797">
        <v>19.489999999999998</v>
      </c>
      <c r="J797" s="5">
        <v>46060</v>
      </c>
      <c r="K797">
        <f t="shared" si="12"/>
        <v>37.97</v>
      </c>
      <c r="L797" t="str" cm="1">
        <f t="array" ref="L797">_xlfn.IFS(E797&gt;=52000000,"Platinum",E797&gt;=37000000,"Gold",E797&gt;=30000000,"Sliver",E797&lt;30000000,"Bronze")</f>
        <v>Sliver</v>
      </c>
    </row>
    <row r="798" spans="1:12" x14ac:dyDescent="0.25">
      <c r="A798">
        <v>797</v>
      </c>
      <c r="B798" t="s">
        <v>818</v>
      </c>
      <c r="C798" t="s">
        <v>46</v>
      </c>
      <c r="D798" t="s">
        <v>13</v>
      </c>
      <c r="E798" s="4">
        <v>35220413</v>
      </c>
      <c r="F798">
        <v>59.57</v>
      </c>
      <c r="G798">
        <v>7.32</v>
      </c>
      <c r="H798">
        <v>439.48</v>
      </c>
      <c r="I798">
        <v>12.3</v>
      </c>
      <c r="J798" s="5">
        <v>46060</v>
      </c>
      <c r="K798">
        <f t="shared" si="12"/>
        <v>26.37</v>
      </c>
      <c r="L798" t="str" cm="1">
        <f t="array" ref="L798">_xlfn.IFS(E798&gt;=52000000,"Platinum",E798&gt;=37000000,"Gold",E798&gt;=30000000,"Sliver",E798&lt;30000000,"Bronze")</f>
        <v>Sliver</v>
      </c>
    </row>
    <row r="799" spans="1:12" x14ac:dyDescent="0.25">
      <c r="A799">
        <v>798</v>
      </c>
      <c r="B799" t="s">
        <v>819</v>
      </c>
      <c r="C799" t="s">
        <v>46</v>
      </c>
      <c r="D799" t="s">
        <v>22</v>
      </c>
      <c r="E799" s="4">
        <v>41316373</v>
      </c>
      <c r="F799">
        <v>30.39</v>
      </c>
      <c r="G799">
        <v>4.29</v>
      </c>
      <c r="H799">
        <v>257.25</v>
      </c>
      <c r="I799">
        <v>14.11</v>
      </c>
      <c r="J799" s="5">
        <v>46060</v>
      </c>
      <c r="K799">
        <f t="shared" si="12"/>
        <v>41.86</v>
      </c>
      <c r="L799" t="str" cm="1">
        <f t="array" ref="L799">_xlfn.IFS(E799&gt;=52000000,"Platinum",E799&gt;=37000000,"Gold",E799&gt;=30000000,"Sliver",E799&lt;30000000,"Bronze")</f>
        <v>Gold</v>
      </c>
    </row>
    <row r="800" spans="1:12" x14ac:dyDescent="0.25">
      <c r="A800">
        <v>799</v>
      </c>
      <c r="B800" t="s">
        <v>820</v>
      </c>
      <c r="C800" t="s">
        <v>29</v>
      </c>
      <c r="D800" t="s">
        <v>25</v>
      </c>
      <c r="E800" s="4">
        <v>31197621</v>
      </c>
      <c r="F800">
        <v>30.76</v>
      </c>
      <c r="G800">
        <v>4.57</v>
      </c>
      <c r="H800">
        <v>274.04000000000002</v>
      </c>
      <c r="I800">
        <v>14.85</v>
      </c>
      <c r="J800" s="5">
        <v>46060</v>
      </c>
      <c r="K800">
        <f t="shared" si="12"/>
        <v>42.05</v>
      </c>
      <c r="L800" t="str" cm="1">
        <f t="array" ref="L800">_xlfn.IFS(E800&gt;=52000000,"Platinum",E800&gt;=37000000,"Gold",E800&gt;=30000000,"Sliver",E800&lt;30000000,"Bronze")</f>
        <v>Sliver</v>
      </c>
    </row>
    <row r="801" spans="1:12" x14ac:dyDescent="0.25">
      <c r="A801">
        <v>800</v>
      </c>
      <c r="B801" t="s">
        <v>821</v>
      </c>
      <c r="C801" t="s">
        <v>21</v>
      </c>
      <c r="D801" s="1" t="s">
        <v>32</v>
      </c>
      <c r="E801" s="4">
        <v>30205730</v>
      </c>
      <c r="F801">
        <v>44.82</v>
      </c>
      <c r="G801">
        <v>2.63</v>
      </c>
      <c r="H801">
        <v>157.87</v>
      </c>
      <c r="I801">
        <v>5.87</v>
      </c>
      <c r="J801" s="5">
        <v>46060</v>
      </c>
      <c r="K801">
        <f t="shared" si="12"/>
        <v>30.53</v>
      </c>
      <c r="L801" t="str" cm="1">
        <f t="array" ref="L801">_xlfn.IFS(E801&gt;=52000000,"Platinum",E801&gt;=37000000,"Gold",E801&gt;=30000000,"Sliver",E801&lt;30000000,"Bronze")</f>
        <v>Sliver</v>
      </c>
    </row>
    <row r="802" spans="1:12" x14ac:dyDescent="0.25">
      <c r="A802">
        <v>801</v>
      </c>
      <c r="B802" t="s">
        <v>822</v>
      </c>
      <c r="C802" t="s">
        <v>29</v>
      </c>
      <c r="D802" t="s">
        <v>17</v>
      </c>
      <c r="E802" s="4">
        <v>28827693</v>
      </c>
      <c r="F802">
        <v>48.84</v>
      </c>
      <c r="G802">
        <v>8.84</v>
      </c>
      <c r="H802">
        <v>530.47</v>
      </c>
      <c r="I802">
        <v>18.100000000000001</v>
      </c>
      <c r="J802" s="5">
        <v>46060</v>
      </c>
      <c r="K802">
        <f t="shared" si="12"/>
        <v>34.630000000000003</v>
      </c>
      <c r="L802" t="str" cm="1">
        <f t="array" ref="L802">_xlfn.IFS(E802&gt;=52000000,"Platinum",E802&gt;=37000000,"Gold",E802&gt;=30000000,"Sliver",E802&lt;30000000,"Bronze")</f>
        <v>Bronze</v>
      </c>
    </row>
    <row r="803" spans="1:12" x14ac:dyDescent="0.25">
      <c r="A803">
        <v>802</v>
      </c>
      <c r="B803" t="s">
        <v>823</v>
      </c>
      <c r="C803" t="s">
        <v>19</v>
      </c>
      <c r="D803" t="s">
        <v>32</v>
      </c>
      <c r="E803" s="4">
        <v>39013120</v>
      </c>
      <c r="F803">
        <v>59.6</v>
      </c>
      <c r="G803">
        <v>6.19</v>
      </c>
      <c r="H803">
        <v>371.44</v>
      </c>
      <c r="I803">
        <v>10.39</v>
      </c>
      <c r="J803" s="5">
        <v>46060</v>
      </c>
      <c r="K803">
        <f t="shared" si="12"/>
        <v>25.4</v>
      </c>
      <c r="L803" t="str" cm="1">
        <f t="array" ref="L803">_xlfn.IFS(E803&gt;=52000000,"Platinum",E803&gt;=37000000,"Gold",E803&gt;=30000000,"Sliver",E803&lt;30000000,"Bronze")</f>
        <v>Gold</v>
      </c>
    </row>
    <row r="804" spans="1:12" x14ac:dyDescent="0.25">
      <c r="A804">
        <v>803</v>
      </c>
      <c r="B804" t="s">
        <v>824</v>
      </c>
      <c r="C804" t="s">
        <v>27</v>
      </c>
      <c r="D804" t="s">
        <v>13</v>
      </c>
      <c r="E804" s="4">
        <v>38256078</v>
      </c>
      <c r="F804">
        <v>15.35</v>
      </c>
      <c r="G804">
        <v>36.200000000000003</v>
      </c>
      <c r="H804">
        <v>2172.0100000000002</v>
      </c>
      <c r="I804">
        <v>235.83</v>
      </c>
      <c r="J804" s="5">
        <v>46060</v>
      </c>
      <c r="K804">
        <f t="shared" si="12"/>
        <v>160.24</v>
      </c>
      <c r="L804" t="str" cm="1">
        <f t="array" ref="L804">_xlfn.IFS(E804&gt;=52000000,"Platinum",E804&gt;=37000000,"Gold",E804&gt;=30000000,"Sliver",E804&lt;30000000,"Bronze")</f>
        <v>Gold</v>
      </c>
    </row>
    <row r="805" spans="1:12" x14ac:dyDescent="0.25">
      <c r="A805">
        <v>804</v>
      </c>
      <c r="B805" t="s">
        <v>825</v>
      </c>
      <c r="C805" t="s">
        <v>29</v>
      </c>
      <c r="D805" t="s">
        <v>17</v>
      </c>
      <c r="E805" s="4">
        <v>32179077</v>
      </c>
      <c r="F805">
        <v>49.34</v>
      </c>
      <c r="G805">
        <v>8.36</v>
      </c>
      <c r="H805">
        <v>501.56</v>
      </c>
      <c r="I805">
        <v>16.940000000000001</v>
      </c>
      <c r="J805" s="5">
        <v>46060</v>
      </c>
      <c r="K805">
        <f t="shared" si="12"/>
        <v>33.799999999999997</v>
      </c>
      <c r="L805" t="str" cm="1">
        <f t="array" ref="L805">_xlfn.IFS(E805&gt;=52000000,"Platinum",E805&gt;=37000000,"Gold",E805&gt;=30000000,"Sliver",E805&lt;30000000,"Bronze")</f>
        <v>Sliver</v>
      </c>
    </row>
    <row r="806" spans="1:12" x14ac:dyDescent="0.25">
      <c r="A806">
        <v>805</v>
      </c>
      <c r="B806" t="s">
        <v>826</v>
      </c>
      <c r="C806" t="s">
        <v>10</v>
      </c>
      <c r="D806" t="s">
        <v>22</v>
      </c>
      <c r="E806" s="4">
        <v>31349770</v>
      </c>
      <c r="F806">
        <v>57.45</v>
      </c>
      <c r="G806">
        <v>4.05</v>
      </c>
      <c r="H806">
        <v>243.19</v>
      </c>
      <c r="I806">
        <v>7.06</v>
      </c>
      <c r="J806" s="5">
        <v>46060</v>
      </c>
      <c r="K806">
        <f t="shared" si="12"/>
        <v>24.81</v>
      </c>
      <c r="L806" t="str" cm="1">
        <f t="array" ref="L806">_xlfn.IFS(E806&gt;=52000000,"Platinum",E806&gt;=37000000,"Gold",E806&gt;=30000000,"Sliver",E806&lt;30000000,"Bronze")</f>
        <v>Sliver</v>
      </c>
    </row>
    <row r="807" spans="1:12" x14ac:dyDescent="0.25">
      <c r="A807">
        <v>806</v>
      </c>
      <c r="B807" t="s">
        <v>827</v>
      </c>
      <c r="C807" t="s">
        <v>10</v>
      </c>
      <c r="D807" t="s">
        <v>11</v>
      </c>
      <c r="E807" s="4">
        <v>39455263</v>
      </c>
      <c r="F807">
        <v>53.24</v>
      </c>
      <c r="G807">
        <v>3.59</v>
      </c>
      <c r="H807">
        <v>215.14</v>
      </c>
      <c r="I807">
        <v>6.73</v>
      </c>
      <c r="J807" s="5">
        <v>46060</v>
      </c>
      <c r="K807">
        <f t="shared" si="12"/>
        <v>26.75</v>
      </c>
      <c r="L807" t="str" cm="1">
        <f t="array" ref="L807">_xlfn.IFS(E807&gt;=52000000,"Platinum",E807&gt;=37000000,"Gold",E807&gt;=30000000,"Sliver",E807&lt;30000000,"Bronze")</f>
        <v>Gold</v>
      </c>
    </row>
    <row r="808" spans="1:12" x14ac:dyDescent="0.25">
      <c r="A808">
        <v>807</v>
      </c>
      <c r="B808" t="s">
        <v>828</v>
      </c>
      <c r="C808" t="s">
        <v>46</v>
      </c>
      <c r="D808" t="s">
        <v>22</v>
      </c>
      <c r="E808" s="4">
        <v>34898707</v>
      </c>
      <c r="F808">
        <v>41.96</v>
      </c>
      <c r="G808">
        <v>6.83</v>
      </c>
      <c r="H808">
        <v>409.82</v>
      </c>
      <c r="I808">
        <v>16.28</v>
      </c>
      <c r="J808" s="5">
        <v>46060</v>
      </c>
      <c r="K808">
        <f t="shared" si="12"/>
        <v>37.159999999999997</v>
      </c>
      <c r="L808" t="str" cm="1">
        <f t="array" ref="L808">_xlfn.IFS(E808&gt;=52000000,"Platinum",E808&gt;=37000000,"Gold",E808&gt;=30000000,"Sliver",E808&lt;30000000,"Bronze")</f>
        <v>Sliver</v>
      </c>
    </row>
    <row r="809" spans="1:12" x14ac:dyDescent="0.25">
      <c r="A809">
        <v>808</v>
      </c>
      <c r="B809" t="s">
        <v>829</v>
      </c>
      <c r="C809" t="s">
        <v>10</v>
      </c>
      <c r="D809" t="s">
        <v>32</v>
      </c>
      <c r="E809" s="4">
        <v>39355625</v>
      </c>
      <c r="F809">
        <v>55.65</v>
      </c>
      <c r="G809">
        <v>3.25</v>
      </c>
      <c r="H809">
        <v>194.93</v>
      </c>
      <c r="I809">
        <v>5.84</v>
      </c>
      <c r="J809" s="5">
        <v>46060</v>
      </c>
      <c r="K809">
        <f t="shared" si="12"/>
        <v>25.1</v>
      </c>
      <c r="L809" t="str" cm="1">
        <f t="array" ref="L809">_xlfn.IFS(E809&gt;=52000000,"Platinum",E809&gt;=37000000,"Gold",E809&gt;=30000000,"Sliver",E809&lt;30000000,"Bronze")</f>
        <v>Gold</v>
      </c>
    </row>
    <row r="810" spans="1:12" x14ac:dyDescent="0.25">
      <c r="A810">
        <v>809</v>
      </c>
      <c r="B810" t="s">
        <v>830</v>
      </c>
      <c r="C810" t="s">
        <v>16</v>
      </c>
      <c r="D810" t="s">
        <v>13</v>
      </c>
      <c r="E810" s="4">
        <v>29328371</v>
      </c>
      <c r="F810">
        <v>35.56</v>
      </c>
      <c r="G810">
        <v>9.0399999999999991</v>
      </c>
      <c r="H810">
        <v>542.23</v>
      </c>
      <c r="I810">
        <v>25.41</v>
      </c>
      <c r="J810" s="5">
        <v>46060</v>
      </c>
      <c r="K810">
        <f t="shared" si="12"/>
        <v>44.93</v>
      </c>
      <c r="L810" t="str" cm="1">
        <f t="array" ref="L810">_xlfn.IFS(E810&gt;=52000000,"Platinum",E810&gt;=37000000,"Gold",E810&gt;=30000000,"Sliver",E810&lt;30000000,"Bronze")</f>
        <v>Bronze</v>
      </c>
    </row>
    <row r="811" spans="1:12" x14ac:dyDescent="0.25">
      <c r="A811">
        <v>810</v>
      </c>
      <c r="B811" t="s">
        <v>831</v>
      </c>
      <c r="C811" t="s">
        <v>19</v>
      </c>
      <c r="D811" t="s">
        <v>22</v>
      </c>
      <c r="E811" s="4">
        <v>39582441</v>
      </c>
      <c r="F811">
        <v>59.95</v>
      </c>
      <c r="G811">
        <v>9.1999999999999993</v>
      </c>
      <c r="H811">
        <v>551.74</v>
      </c>
      <c r="I811">
        <v>15.34</v>
      </c>
      <c r="J811" s="5">
        <v>46060</v>
      </c>
      <c r="K811">
        <f t="shared" si="12"/>
        <v>27.7</v>
      </c>
      <c r="L811" t="str" cm="1">
        <f t="array" ref="L811">_xlfn.IFS(E811&gt;=52000000,"Platinum",E811&gt;=37000000,"Gold",E811&gt;=30000000,"Sliver",E811&lt;30000000,"Bronze")</f>
        <v>Gold</v>
      </c>
    </row>
    <row r="812" spans="1:12" x14ac:dyDescent="0.25">
      <c r="A812">
        <v>811</v>
      </c>
      <c r="B812" t="s">
        <v>832</v>
      </c>
      <c r="C812" t="s">
        <v>46</v>
      </c>
      <c r="D812" t="s">
        <v>25</v>
      </c>
      <c r="E812" s="4">
        <v>32902092</v>
      </c>
      <c r="F812">
        <v>51.78</v>
      </c>
      <c r="G812">
        <v>3.65</v>
      </c>
      <c r="H812">
        <v>219.25</v>
      </c>
      <c r="I812">
        <v>7.06</v>
      </c>
      <c r="J812" s="5">
        <v>46060</v>
      </c>
      <c r="K812">
        <f t="shared" si="12"/>
        <v>27.64</v>
      </c>
      <c r="L812" t="str" cm="1">
        <f t="array" ref="L812">_xlfn.IFS(E812&gt;=52000000,"Platinum",E812&gt;=37000000,"Gold",E812&gt;=30000000,"Sliver",E812&lt;30000000,"Bronze")</f>
        <v>Sliver</v>
      </c>
    </row>
    <row r="813" spans="1:12" x14ac:dyDescent="0.25">
      <c r="A813">
        <v>812</v>
      </c>
      <c r="B813" t="s">
        <v>833</v>
      </c>
      <c r="C813" t="s">
        <v>27</v>
      </c>
      <c r="D813" t="s">
        <v>32</v>
      </c>
      <c r="E813" s="4">
        <v>30935314</v>
      </c>
      <c r="F813" s="1">
        <f>CALCULATION!$C$11</f>
        <v>42.81</v>
      </c>
      <c r="G813" s="1">
        <v>20.85</v>
      </c>
      <c r="H813">
        <v>1251</v>
      </c>
      <c r="I813">
        <v>74.92</v>
      </c>
      <c r="J813" s="5">
        <v>46060</v>
      </c>
      <c r="K813">
        <f t="shared" si="12"/>
        <v>66.06</v>
      </c>
      <c r="L813" t="str" cm="1">
        <f t="array" ref="L813">_xlfn.IFS(E813&gt;=52000000,"Platinum",E813&gt;=37000000,"Gold",E813&gt;=30000000,"Sliver",E813&lt;30000000,"Bronze")</f>
        <v>Sliver</v>
      </c>
    </row>
    <row r="814" spans="1:12" x14ac:dyDescent="0.25">
      <c r="A814">
        <v>813</v>
      </c>
      <c r="B814" t="s">
        <v>834</v>
      </c>
      <c r="C814" t="s">
        <v>27</v>
      </c>
      <c r="D814" t="s">
        <v>32</v>
      </c>
      <c r="E814" s="4">
        <v>32069658</v>
      </c>
      <c r="F814">
        <v>18.78</v>
      </c>
      <c r="G814">
        <v>24.4</v>
      </c>
      <c r="H814">
        <v>1464.18</v>
      </c>
      <c r="I814">
        <v>129.94</v>
      </c>
      <c r="J814" s="5">
        <v>46060</v>
      </c>
      <c r="K814">
        <f t="shared" si="12"/>
        <v>105.58</v>
      </c>
      <c r="L814" t="str" cm="1">
        <f t="array" ref="L814">_xlfn.IFS(E814&gt;=52000000,"Platinum",E814&gt;=37000000,"Gold",E814&gt;=30000000,"Sliver",E814&lt;30000000,"Bronze")</f>
        <v>Sliver</v>
      </c>
    </row>
    <row r="815" spans="1:12" x14ac:dyDescent="0.25">
      <c r="A815">
        <v>814</v>
      </c>
      <c r="B815" t="s">
        <v>835</v>
      </c>
      <c r="C815" s="1" t="s">
        <v>21</v>
      </c>
      <c r="D815" t="s">
        <v>17</v>
      </c>
      <c r="E815" s="4">
        <v>28071578</v>
      </c>
      <c r="F815">
        <v>46.59</v>
      </c>
      <c r="G815">
        <v>9.15</v>
      </c>
      <c r="H815">
        <v>548.99</v>
      </c>
      <c r="I815">
        <v>19.64</v>
      </c>
      <c r="J815" s="5">
        <v>46060</v>
      </c>
      <c r="K815">
        <f t="shared" si="12"/>
        <v>36.53</v>
      </c>
      <c r="L815" t="str" cm="1">
        <f t="array" ref="L815">_xlfn.IFS(E815&gt;=52000000,"Platinum",E815&gt;=37000000,"Gold",E815&gt;=30000000,"Sliver",E815&lt;30000000,"Bronze")</f>
        <v>Bronze</v>
      </c>
    </row>
    <row r="816" spans="1:12" x14ac:dyDescent="0.25">
      <c r="A816">
        <v>815</v>
      </c>
      <c r="B816" t="s">
        <v>836</v>
      </c>
      <c r="C816" t="s">
        <v>29</v>
      </c>
      <c r="D816" t="s">
        <v>25</v>
      </c>
      <c r="E816" s="4">
        <v>35519321</v>
      </c>
      <c r="F816">
        <v>58.69</v>
      </c>
      <c r="G816">
        <v>8.9700000000000006</v>
      </c>
      <c r="H816">
        <v>538.11</v>
      </c>
      <c r="I816">
        <v>15.28</v>
      </c>
      <c r="J816" s="5">
        <v>46060</v>
      </c>
      <c r="K816">
        <f t="shared" si="12"/>
        <v>28.3</v>
      </c>
      <c r="L816" t="str" cm="1">
        <f t="array" ref="L816">_xlfn.IFS(E816&gt;=52000000,"Platinum",E816&gt;=37000000,"Gold",E816&gt;=30000000,"Sliver",E816&lt;30000000,"Bronze")</f>
        <v>Sliver</v>
      </c>
    </row>
    <row r="817" spans="1:12" x14ac:dyDescent="0.25">
      <c r="A817">
        <v>816</v>
      </c>
      <c r="B817" t="s">
        <v>837</v>
      </c>
      <c r="C817" t="s">
        <v>16</v>
      </c>
      <c r="D817" t="s">
        <v>11</v>
      </c>
      <c r="E817" s="4">
        <v>31697655</v>
      </c>
      <c r="F817">
        <v>30.42</v>
      </c>
      <c r="G817">
        <v>9.1300000000000008</v>
      </c>
      <c r="H817">
        <v>547.92999999999995</v>
      </c>
      <c r="I817">
        <v>30.02</v>
      </c>
      <c r="J817" s="5">
        <v>46060</v>
      </c>
      <c r="K817">
        <f t="shared" si="12"/>
        <v>49.8</v>
      </c>
      <c r="L817" t="str" cm="1">
        <f t="array" ref="L817">_xlfn.IFS(E817&gt;=52000000,"Platinum",E817&gt;=37000000,"Gold",E817&gt;=30000000,"Sliver",E817&lt;30000000,"Bronze")</f>
        <v>Sliver</v>
      </c>
    </row>
    <row r="818" spans="1:12" x14ac:dyDescent="0.25">
      <c r="A818">
        <v>817</v>
      </c>
      <c r="B818" t="s">
        <v>838</v>
      </c>
      <c r="C818" t="s">
        <v>21</v>
      </c>
      <c r="D818" t="s">
        <v>32</v>
      </c>
      <c r="E818" s="4">
        <v>40442100</v>
      </c>
      <c r="F818">
        <v>43.16</v>
      </c>
      <c r="G818">
        <v>3</v>
      </c>
      <c r="H818">
        <v>179.71</v>
      </c>
      <c r="I818">
        <v>6.94</v>
      </c>
      <c r="J818" s="5">
        <v>46060</v>
      </c>
      <c r="K818">
        <f t="shared" si="12"/>
        <v>31.89</v>
      </c>
      <c r="L818" t="str" cm="1">
        <f t="array" ref="L818">_xlfn.IFS(E818&gt;=52000000,"Platinum",E818&gt;=37000000,"Gold",E818&gt;=30000000,"Sliver",E818&lt;30000000,"Bronze")</f>
        <v>Gold</v>
      </c>
    </row>
    <row r="819" spans="1:12" x14ac:dyDescent="0.25">
      <c r="A819">
        <v>818</v>
      </c>
      <c r="B819" t="s">
        <v>839</v>
      </c>
      <c r="C819" t="s">
        <v>27</v>
      </c>
      <c r="D819" t="s">
        <v>22</v>
      </c>
      <c r="E819" s="4">
        <v>31172275</v>
      </c>
      <c r="F819">
        <v>26.21</v>
      </c>
      <c r="G819">
        <v>29.99</v>
      </c>
      <c r="H819">
        <v>1799.21</v>
      </c>
      <c r="I819">
        <v>114.41</v>
      </c>
      <c r="J819" s="5">
        <v>46060</v>
      </c>
      <c r="K819">
        <f t="shared" si="12"/>
        <v>94.1</v>
      </c>
      <c r="L819" t="str" cm="1">
        <f t="array" ref="L819">_xlfn.IFS(E819&gt;=52000000,"Platinum",E819&gt;=37000000,"Gold",E819&gt;=30000000,"Sliver",E819&lt;30000000,"Bronze")</f>
        <v>Sliver</v>
      </c>
    </row>
    <row r="820" spans="1:12" x14ac:dyDescent="0.25">
      <c r="A820">
        <v>819</v>
      </c>
      <c r="B820" t="s">
        <v>840</v>
      </c>
      <c r="C820" t="s">
        <v>19</v>
      </c>
      <c r="D820" t="s">
        <v>11</v>
      </c>
      <c r="E820" s="4">
        <v>40360520</v>
      </c>
      <c r="F820">
        <v>34.89</v>
      </c>
      <c r="G820">
        <v>2.19</v>
      </c>
      <c r="H820">
        <v>131.52000000000001</v>
      </c>
      <c r="I820">
        <v>6.28</v>
      </c>
      <c r="J820" s="5">
        <v>46060</v>
      </c>
      <c r="K820">
        <f t="shared" si="12"/>
        <v>35.700000000000003</v>
      </c>
      <c r="L820" t="str" cm="1">
        <f t="array" ref="L820">_xlfn.IFS(E820&gt;=52000000,"Platinum",E820&gt;=37000000,"Gold",E820&gt;=30000000,"Sliver",E820&lt;30000000,"Bronze")</f>
        <v>Gold</v>
      </c>
    </row>
    <row r="821" spans="1:12" x14ac:dyDescent="0.25">
      <c r="A821">
        <v>820</v>
      </c>
      <c r="B821" t="s">
        <v>841</v>
      </c>
      <c r="C821" t="s">
        <v>21</v>
      </c>
      <c r="D821" t="s">
        <v>11</v>
      </c>
      <c r="E821" s="4">
        <v>36169367</v>
      </c>
      <c r="F821">
        <v>43.08</v>
      </c>
      <c r="G821">
        <v>2.99</v>
      </c>
      <c r="H821">
        <v>179.6</v>
      </c>
      <c r="I821">
        <v>6.95</v>
      </c>
      <c r="J821" s="5">
        <v>46060</v>
      </c>
      <c r="K821">
        <f t="shared" si="12"/>
        <v>31.94</v>
      </c>
      <c r="L821" t="str" cm="1">
        <f t="array" ref="L821">_xlfn.IFS(E821&gt;=52000000,"Platinum",E821&gt;=37000000,"Gold",E821&gt;=30000000,"Sliver",E821&lt;30000000,"Bronze")</f>
        <v>Sliver</v>
      </c>
    </row>
    <row r="822" spans="1:12" x14ac:dyDescent="0.25">
      <c r="A822">
        <v>821</v>
      </c>
      <c r="B822" t="s">
        <v>842</v>
      </c>
      <c r="C822" t="s">
        <v>46</v>
      </c>
      <c r="D822" s="1" t="s">
        <v>32</v>
      </c>
      <c r="E822" s="4">
        <v>31185993</v>
      </c>
      <c r="F822">
        <v>34.79</v>
      </c>
      <c r="G822">
        <v>6.32</v>
      </c>
      <c r="H822">
        <v>379.31</v>
      </c>
      <c r="I822">
        <v>18.170000000000002</v>
      </c>
      <c r="J822" s="5">
        <v>46060</v>
      </c>
      <c r="K822">
        <f t="shared" si="12"/>
        <v>41.69</v>
      </c>
      <c r="L822" t="str" cm="1">
        <f t="array" ref="L822">_xlfn.IFS(E822&gt;=52000000,"Platinum",E822&gt;=37000000,"Gold",E822&gt;=30000000,"Sliver",E822&lt;30000000,"Bronze")</f>
        <v>Sliver</v>
      </c>
    </row>
    <row r="823" spans="1:12" x14ac:dyDescent="0.25">
      <c r="A823">
        <v>822</v>
      </c>
      <c r="B823" t="s">
        <v>843</v>
      </c>
      <c r="C823" t="s">
        <v>10</v>
      </c>
      <c r="D823" t="s">
        <v>32</v>
      </c>
      <c r="E823" s="4">
        <v>29951062</v>
      </c>
      <c r="F823">
        <v>36.17</v>
      </c>
      <c r="G823">
        <v>7.5</v>
      </c>
      <c r="H823">
        <v>450.06</v>
      </c>
      <c r="I823">
        <v>20.74</v>
      </c>
      <c r="J823" s="5">
        <v>46060</v>
      </c>
      <c r="K823">
        <f t="shared" si="12"/>
        <v>42.29</v>
      </c>
      <c r="L823" t="str" cm="1">
        <f t="array" ref="L823">_xlfn.IFS(E823&gt;=52000000,"Platinum",E823&gt;=37000000,"Gold",E823&gt;=30000000,"Sliver",E823&lt;30000000,"Bronze")</f>
        <v>Bronze</v>
      </c>
    </row>
    <row r="824" spans="1:12" x14ac:dyDescent="0.25">
      <c r="A824">
        <v>823</v>
      </c>
      <c r="B824" t="s">
        <v>844</v>
      </c>
      <c r="C824" t="s">
        <v>46</v>
      </c>
      <c r="D824" t="s">
        <v>22</v>
      </c>
      <c r="E824" s="4">
        <v>41246900</v>
      </c>
      <c r="F824">
        <v>59.61</v>
      </c>
      <c r="G824">
        <v>2.4900000000000002</v>
      </c>
      <c r="H824">
        <v>149.62</v>
      </c>
      <c r="I824">
        <v>4.18</v>
      </c>
      <c r="J824" s="5">
        <v>46060</v>
      </c>
      <c r="K824">
        <f t="shared" si="12"/>
        <v>22.29</v>
      </c>
      <c r="L824" t="str" cm="1">
        <f t="array" ref="L824">_xlfn.IFS(E824&gt;=52000000,"Platinum",E824&gt;=37000000,"Gold",E824&gt;=30000000,"Sliver",E824&lt;30000000,"Bronze")</f>
        <v>Gold</v>
      </c>
    </row>
    <row r="825" spans="1:12" x14ac:dyDescent="0.25">
      <c r="A825">
        <v>824</v>
      </c>
      <c r="B825" t="s">
        <v>845</v>
      </c>
      <c r="C825" t="s">
        <v>27</v>
      </c>
      <c r="D825" t="s">
        <v>13</v>
      </c>
      <c r="E825" s="4">
        <v>30401688</v>
      </c>
      <c r="F825">
        <v>28.63</v>
      </c>
      <c r="G825">
        <v>27.9</v>
      </c>
      <c r="H825">
        <v>1674.08</v>
      </c>
      <c r="I825">
        <v>97.45</v>
      </c>
      <c r="J825" s="5">
        <v>46060</v>
      </c>
      <c r="K825">
        <f t="shared" si="12"/>
        <v>84.41</v>
      </c>
      <c r="L825" t="str" cm="1">
        <f t="array" ref="L825">_xlfn.IFS(E825&gt;=52000000,"Platinum",E825&gt;=37000000,"Gold",E825&gt;=30000000,"Sliver",E825&lt;30000000,"Bronze")</f>
        <v>Sliver</v>
      </c>
    </row>
    <row r="826" spans="1:12" x14ac:dyDescent="0.25">
      <c r="A826">
        <v>825</v>
      </c>
      <c r="B826" t="s">
        <v>846</v>
      </c>
      <c r="C826" t="s">
        <v>29</v>
      </c>
      <c r="D826" t="s">
        <v>11</v>
      </c>
      <c r="E826" s="4">
        <v>29966541</v>
      </c>
      <c r="F826">
        <v>50.51</v>
      </c>
      <c r="G826">
        <v>2.09</v>
      </c>
      <c r="H826">
        <v>125.55</v>
      </c>
      <c r="I826">
        <v>4.1399999999999997</v>
      </c>
      <c r="J826" s="5">
        <v>46060</v>
      </c>
      <c r="K826">
        <f t="shared" si="12"/>
        <v>26.82</v>
      </c>
      <c r="L826" t="str" cm="1">
        <f t="array" ref="L826">_xlfn.IFS(E826&gt;=52000000,"Platinum",E826&gt;=37000000,"Gold",E826&gt;=30000000,"Sliver",E826&lt;30000000,"Bronze")</f>
        <v>Bronze</v>
      </c>
    </row>
    <row r="827" spans="1:12" x14ac:dyDescent="0.25">
      <c r="A827">
        <v>826</v>
      </c>
      <c r="B827" t="s">
        <v>847</v>
      </c>
      <c r="C827" t="s">
        <v>10</v>
      </c>
      <c r="D827" t="s">
        <v>13</v>
      </c>
      <c r="E827" s="4">
        <v>38498169</v>
      </c>
      <c r="F827">
        <v>57.74</v>
      </c>
      <c r="G827">
        <v>6.24</v>
      </c>
      <c r="H827">
        <v>374.13</v>
      </c>
      <c r="I827">
        <v>10.8</v>
      </c>
      <c r="J827" s="5">
        <v>46060</v>
      </c>
      <c r="K827">
        <f t="shared" si="12"/>
        <v>26.53</v>
      </c>
      <c r="L827" t="str" cm="1">
        <f t="array" ref="L827">_xlfn.IFS(E827&gt;=52000000,"Platinum",E827&gt;=37000000,"Gold",E827&gt;=30000000,"Sliver",E827&lt;30000000,"Bronze")</f>
        <v>Gold</v>
      </c>
    </row>
    <row r="828" spans="1:12" x14ac:dyDescent="0.25">
      <c r="A828">
        <v>827</v>
      </c>
      <c r="B828" t="s">
        <v>848</v>
      </c>
      <c r="C828" t="s">
        <v>29</v>
      </c>
      <c r="D828" t="s">
        <v>22</v>
      </c>
      <c r="E828" s="4">
        <v>37027303</v>
      </c>
      <c r="F828">
        <v>54.99</v>
      </c>
      <c r="G828">
        <v>2.08</v>
      </c>
      <c r="H828">
        <v>124.91</v>
      </c>
      <c r="I828">
        <v>3.79</v>
      </c>
      <c r="J828" s="5">
        <v>46060</v>
      </c>
      <c r="K828">
        <f t="shared" si="12"/>
        <v>24.4</v>
      </c>
      <c r="L828" t="str" cm="1">
        <f t="array" ref="L828">_xlfn.IFS(E828&gt;=52000000,"Platinum",E828&gt;=37000000,"Gold",E828&gt;=30000000,"Sliver",E828&lt;30000000,"Bronze")</f>
        <v>Gold</v>
      </c>
    </row>
    <row r="829" spans="1:12" x14ac:dyDescent="0.25">
      <c r="A829">
        <v>828</v>
      </c>
      <c r="B829" t="s">
        <v>849</v>
      </c>
      <c r="C829" t="s">
        <v>27</v>
      </c>
      <c r="D829" t="s">
        <v>32</v>
      </c>
      <c r="E829" s="4">
        <v>37218112</v>
      </c>
      <c r="F829">
        <v>20.59</v>
      </c>
      <c r="G829">
        <v>33.68</v>
      </c>
      <c r="H829">
        <v>2020.64</v>
      </c>
      <c r="I829">
        <v>163.56</v>
      </c>
      <c r="J829" s="5">
        <v>46060</v>
      </c>
      <c r="K829">
        <f t="shared" si="12"/>
        <v>121.49</v>
      </c>
      <c r="L829" t="str" cm="1">
        <f t="array" ref="L829">_xlfn.IFS(E829&gt;=52000000,"Platinum",E829&gt;=37000000,"Gold",E829&gt;=30000000,"Sliver",E829&lt;30000000,"Bronze")</f>
        <v>Gold</v>
      </c>
    </row>
    <row r="830" spans="1:12" x14ac:dyDescent="0.25">
      <c r="A830">
        <v>829</v>
      </c>
      <c r="B830" t="s">
        <v>850</v>
      </c>
      <c r="C830" t="s">
        <v>10</v>
      </c>
      <c r="D830" t="s">
        <v>13</v>
      </c>
      <c r="E830" s="4">
        <v>39915945</v>
      </c>
      <c r="F830">
        <v>56.19</v>
      </c>
      <c r="G830">
        <v>6.84</v>
      </c>
      <c r="H830">
        <v>410.63</v>
      </c>
      <c r="I830">
        <v>12.18</v>
      </c>
      <c r="J830" s="5">
        <v>46060</v>
      </c>
      <c r="K830">
        <f t="shared" si="12"/>
        <v>28</v>
      </c>
      <c r="L830" t="str" cm="1">
        <f t="array" ref="L830">_xlfn.IFS(E830&gt;=52000000,"Platinum",E830&gt;=37000000,"Gold",E830&gt;=30000000,"Sliver",E830&lt;30000000,"Bronze")</f>
        <v>Gold</v>
      </c>
    </row>
    <row r="831" spans="1:12" x14ac:dyDescent="0.25">
      <c r="A831">
        <v>830</v>
      </c>
      <c r="B831" t="s">
        <v>851</v>
      </c>
      <c r="C831" t="s">
        <v>46</v>
      </c>
      <c r="D831" t="s">
        <v>32</v>
      </c>
      <c r="E831" s="4">
        <v>38936048</v>
      </c>
      <c r="F831">
        <v>35.81</v>
      </c>
      <c r="G831">
        <v>9.07</v>
      </c>
      <c r="H831">
        <v>544.07000000000005</v>
      </c>
      <c r="I831">
        <v>25.32</v>
      </c>
      <c r="J831" s="5">
        <v>46060</v>
      </c>
      <c r="K831">
        <f t="shared" si="12"/>
        <v>44.76</v>
      </c>
      <c r="L831" t="str" cm="1">
        <f t="array" ref="L831">_xlfn.IFS(E831&gt;=52000000,"Platinum",E831&gt;=37000000,"Gold",E831&gt;=30000000,"Sliver",E831&lt;30000000,"Bronze")</f>
        <v>Gold</v>
      </c>
    </row>
    <row r="832" spans="1:12" x14ac:dyDescent="0.25">
      <c r="A832">
        <v>831</v>
      </c>
      <c r="B832" t="s">
        <v>852</v>
      </c>
      <c r="C832" t="s">
        <v>46</v>
      </c>
      <c r="D832" t="s">
        <v>25</v>
      </c>
      <c r="E832" s="4">
        <v>28092934</v>
      </c>
      <c r="F832">
        <v>30.49</v>
      </c>
      <c r="G832">
        <v>7.88</v>
      </c>
      <c r="H832">
        <v>472.86</v>
      </c>
      <c r="I832">
        <v>25.85</v>
      </c>
      <c r="J832" s="5">
        <v>46060</v>
      </c>
      <c r="K832">
        <f t="shared" si="12"/>
        <v>47.68</v>
      </c>
      <c r="L832" t="str" cm="1">
        <f t="array" ref="L832">_xlfn.IFS(E832&gt;=52000000,"Platinum",E832&gt;=37000000,"Gold",E832&gt;=30000000,"Sliver",E832&lt;30000000,"Bronze")</f>
        <v>Bronze</v>
      </c>
    </row>
    <row r="833" spans="1:12" x14ac:dyDescent="0.25">
      <c r="A833">
        <v>832</v>
      </c>
      <c r="B833" t="s">
        <v>853</v>
      </c>
      <c r="C833" t="s">
        <v>19</v>
      </c>
      <c r="D833" t="s">
        <v>25</v>
      </c>
      <c r="E833" s="4">
        <v>31530760</v>
      </c>
      <c r="F833">
        <v>38.22</v>
      </c>
      <c r="G833">
        <v>2.09</v>
      </c>
      <c r="H833">
        <v>125.4</v>
      </c>
      <c r="I833">
        <v>5.47</v>
      </c>
      <c r="J833" s="5">
        <v>46060</v>
      </c>
      <c r="K833">
        <f t="shared" si="12"/>
        <v>33.630000000000003</v>
      </c>
      <c r="L833" t="str" cm="1">
        <f t="array" ref="L833">_xlfn.IFS(E833&gt;=52000000,"Platinum",E833&gt;=37000000,"Gold",E833&gt;=30000000,"Sliver",E833&lt;30000000,"Bronze")</f>
        <v>Sliver</v>
      </c>
    </row>
    <row r="834" spans="1:12" x14ac:dyDescent="0.25">
      <c r="A834">
        <v>833</v>
      </c>
      <c r="B834" t="s">
        <v>854</v>
      </c>
      <c r="C834" t="s">
        <v>19</v>
      </c>
      <c r="D834" t="s">
        <v>32</v>
      </c>
      <c r="E834" s="4">
        <v>37256765</v>
      </c>
      <c r="F834">
        <v>53.3</v>
      </c>
      <c r="G834">
        <v>4.71</v>
      </c>
      <c r="H834">
        <v>282.56</v>
      </c>
      <c r="I834">
        <v>8.84</v>
      </c>
      <c r="J834" s="5">
        <v>46060</v>
      </c>
      <c r="K834">
        <f t="shared" si="12"/>
        <v>27.77</v>
      </c>
      <c r="L834" t="str" cm="1">
        <f t="array" ref="L834">_xlfn.IFS(E834&gt;=52000000,"Platinum",E834&gt;=37000000,"Gold",E834&gt;=30000000,"Sliver",E834&lt;30000000,"Bronze")</f>
        <v>Gold</v>
      </c>
    </row>
    <row r="835" spans="1:12" x14ac:dyDescent="0.25">
      <c r="A835">
        <v>834</v>
      </c>
      <c r="B835" t="s">
        <v>855</v>
      </c>
      <c r="C835" t="s">
        <v>21</v>
      </c>
      <c r="D835" t="s">
        <v>17</v>
      </c>
      <c r="E835" s="4">
        <v>40527330</v>
      </c>
      <c r="F835">
        <v>45.11</v>
      </c>
      <c r="G835">
        <v>1.88</v>
      </c>
      <c r="H835">
        <v>112.78</v>
      </c>
      <c r="I835">
        <v>4.17</v>
      </c>
      <c r="J835" s="5">
        <v>46060</v>
      </c>
      <c r="K835">
        <f t="shared" ref="K835:K898" si="13">ROUND((100-F835)*0.5 + I835*0.5,2)</f>
        <v>29.53</v>
      </c>
      <c r="L835" t="str" cm="1">
        <f t="array" ref="L835">_xlfn.IFS(E835&gt;=52000000,"Platinum",E835&gt;=37000000,"Gold",E835&gt;=30000000,"Sliver",E835&lt;30000000,"Bronze")</f>
        <v>Gold</v>
      </c>
    </row>
    <row r="836" spans="1:12" x14ac:dyDescent="0.25">
      <c r="A836">
        <v>835</v>
      </c>
      <c r="B836" t="s">
        <v>856</v>
      </c>
      <c r="C836" t="s">
        <v>19</v>
      </c>
      <c r="D836" t="s">
        <v>32</v>
      </c>
      <c r="E836" s="4">
        <v>30869724</v>
      </c>
      <c r="F836">
        <v>32.14</v>
      </c>
      <c r="G836">
        <v>6.73</v>
      </c>
      <c r="H836">
        <v>403.53</v>
      </c>
      <c r="I836">
        <v>20.93</v>
      </c>
      <c r="J836" s="5">
        <v>46060</v>
      </c>
      <c r="K836">
        <f t="shared" si="13"/>
        <v>44.4</v>
      </c>
      <c r="L836" t="str" cm="1">
        <f t="array" ref="L836">_xlfn.IFS(E836&gt;=52000000,"Platinum",E836&gt;=37000000,"Gold",E836&gt;=30000000,"Sliver",E836&lt;30000000,"Bronze")</f>
        <v>Sliver</v>
      </c>
    </row>
    <row r="837" spans="1:12" x14ac:dyDescent="0.25">
      <c r="A837">
        <v>836</v>
      </c>
      <c r="B837" t="s">
        <v>857</v>
      </c>
      <c r="C837" t="s">
        <v>21</v>
      </c>
      <c r="D837" t="s">
        <v>11</v>
      </c>
      <c r="E837" s="4">
        <v>36239567</v>
      </c>
      <c r="F837">
        <v>43.67</v>
      </c>
      <c r="G837">
        <v>1.77</v>
      </c>
      <c r="H837">
        <v>106.01</v>
      </c>
      <c r="I837">
        <v>4.05</v>
      </c>
      <c r="J837" s="5">
        <v>46060</v>
      </c>
      <c r="K837">
        <f t="shared" si="13"/>
        <v>30.19</v>
      </c>
      <c r="L837" t="str" cm="1">
        <f t="array" ref="L837">_xlfn.IFS(E837&gt;=52000000,"Platinum",E837&gt;=37000000,"Gold",E837&gt;=30000000,"Sliver",E837&lt;30000000,"Bronze")</f>
        <v>Sliver</v>
      </c>
    </row>
    <row r="838" spans="1:12" x14ac:dyDescent="0.25">
      <c r="A838">
        <v>837</v>
      </c>
      <c r="B838" t="s">
        <v>858</v>
      </c>
      <c r="C838" t="s">
        <v>27</v>
      </c>
      <c r="D838" t="s">
        <v>22</v>
      </c>
      <c r="E838" s="4">
        <v>27732889</v>
      </c>
      <c r="F838">
        <v>22.95</v>
      </c>
      <c r="G838">
        <v>26.95</v>
      </c>
      <c r="H838">
        <v>1617.04</v>
      </c>
      <c r="I838">
        <v>117.43</v>
      </c>
      <c r="J838" s="5">
        <v>46060</v>
      </c>
      <c r="K838">
        <f t="shared" si="13"/>
        <v>97.24</v>
      </c>
      <c r="L838" t="str" cm="1">
        <f t="array" ref="L838">_xlfn.IFS(E838&gt;=52000000,"Platinum",E838&gt;=37000000,"Gold",E838&gt;=30000000,"Sliver",E838&lt;30000000,"Bronze")</f>
        <v>Bronze</v>
      </c>
    </row>
    <row r="839" spans="1:12" x14ac:dyDescent="0.25">
      <c r="A839">
        <v>838</v>
      </c>
      <c r="B839" t="s">
        <v>859</v>
      </c>
      <c r="C839" t="s">
        <v>16</v>
      </c>
      <c r="D839" t="s">
        <v>32</v>
      </c>
      <c r="E839" s="4">
        <v>41354361</v>
      </c>
      <c r="F839">
        <v>41.44</v>
      </c>
      <c r="G839">
        <v>7.7</v>
      </c>
      <c r="H839">
        <v>462.22</v>
      </c>
      <c r="I839">
        <v>18.59</v>
      </c>
      <c r="J839" s="5">
        <v>46060</v>
      </c>
      <c r="K839">
        <f t="shared" si="13"/>
        <v>38.58</v>
      </c>
      <c r="L839" t="str" cm="1">
        <f t="array" ref="L839">_xlfn.IFS(E839&gt;=52000000,"Platinum",E839&gt;=37000000,"Gold",E839&gt;=30000000,"Sliver",E839&lt;30000000,"Bronze")</f>
        <v>Gold</v>
      </c>
    </row>
    <row r="840" spans="1:12" x14ac:dyDescent="0.25">
      <c r="A840">
        <v>839</v>
      </c>
      <c r="B840" t="s">
        <v>860</v>
      </c>
      <c r="C840" t="s">
        <v>16</v>
      </c>
      <c r="D840" t="s">
        <v>25</v>
      </c>
      <c r="E840" s="4">
        <v>32945349</v>
      </c>
      <c r="F840">
        <v>52.16</v>
      </c>
      <c r="G840">
        <v>5.03</v>
      </c>
      <c r="H840">
        <v>301.55</v>
      </c>
      <c r="I840">
        <v>9.64</v>
      </c>
      <c r="J840" s="5">
        <v>46060</v>
      </c>
      <c r="K840">
        <f t="shared" si="13"/>
        <v>28.74</v>
      </c>
      <c r="L840" t="str" cm="1">
        <f t="array" ref="L840">_xlfn.IFS(E840&gt;=52000000,"Platinum",E840&gt;=37000000,"Gold",E840&gt;=30000000,"Sliver",E840&lt;30000000,"Bronze")</f>
        <v>Sliver</v>
      </c>
    </row>
    <row r="841" spans="1:12" x14ac:dyDescent="0.25">
      <c r="A841">
        <v>840</v>
      </c>
      <c r="B841" t="s">
        <v>861</v>
      </c>
      <c r="C841" t="s">
        <v>10</v>
      </c>
      <c r="D841" t="s">
        <v>32</v>
      </c>
      <c r="E841" s="4">
        <v>31006828</v>
      </c>
      <c r="F841">
        <v>46.15</v>
      </c>
      <c r="G841">
        <v>3.33</v>
      </c>
      <c r="H841">
        <v>199.67</v>
      </c>
      <c r="I841">
        <v>7.21</v>
      </c>
      <c r="J841" s="5">
        <v>46060</v>
      </c>
      <c r="K841">
        <f t="shared" si="13"/>
        <v>30.53</v>
      </c>
      <c r="L841" t="str" cm="1">
        <f t="array" ref="L841">_xlfn.IFS(E841&gt;=52000000,"Platinum",E841&gt;=37000000,"Gold",E841&gt;=30000000,"Sliver",E841&lt;30000000,"Bronze")</f>
        <v>Sliver</v>
      </c>
    </row>
    <row r="842" spans="1:12" x14ac:dyDescent="0.25">
      <c r="A842">
        <v>841</v>
      </c>
      <c r="B842" t="s">
        <v>862</v>
      </c>
      <c r="C842" t="s">
        <v>21</v>
      </c>
      <c r="D842" t="s">
        <v>13</v>
      </c>
      <c r="E842" s="4">
        <v>36421802</v>
      </c>
      <c r="F842">
        <v>38.229999999999997</v>
      </c>
      <c r="G842">
        <v>2</v>
      </c>
      <c r="H842">
        <v>119.77</v>
      </c>
      <c r="I842">
        <v>5.22</v>
      </c>
      <c r="J842" s="5">
        <v>46060</v>
      </c>
      <c r="K842">
        <f t="shared" si="13"/>
        <v>33.5</v>
      </c>
      <c r="L842" t="str" cm="1">
        <f t="array" ref="L842">_xlfn.IFS(E842&gt;=52000000,"Platinum",E842&gt;=37000000,"Gold",E842&gt;=30000000,"Sliver",E842&lt;30000000,"Bronze")</f>
        <v>Sliver</v>
      </c>
    </row>
    <row r="843" spans="1:12" x14ac:dyDescent="0.25">
      <c r="A843">
        <v>842</v>
      </c>
      <c r="B843" t="s">
        <v>863</v>
      </c>
      <c r="C843" t="s">
        <v>21</v>
      </c>
      <c r="D843" t="s">
        <v>11</v>
      </c>
      <c r="E843" s="4">
        <v>39841403</v>
      </c>
      <c r="F843">
        <v>39.340000000000003</v>
      </c>
      <c r="G843">
        <v>2.17</v>
      </c>
      <c r="H843">
        <v>130.13999999999999</v>
      </c>
      <c r="I843">
        <v>5.51</v>
      </c>
      <c r="J843" s="5">
        <v>46060</v>
      </c>
      <c r="K843">
        <f t="shared" si="13"/>
        <v>33.090000000000003</v>
      </c>
      <c r="L843" t="str" cm="1">
        <f t="array" ref="L843">_xlfn.IFS(E843&gt;=52000000,"Platinum",E843&gt;=37000000,"Gold",E843&gt;=30000000,"Sliver",E843&lt;30000000,"Bronze")</f>
        <v>Gold</v>
      </c>
    </row>
    <row r="844" spans="1:12" x14ac:dyDescent="0.25">
      <c r="A844">
        <v>843</v>
      </c>
      <c r="B844" t="s">
        <v>864</v>
      </c>
      <c r="C844" s="1" t="s">
        <v>21</v>
      </c>
      <c r="D844" t="s">
        <v>25</v>
      </c>
      <c r="E844" s="4">
        <v>39164478</v>
      </c>
      <c r="F844">
        <v>39.409999999999997</v>
      </c>
      <c r="G844">
        <v>5.1100000000000003</v>
      </c>
      <c r="H844">
        <v>306.60000000000002</v>
      </c>
      <c r="I844">
        <v>12.97</v>
      </c>
      <c r="J844" s="5">
        <v>46060</v>
      </c>
      <c r="K844">
        <f t="shared" si="13"/>
        <v>36.78</v>
      </c>
      <c r="L844" t="str" cm="1">
        <f t="array" ref="L844">_xlfn.IFS(E844&gt;=52000000,"Platinum",E844&gt;=37000000,"Gold",E844&gt;=30000000,"Sliver",E844&lt;30000000,"Bronze")</f>
        <v>Gold</v>
      </c>
    </row>
    <row r="845" spans="1:12" x14ac:dyDescent="0.25">
      <c r="A845">
        <v>844</v>
      </c>
      <c r="B845" t="s">
        <v>865</v>
      </c>
      <c r="C845" s="1" t="s">
        <v>21</v>
      </c>
      <c r="D845" t="s">
        <v>11</v>
      </c>
      <c r="E845" s="4">
        <v>30889619</v>
      </c>
      <c r="F845">
        <v>45.66</v>
      </c>
      <c r="G845">
        <v>2.88</v>
      </c>
      <c r="H845">
        <v>172.91</v>
      </c>
      <c r="I845">
        <v>6.31</v>
      </c>
      <c r="J845" s="5">
        <v>46060</v>
      </c>
      <c r="K845">
        <f t="shared" si="13"/>
        <v>30.33</v>
      </c>
      <c r="L845" t="str" cm="1">
        <f t="array" ref="L845">_xlfn.IFS(E845&gt;=52000000,"Platinum",E845&gt;=37000000,"Gold",E845&gt;=30000000,"Sliver",E845&lt;30000000,"Bronze")</f>
        <v>Sliver</v>
      </c>
    </row>
    <row r="846" spans="1:12" x14ac:dyDescent="0.25">
      <c r="A846">
        <v>845</v>
      </c>
      <c r="B846" t="s">
        <v>866</v>
      </c>
      <c r="C846" t="s">
        <v>46</v>
      </c>
      <c r="D846" t="s">
        <v>11</v>
      </c>
      <c r="E846" s="4">
        <v>35356975</v>
      </c>
      <c r="F846">
        <v>54.62</v>
      </c>
      <c r="G846">
        <v>3.73</v>
      </c>
      <c r="H846">
        <v>223.88</v>
      </c>
      <c r="I846">
        <v>6.83</v>
      </c>
      <c r="J846" s="5">
        <v>46060</v>
      </c>
      <c r="K846">
        <f t="shared" si="13"/>
        <v>26.11</v>
      </c>
      <c r="L846" t="str" cm="1">
        <f t="array" ref="L846">_xlfn.IFS(E846&gt;=52000000,"Platinum",E846&gt;=37000000,"Gold",E846&gt;=30000000,"Sliver",E846&lt;30000000,"Bronze")</f>
        <v>Sliver</v>
      </c>
    </row>
    <row r="847" spans="1:12" x14ac:dyDescent="0.25">
      <c r="A847">
        <v>846</v>
      </c>
      <c r="B847" t="s">
        <v>867</v>
      </c>
      <c r="C847" t="s">
        <v>46</v>
      </c>
      <c r="D847" t="s">
        <v>13</v>
      </c>
      <c r="E847" s="4">
        <v>32099467</v>
      </c>
      <c r="F847">
        <v>51.72</v>
      </c>
      <c r="G847">
        <v>4.16</v>
      </c>
      <c r="H847">
        <v>249.33</v>
      </c>
      <c r="I847">
        <v>8.0299999999999994</v>
      </c>
      <c r="J847" s="5">
        <v>46060</v>
      </c>
      <c r="K847">
        <f t="shared" si="13"/>
        <v>28.16</v>
      </c>
      <c r="L847" t="str" cm="1">
        <f t="array" ref="L847">_xlfn.IFS(E847&gt;=52000000,"Platinum",E847&gt;=37000000,"Gold",E847&gt;=30000000,"Sliver",E847&lt;30000000,"Bronze")</f>
        <v>Sliver</v>
      </c>
    </row>
    <row r="848" spans="1:12" x14ac:dyDescent="0.25">
      <c r="A848">
        <v>847</v>
      </c>
      <c r="B848" t="s">
        <v>868</v>
      </c>
      <c r="C848" t="s">
        <v>27</v>
      </c>
      <c r="D848" t="s">
        <v>17</v>
      </c>
      <c r="E848" s="4">
        <v>30736048</v>
      </c>
      <c r="F848">
        <v>28.62</v>
      </c>
      <c r="G848">
        <v>27.4</v>
      </c>
      <c r="H848">
        <v>1643.82</v>
      </c>
      <c r="I848">
        <v>95.73</v>
      </c>
      <c r="J848" s="5">
        <v>46060</v>
      </c>
      <c r="K848">
        <f t="shared" si="13"/>
        <v>83.56</v>
      </c>
      <c r="L848" t="str" cm="1">
        <f t="array" ref="L848">_xlfn.IFS(E848&gt;=52000000,"Platinum",E848&gt;=37000000,"Gold",E848&gt;=30000000,"Sliver",E848&lt;30000000,"Bronze")</f>
        <v>Sliver</v>
      </c>
    </row>
    <row r="849" spans="1:12" x14ac:dyDescent="0.25">
      <c r="A849">
        <v>848</v>
      </c>
      <c r="B849" t="s">
        <v>869</v>
      </c>
      <c r="C849" t="s">
        <v>27</v>
      </c>
      <c r="D849" t="s">
        <v>32</v>
      </c>
      <c r="E849" s="4">
        <v>31267440</v>
      </c>
      <c r="F849">
        <v>22.23</v>
      </c>
      <c r="G849">
        <v>29.93</v>
      </c>
      <c r="H849">
        <v>1795.64</v>
      </c>
      <c r="I849">
        <v>134.63</v>
      </c>
      <c r="J849" s="5">
        <v>46060</v>
      </c>
      <c r="K849">
        <f t="shared" si="13"/>
        <v>106.2</v>
      </c>
      <c r="L849" t="str" cm="1">
        <f t="array" ref="L849">_xlfn.IFS(E849&gt;=52000000,"Platinum",E849&gt;=37000000,"Gold",E849&gt;=30000000,"Sliver",E849&lt;30000000,"Bronze")</f>
        <v>Sliver</v>
      </c>
    </row>
    <row r="850" spans="1:12" x14ac:dyDescent="0.25">
      <c r="A850">
        <v>849</v>
      </c>
      <c r="B850" t="s">
        <v>870</v>
      </c>
      <c r="C850" t="s">
        <v>21</v>
      </c>
      <c r="D850" t="s">
        <v>22</v>
      </c>
      <c r="E850" s="4">
        <v>35611260</v>
      </c>
      <c r="F850">
        <v>49.7</v>
      </c>
      <c r="G850">
        <v>1.2</v>
      </c>
      <c r="H850">
        <v>71.88</v>
      </c>
      <c r="I850">
        <v>2.41</v>
      </c>
      <c r="J850" s="5">
        <v>46060</v>
      </c>
      <c r="K850">
        <f t="shared" si="13"/>
        <v>26.36</v>
      </c>
      <c r="L850" t="str" cm="1">
        <f t="array" ref="L850">_xlfn.IFS(E850&gt;=52000000,"Platinum",E850&gt;=37000000,"Gold",E850&gt;=30000000,"Sliver",E850&lt;30000000,"Bronze")</f>
        <v>Sliver</v>
      </c>
    </row>
    <row r="851" spans="1:12" x14ac:dyDescent="0.25">
      <c r="A851">
        <v>850</v>
      </c>
      <c r="B851" t="s">
        <v>871</v>
      </c>
      <c r="C851" t="s">
        <v>21</v>
      </c>
      <c r="D851" t="s">
        <v>17</v>
      </c>
      <c r="E851" s="4">
        <v>35174109</v>
      </c>
      <c r="F851">
        <v>40.58</v>
      </c>
      <c r="G851">
        <v>1.1599999999999999</v>
      </c>
      <c r="H851">
        <v>69.72</v>
      </c>
      <c r="I851">
        <v>2.86</v>
      </c>
      <c r="J851" s="5">
        <v>46060</v>
      </c>
      <c r="K851">
        <f t="shared" si="13"/>
        <v>31.14</v>
      </c>
      <c r="L851" t="str" cm="1">
        <f t="array" ref="L851">_xlfn.IFS(E851&gt;=52000000,"Platinum",E851&gt;=37000000,"Gold",E851&gt;=30000000,"Sliver",E851&lt;30000000,"Bronze")</f>
        <v>Sliver</v>
      </c>
    </row>
    <row r="852" spans="1:12" x14ac:dyDescent="0.25">
      <c r="A852">
        <v>851</v>
      </c>
      <c r="B852" t="s">
        <v>872</v>
      </c>
      <c r="C852" t="s">
        <v>10</v>
      </c>
      <c r="D852" t="s">
        <v>22</v>
      </c>
      <c r="E852" s="4">
        <v>33629094</v>
      </c>
      <c r="F852">
        <v>47.13</v>
      </c>
      <c r="G852">
        <v>4.6500000000000004</v>
      </c>
      <c r="H852">
        <v>278.7</v>
      </c>
      <c r="I852">
        <v>9.86</v>
      </c>
      <c r="J852" s="5">
        <v>46060</v>
      </c>
      <c r="K852">
        <f t="shared" si="13"/>
        <v>31.37</v>
      </c>
      <c r="L852" t="str" cm="1">
        <f t="array" ref="L852">_xlfn.IFS(E852&gt;=52000000,"Platinum",E852&gt;=37000000,"Gold",E852&gt;=30000000,"Sliver",E852&lt;30000000,"Bronze")</f>
        <v>Sliver</v>
      </c>
    </row>
    <row r="853" spans="1:12" x14ac:dyDescent="0.25">
      <c r="A853">
        <v>852</v>
      </c>
      <c r="B853" t="s">
        <v>873</v>
      </c>
      <c r="C853" t="s">
        <v>16</v>
      </c>
      <c r="D853" t="s">
        <v>17</v>
      </c>
      <c r="E853" s="4">
        <v>39605846</v>
      </c>
      <c r="F853">
        <v>32.14</v>
      </c>
      <c r="G853">
        <v>6.22</v>
      </c>
      <c r="H853">
        <v>373.15</v>
      </c>
      <c r="I853">
        <v>19.350000000000001</v>
      </c>
      <c r="J853" s="5">
        <v>46060</v>
      </c>
      <c r="K853">
        <f t="shared" si="13"/>
        <v>43.61</v>
      </c>
      <c r="L853" t="str" cm="1">
        <f t="array" ref="L853">_xlfn.IFS(E853&gt;=52000000,"Platinum",E853&gt;=37000000,"Gold",E853&gt;=30000000,"Sliver",E853&lt;30000000,"Bronze")</f>
        <v>Gold</v>
      </c>
    </row>
    <row r="854" spans="1:12" x14ac:dyDescent="0.25">
      <c r="A854">
        <v>853</v>
      </c>
      <c r="B854" t="s">
        <v>874</v>
      </c>
      <c r="C854" t="s">
        <v>19</v>
      </c>
      <c r="D854" t="s">
        <v>32</v>
      </c>
      <c r="E854" s="4">
        <v>38091323</v>
      </c>
      <c r="F854" s="1">
        <f>CALCULATION!$C$11</f>
        <v>42.81</v>
      </c>
      <c r="G854" s="1">
        <v>9.7799999999999994</v>
      </c>
      <c r="H854">
        <v>586.89</v>
      </c>
      <c r="I854">
        <v>25.06</v>
      </c>
      <c r="J854" s="5">
        <v>46060</v>
      </c>
      <c r="K854">
        <f t="shared" si="13"/>
        <v>41.13</v>
      </c>
      <c r="L854" t="str" cm="1">
        <f t="array" ref="L854">_xlfn.IFS(E854&gt;=52000000,"Platinum",E854&gt;=37000000,"Gold",E854&gt;=30000000,"Sliver",E854&lt;30000000,"Bronze")</f>
        <v>Gold</v>
      </c>
    </row>
    <row r="855" spans="1:12" x14ac:dyDescent="0.25">
      <c r="A855">
        <v>854</v>
      </c>
      <c r="B855" t="s">
        <v>875</v>
      </c>
      <c r="C855" t="s">
        <v>10</v>
      </c>
      <c r="D855" s="1" t="s">
        <v>32</v>
      </c>
      <c r="E855" s="4">
        <v>37916033</v>
      </c>
      <c r="F855">
        <v>36.26</v>
      </c>
      <c r="G855">
        <v>6.58</v>
      </c>
      <c r="H855">
        <v>394.94</v>
      </c>
      <c r="I855">
        <v>18.149999999999999</v>
      </c>
      <c r="J855" s="5">
        <v>46060</v>
      </c>
      <c r="K855">
        <f t="shared" si="13"/>
        <v>40.950000000000003</v>
      </c>
      <c r="L855" t="str" cm="1">
        <f t="array" ref="L855">_xlfn.IFS(E855&gt;=52000000,"Platinum",E855&gt;=37000000,"Gold",E855&gt;=30000000,"Sliver",E855&lt;30000000,"Bronze")</f>
        <v>Gold</v>
      </c>
    </row>
    <row r="856" spans="1:12" x14ac:dyDescent="0.25">
      <c r="A856">
        <v>855</v>
      </c>
      <c r="B856" t="s">
        <v>876</v>
      </c>
      <c r="C856" t="s">
        <v>10</v>
      </c>
      <c r="D856" t="s">
        <v>11</v>
      </c>
      <c r="E856" s="4">
        <v>31947978</v>
      </c>
      <c r="F856">
        <v>43.28</v>
      </c>
      <c r="G856">
        <v>7.49</v>
      </c>
      <c r="H856">
        <v>449.69</v>
      </c>
      <c r="I856">
        <v>17.32</v>
      </c>
      <c r="J856" s="5">
        <v>46060</v>
      </c>
      <c r="K856">
        <f t="shared" si="13"/>
        <v>37.020000000000003</v>
      </c>
      <c r="L856" t="str" cm="1">
        <f t="array" ref="L856">_xlfn.IFS(E856&gt;=52000000,"Platinum",E856&gt;=37000000,"Gold",E856&gt;=30000000,"Sliver",E856&lt;30000000,"Bronze")</f>
        <v>Sliver</v>
      </c>
    </row>
    <row r="857" spans="1:12" x14ac:dyDescent="0.25">
      <c r="A857">
        <v>856</v>
      </c>
      <c r="B857" t="s">
        <v>877</v>
      </c>
      <c r="C857" t="s">
        <v>46</v>
      </c>
      <c r="D857" t="s">
        <v>13</v>
      </c>
      <c r="E857" s="4">
        <v>33454980</v>
      </c>
      <c r="F857">
        <v>53.06</v>
      </c>
      <c r="G857">
        <v>9.56</v>
      </c>
      <c r="H857">
        <v>573.67999999999995</v>
      </c>
      <c r="I857">
        <v>18.02</v>
      </c>
      <c r="J857" s="5">
        <v>46060</v>
      </c>
      <c r="K857">
        <f t="shared" si="13"/>
        <v>32.479999999999997</v>
      </c>
      <c r="L857" t="str" cm="1">
        <f t="array" ref="L857">_xlfn.IFS(E857&gt;=52000000,"Platinum",E857&gt;=37000000,"Gold",E857&gt;=30000000,"Sliver",E857&lt;30000000,"Bronze")</f>
        <v>Sliver</v>
      </c>
    </row>
    <row r="858" spans="1:12" x14ac:dyDescent="0.25">
      <c r="A858">
        <v>857</v>
      </c>
      <c r="B858" t="s">
        <v>878</v>
      </c>
      <c r="C858" t="s">
        <v>10</v>
      </c>
      <c r="D858" t="s">
        <v>13</v>
      </c>
      <c r="E858" s="4">
        <v>32999268</v>
      </c>
      <c r="F858">
        <v>35.340000000000003</v>
      </c>
      <c r="G858">
        <v>6.59</v>
      </c>
      <c r="H858">
        <v>395.34</v>
      </c>
      <c r="I858">
        <v>18.64</v>
      </c>
      <c r="J858" s="5">
        <v>46060</v>
      </c>
      <c r="K858">
        <f t="shared" si="13"/>
        <v>41.65</v>
      </c>
      <c r="L858" t="str" cm="1">
        <f t="array" ref="L858">_xlfn.IFS(E858&gt;=52000000,"Platinum",E858&gt;=37000000,"Gold",E858&gt;=30000000,"Sliver",E858&lt;30000000,"Bronze")</f>
        <v>Sliver</v>
      </c>
    </row>
    <row r="859" spans="1:12" x14ac:dyDescent="0.25">
      <c r="A859">
        <v>858</v>
      </c>
      <c r="B859" t="s">
        <v>879</v>
      </c>
      <c r="C859" t="s">
        <v>27</v>
      </c>
      <c r="D859" t="s">
        <v>17</v>
      </c>
      <c r="E859" s="4">
        <v>34121134</v>
      </c>
      <c r="F859">
        <v>28.06</v>
      </c>
      <c r="G859">
        <v>32.340000000000003</v>
      </c>
      <c r="H859">
        <v>1940.29</v>
      </c>
      <c r="I859">
        <v>115.25</v>
      </c>
      <c r="J859" s="5">
        <v>46060</v>
      </c>
      <c r="K859">
        <f t="shared" si="13"/>
        <v>93.6</v>
      </c>
      <c r="L859" t="str" cm="1">
        <f t="array" ref="L859">_xlfn.IFS(E859&gt;=52000000,"Platinum",E859&gt;=37000000,"Gold",E859&gt;=30000000,"Sliver",E859&lt;30000000,"Bronze")</f>
        <v>Sliver</v>
      </c>
    </row>
    <row r="860" spans="1:12" x14ac:dyDescent="0.25">
      <c r="A860">
        <v>859</v>
      </c>
      <c r="B860" t="s">
        <v>880</v>
      </c>
      <c r="C860" t="s">
        <v>21</v>
      </c>
      <c r="D860" t="s">
        <v>11</v>
      </c>
      <c r="E860" s="4">
        <v>38285236</v>
      </c>
      <c r="F860">
        <v>41.08</v>
      </c>
      <c r="G860">
        <v>2.33</v>
      </c>
      <c r="H860">
        <v>139.5</v>
      </c>
      <c r="I860">
        <v>5.66</v>
      </c>
      <c r="J860" s="5">
        <v>46060</v>
      </c>
      <c r="K860">
        <f t="shared" si="13"/>
        <v>32.29</v>
      </c>
      <c r="L860" t="str" cm="1">
        <f t="array" ref="L860">_xlfn.IFS(E860&gt;=52000000,"Platinum",E860&gt;=37000000,"Gold",E860&gt;=30000000,"Sliver",E860&lt;30000000,"Bronze")</f>
        <v>Gold</v>
      </c>
    </row>
    <row r="861" spans="1:12" x14ac:dyDescent="0.25">
      <c r="A861">
        <v>860</v>
      </c>
      <c r="B861" t="s">
        <v>881</v>
      </c>
      <c r="C861" t="s">
        <v>10</v>
      </c>
      <c r="D861" t="s">
        <v>22</v>
      </c>
      <c r="E861" s="4">
        <v>32046141</v>
      </c>
      <c r="F861">
        <v>30.36</v>
      </c>
      <c r="G861">
        <v>3.17</v>
      </c>
      <c r="H861">
        <v>189.9</v>
      </c>
      <c r="I861">
        <v>10.42</v>
      </c>
      <c r="J861" s="5">
        <v>46060</v>
      </c>
      <c r="K861">
        <f t="shared" si="13"/>
        <v>40.03</v>
      </c>
      <c r="L861" t="str" cm="1">
        <f t="array" ref="L861">_xlfn.IFS(E861&gt;=52000000,"Platinum",E861&gt;=37000000,"Gold",E861&gt;=30000000,"Sliver",E861&lt;30000000,"Bronze")</f>
        <v>Sliver</v>
      </c>
    </row>
    <row r="862" spans="1:12" x14ac:dyDescent="0.25">
      <c r="A862">
        <v>861</v>
      </c>
      <c r="B862" t="s">
        <v>882</v>
      </c>
      <c r="C862" t="s">
        <v>21</v>
      </c>
      <c r="D862" t="s">
        <v>11</v>
      </c>
      <c r="E862" s="4">
        <v>39931684</v>
      </c>
      <c r="F862">
        <v>40.44</v>
      </c>
      <c r="G862">
        <v>1.27</v>
      </c>
      <c r="H862">
        <v>76.22</v>
      </c>
      <c r="I862">
        <v>3.14</v>
      </c>
      <c r="J862" s="5">
        <v>46060</v>
      </c>
      <c r="K862">
        <f t="shared" si="13"/>
        <v>31.35</v>
      </c>
      <c r="L862" t="str" cm="1">
        <f t="array" ref="L862">_xlfn.IFS(E862&gt;=52000000,"Platinum",E862&gt;=37000000,"Gold",E862&gt;=30000000,"Sliver",E862&lt;30000000,"Bronze")</f>
        <v>Gold</v>
      </c>
    </row>
    <row r="863" spans="1:12" x14ac:dyDescent="0.25">
      <c r="A863">
        <v>862</v>
      </c>
      <c r="B863" t="s">
        <v>883</v>
      </c>
      <c r="C863" t="s">
        <v>19</v>
      </c>
      <c r="D863" t="s">
        <v>32</v>
      </c>
      <c r="E863" s="4">
        <v>34423973</v>
      </c>
      <c r="F863" s="1">
        <f>CALCULATION!$C$11</f>
        <v>42.81</v>
      </c>
      <c r="G863" s="1">
        <v>6.95</v>
      </c>
      <c r="H863">
        <v>417.28</v>
      </c>
      <c r="I863">
        <v>12.24</v>
      </c>
      <c r="J863" s="5">
        <v>46060</v>
      </c>
      <c r="K863">
        <f t="shared" si="13"/>
        <v>34.72</v>
      </c>
      <c r="L863" t="str" cm="1">
        <f t="array" ref="L863">_xlfn.IFS(E863&gt;=52000000,"Platinum",E863&gt;=37000000,"Gold",E863&gt;=30000000,"Sliver",E863&lt;30000000,"Bronze")</f>
        <v>Sliver</v>
      </c>
    </row>
    <row r="864" spans="1:12" x14ac:dyDescent="0.25">
      <c r="A864">
        <v>863</v>
      </c>
      <c r="B864" t="s">
        <v>884</v>
      </c>
      <c r="C864" t="s">
        <v>19</v>
      </c>
      <c r="D864" t="s">
        <v>32</v>
      </c>
      <c r="E864" s="4">
        <v>35137977</v>
      </c>
      <c r="F864">
        <v>52.67</v>
      </c>
      <c r="G864">
        <v>6.77</v>
      </c>
      <c r="H864">
        <v>406.11</v>
      </c>
      <c r="I864">
        <v>12.85</v>
      </c>
      <c r="J864" s="5">
        <v>46060</v>
      </c>
      <c r="K864">
        <f t="shared" si="13"/>
        <v>30.09</v>
      </c>
      <c r="L864" t="str" cm="1">
        <f t="array" ref="L864">_xlfn.IFS(E864&gt;=52000000,"Platinum",E864&gt;=37000000,"Gold",E864&gt;=30000000,"Sliver",E864&lt;30000000,"Bronze")</f>
        <v>Sliver</v>
      </c>
    </row>
    <row r="865" spans="1:12" x14ac:dyDescent="0.25">
      <c r="A865">
        <v>864</v>
      </c>
      <c r="B865" t="s">
        <v>885</v>
      </c>
      <c r="C865" t="s">
        <v>29</v>
      </c>
      <c r="D865" s="1" t="s">
        <v>32</v>
      </c>
      <c r="E865" s="4">
        <v>39911610</v>
      </c>
      <c r="F865">
        <v>55.54</v>
      </c>
      <c r="G865">
        <v>9.1300000000000008</v>
      </c>
      <c r="H865">
        <v>547.5</v>
      </c>
      <c r="I865">
        <v>16.43</v>
      </c>
      <c r="J865" s="5">
        <v>46060</v>
      </c>
      <c r="K865">
        <f t="shared" si="13"/>
        <v>30.45</v>
      </c>
      <c r="L865" t="str" cm="1">
        <f t="array" ref="L865">_xlfn.IFS(E865&gt;=52000000,"Platinum",E865&gt;=37000000,"Gold",E865&gt;=30000000,"Sliver",E865&lt;30000000,"Bronze")</f>
        <v>Gold</v>
      </c>
    </row>
    <row r="866" spans="1:12" x14ac:dyDescent="0.25">
      <c r="A866">
        <v>865</v>
      </c>
      <c r="B866" t="s">
        <v>886</v>
      </c>
      <c r="C866" t="s">
        <v>29</v>
      </c>
      <c r="D866" t="s">
        <v>11</v>
      </c>
      <c r="E866" s="4">
        <v>29646872</v>
      </c>
      <c r="F866" s="1">
        <f>CALCULATION!$C$11</f>
        <v>42.81</v>
      </c>
      <c r="G866" s="1">
        <v>6.03</v>
      </c>
      <c r="H866">
        <v>362.01</v>
      </c>
      <c r="I866">
        <v>14.13</v>
      </c>
      <c r="J866" s="5">
        <v>46060</v>
      </c>
      <c r="K866">
        <f t="shared" si="13"/>
        <v>35.659999999999997</v>
      </c>
      <c r="L866" t="str" cm="1">
        <f t="array" ref="L866">_xlfn.IFS(E866&gt;=52000000,"Platinum",E866&gt;=37000000,"Gold",E866&gt;=30000000,"Sliver",E866&lt;30000000,"Bronze")</f>
        <v>Bronze</v>
      </c>
    </row>
    <row r="867" spans="1:12" x14ac:dyDescent="0.25">
      <c r="A867">
        <v>866</v>
      </c>
      <c r="B867" t="s">
        <v>887</v>
      </c>
      <c r="C867" t="s">
        <v>27</v>
      </c>
      <c r="D867" t="s">
        <v>25</v>
      </c>
      <c r="E867" s="4">
        <v>40669417</v>
      </c>
      <c r="F867">
        <v>28.59</v>
      </c>
      <c r="G867">
        <v>35.56</v>
      </c>
      <c r="H867">
        <v>2133.89</v>
      </c>
      <c r="I867">
        <v>124.4</v>
      </c>
      <c r="J867" s="5">
        <v>46060</v>
      </c>
      <c r="K867">
        <f t="shared" si="13"/>
        <v>97.91</v>
      </c>
      <c r="L867" t="str" cm="1">
        <f t="array" ref="L867">_xlfn.IFS(E867&gt;=52000000,"Platinum",E867&gt;=37000000,"Gold",E867&gt;=30000000,"Sliver",E867&lt;30000000,"Bronze")</f>
        <v>Gold</v>
      </c>
    </row>
    <row r="868" spans="1:12" x14ac:dyDescent="0.25">
      <c r="A868">
        <v>867</v>
      </c>
      <c r="B868" t="s">
        <v>888</v>
      </c>
      <c r="C868" t="s">
        <v>19</v>
      </c>
      <c r="D868" t="s">
        <v>17</v>
      </c>
      <c r="E868" s="4">
        <v>29228308</v>
      </c>
      <c r="F868">
        <v>56.42</v>
      </c>
      <c r="G868">
        <v>7.7</v>
      </c>
      <c r="H868">
        <v>461.97</v>
      </c>
      <c r="I868">
        <v>13.65</v>
      </c>
      <c r="J868" s="5">
        <v>46060</v>
      </c>
      <c r="K868">
        <f t="shared" si="13"/>
        <v>28.62</v>
      </c>
      <c r="L868" t="str" cm="1">
        <f t="array" ref="L868">_xlfn.IFS(E868&gt;=52000000,"Platinum",E868&gt;=37000000,"Gold",E868&gt;=30000000,"Sliver",E868&lt;30000000,"Bronze")</f>
        <v>Bronze</v>
      </c>
    </row>
    <row r="869" spans="1:12" x14ac:dyDescent="0.25">
      <c r="A869">
        <v>868</v>
      </c>
      <c r="B869" t="s">
        <v>889</v>
      </c>
      <c r="C869" t="s">
        <v>16</v>
      </c>
      <c r="D869" t="s">
        <v>22</v>
      </c>
      <c r="E869" s="4">
        <v>32783080</v>
      </c>
      <c r="F869">
        <v>56.58</v>
      </c>
      <c r="G869">
        <v>6.83</v>
      </c>
      <c r="H869">
        <v>409.57</v>
      </c>
      <c r="I869">
        <v>12.06</v>
      </c>
      <c r="J869" s="5">
        <v>46060</v>
      </c>
      <c r="K869">
        <f t="shared" si="13"/>
        <v>27.74</v>
      </c>
      <c r="L869" t="str" cm="1">
        <f t="array" ref="L869">_xlfn.IFS(E869&gt;=52000000,"Platinum",E869&gt;=37000000,"Gold",E869&gt;=30000000,"Sliver",E869&lt;30000000,"Bronze")</f>
        <v>Sliver</v>
      </c>
    </row>
    <row r="870" spans="1:12" x14ac:dyDescent="0.25">
      <c r="A870">
        <v>869</v>
      </c>
      <c r="B870" t="s">
        <v>890</v>
      </c>
      <c r="C870" t="s">
        <v>29</v>
      </c>
      <c r="D870" t="s">
        <v>11</v>
      </c>
      <c r="E870" s="4">
        <v>36718767</v>
      </c>
      <c r="F870">
        <v>30.41</v>
      </c>
      <c r="G870">
        <v>7.72</v>
      </c>
      <c r="H870">
        <v>462.96</v>
      </c>
      <c r="I870">
        <v>25.37</v>
      </c>
      <c r="J870" s="5">
        <v>46060</v>
      </c>
      <c r="K870">
        <f t="shared" si="13"/>
        <v>47.48</v>
      </c>
      <c r="L870" t="str" cm="1">
        <f t="array" ref="L870">_xlfn.IFS(E870&gt;=52000000,"Platinum",E870&gt;=37000000,"Gold",E870&gt;=30000000,"Sliver",E870&lt;30000000,"Bronze")</f>
        <v>Sliver</v>
      </c>
    </row>
    <row r="871" spans="1:12" x14ac:dyDescent="0.25">
      <c r="A871">
        <v>870</v>
      </c>
      <c r="B871" t="s">
        <v>891</v>
      </c>
      <c r="C871" t="s">
        <v>46</v>
      </c>
      <c r="D871" t="s">
        <v>25</v>
      </c>
      <c r="E871" s="4">
        <v>31531125</v>
      </c>
      <c r="F871">
        <v>59.21</v>
      </c>
      <c r="G871">
        <v>7.04</v>
      </c>
      <c r="H871">
        <v>422.36</v>
      </c>
      <c r="I871">
        <v>11.89</v>
      </c>
      <c r="J871" s="5">
        <v>46060</v>
      </c>
      <c r="K871">
        <f t="shared" si="13"/>
        <v>26.34</v>
      </c>
      <c r="L871" t="str" cm="1">
        <f t="array" ref="L871">_xlfn.IFS(E871&gt;=52000000,"Platinum",E871&gt;=37000000,"Gold",E871&gt;=30000000,"Sliver",E871&lt;30000000,"Bronze")</f>
        <v>Sliver</v>
      </c>
    </row>
    <row r="872" spans="1:12" x14ac:dyDescent="0.25">
      <c r="A872">
        <v>871</v>
      </c>
      <c r="B872" t="s">
        <v>892</v>
      </c>
      <c r="C872" t="s">
        <v>19</v>
      </c>
      <c r="D872" t="s">
        <v>22</v>
      </c>
      <c r="E872" s="4">
        <v>35108875</v>
      </c>
      <c r="F872">
        <v>42.59</v>
      </c>
      <c r="G872">
        <v>8.01</v>
      </c>
      <c r="H872">
        <v>480.76</v>
      </c>
      <c r="I872">
        <v>18.809999999999999</v>
      </c>
      <c r="J872" s="5">
        <v>46060</v>
      </c>
      <c r="K872">
        <f t="shared" si="13"/>
        <v>38.11</v>
      </c>
      <c r="L872" t="str" cm="1">
        <f t="array" ref="L872">_xlfn.IFS(E872&gt;=52000000,"Platinum",E872&gt;=37000000,"Gold",E872&gt;=30000000,"Sliver",E872&lt;30000000,"Bronze")</f>
        <v>Sliver</v>
      </c>
    </row>
    <row r="873" spans="1:12" x14ac:dyDescent="0.25">
      <c r="A873">
        <v>872</v>
      </c>
      <c r="B873" t="s">
        <v>893</v>
      </c>
      <c r="C873" t="s">
        <v>19</v>
      </c>
      <c r="D873" t="s">
        <v>17</v>
      </c>
      <c r="E873" s="4">
        <v>39819836</v>
      </c>
      <c r="F873">
        <v>48.29</v>
      </c>
      <c r="G873">
        <v>9.98</v>
      </c>
      <c r="H873">
        <v>598.83000000000004</v>
      </c>
      <c r="I873">
        <v>20.67</v>
      </c>
      <c r="J873" s="5">
        <v>46060</v>
      </c>
      <c r="K873">
        <f t="shared" si="13"/>
        <v>36.19</v>
      </c>
      <c r="L873" t="str" cm="1">
        <f t="array" ref="L873">_xlfn.IFS(E873&gt;=52000000,"Platinum",E873&gt;=37000000,"Gold",E873&gt;=30000000,"Sliver",E873&lt;30000000,"Bronze")</f>
        <v>Gold</v>
      </c>
    </row>
    <row r="874" spans="1:12" x14ac:dyDescent="0.25">
      <c r="A874">
        <v>873</v>
      </c>
      <c r="B874" t="s">
        <v>894</v>
      </c>
      <c r="C874" t="s">
        <v>27</v>
      </c>
      <c r="D874" t="s">
        <v>32</v>
      </c>
      <c r="E874" s="4">
        <v>28213232</v>
      </c>
      <c r="F874">
        <v>27.91</v>
      </c>
      <c r="G874">
        <v>38.450000000000003</v>
      </c>
      <c r="H874">
        <v>2307.27</v>
      </c>
      <c r="I874">
        <v>137.78</v>
      </c>
      <c r="J874" s="5">
        <v>46060</v>
      </c>
      <c r="K874">
        <f t="shared" si="13"/>
        <v>104.94</v>
      </c>
      <c r="L874" t="str" cm="1">
        <f t="array" ref="L874">_xlfn.IFS(E874&gt;=52000000,"Platinum",E874&gt;=37000000,"Gold",E874&gt;=30000000,"Sliver",E874&lt;30000000,"Bronze")</f>
        <v>Bronze</v>
      </c>
    </row>
    <row r="875" spans="1:12" x14ac:dyDescent="0.25">
      <c r="A875">
        <v>874</v>
      </c>
      <c r="B875" t="s">
        <v>895</v>
      </c>
      <c r="C875" t="s">
        <v>21</v>
      </c>
      <c r="D875" t="s">
        <v>22</v>
      </c>
      <c r="E875" s="4">
        <v>32961167</v>
      </c>
      <c r="F875">
        <v>41.74</v>
      </c>
      <c r="G875">
        <v>1.88</v>
      </c>
      <c r="H875">
        <v>112.82</v>
      </c>
      <c r="I875">
        <v>4.5</v>
      </c>
      <c r="J875" s="5">
        <v>46060</v>
      </c>
      <c r="K875">
        <f t="shared" si="13"/>
        <v>31.38</v>
      </c>
      <c r="L875" t="str" cm="1">
        <f t="array" ref="L875">_xlfn.IFS(E875&gt;=52000000,"Platinum",E875&gt;=37000000,"Gold",E875&gt;=30000000,"Sliver",E875&lt;30000000,"Bronze")</f>
        <v>Sliver</v>
      </c>
    </row>
    <row r="876" spans="1:12" x14ac:dyDescent="0.25">
      <c r="A876">
        <v>875</v>
      </c>
      <c r="B876" t="s">
        <v>896</v>
      </c>
      <c r="C876" t="s">
        <v>21</v>
      </c>
      <c r="D876" t="s">
        <v>25</v>
      </c>
      <c r="E876" s="4">
        <v>29659874</v>
      </c>
      <c r="F876">
        <v>48.85</v>
      </c>
      <c r="G876">
        <v>1.96</v>
      </c>
      <c r="H876">
        <v>117.56</v>
      </c>
      <c r="I876">
        <v>4.01</v>
      </c>
      <c r="J876" s="5">
        <v>46060</v>
      </c>
      <c r="K876">
        <f t="shared" si="13"/>
        <v>27.58</v>
      </c>
      <c r="L876" t="str" cm="1">
        <f t="array" ref="L876">_xlfn.IFS(E876&gt;=52000000,"Platinum",E876&gt;=37000000,"Gold",E876&gt;=30000000,"Sliver",E876&lt;30000000,"Bronze")</f>
        <v>Bronze</v>
      </c>
    </row>
    <row r="877" spans="1:12" x14ac:dyDescent="0.25">
      <c r="A877">
        <v>876</v>
      </c>
      <c r="B877" t="s">
        <v>897</v>
      </c>
      <c r="C877" t="s">
        <v>27</v>
      </c>
      <c r="D877" t="s">
        <v>22</v>
      </c>
      <c r="E877" s="4">
        <v>30538147</v>
      </c>
      <c r="F877">
        <v>21.86</v>
      </c>
      <c r="G877">
        <v>12.81</v>
      </c>
      <c r="H877">
        <v>768.74</v>
      </c>
      <c r="I877">
        <v>58.61</v>
      </c>
      <c r="J877" s="5">
        <v>46060</v>
      </c>
      <c r="K877">
        <f t="shared" si="13"/>
        <v>68.38</v>
      </c>
      <c r="L877" t="str" cm="1">
        <f t="array" ref="L877">_xlfn.IFS(E877&gt;=52000000,"Platinum",E877&gt;=37000000,"Gold",E877&gt;=30000000,"Sliver",E877&lt;30000000,"Bronze")</f>
        <v>Sliver</v>
      </c>
    </row>
    <row r="878" spans="1:12" x14ac:dyDescent="0.25">
      <c r="A878">
        <v>877</v>
      </c>
      <c r="B878" t="s">
        <v>898</v>
      </c>
      <c r="C878" t="s">
        <v>21</v>
      </c>
      <c r="D878" t="s">
        <v>32</v>
      </c>
      <c r="E878" s="4">
        <v>32349486</v>
      </c>
      <c r="F878">
        <v>41.21</v>
      </c>
      <c r="G878">
        <v>2.5299999999999998</v>
      </c>
      <c r="H878">
        <v>151.87</v>
      </c>
      <c r="I878">
        <v>6.14</v>
      </c>
      <c r="J878" s="5">
        <v>46060</v>
      </c>
      <c r="K878">
        <f t="shared" si="13"/>
        <v>32.47</v>
      </c>
      <c r="L878" t="str" cm="1">
        <f t="array" ref="L878">_xlfn.IFS(E878&gt;=52000000,"Platinum",E878&gt;=37000000,"Gold",E878&gt;=30000000,"Sliver",E878&lt;30000000,"Bronze")</f>
        <v>Sliver</v>
      </c>
    </row>
    <row r="879" spans="1:12" x14ac:dyDescent="0.25">
      <c r="A879">
        <v>878</v>
      </c>
      <c r="B879" t="s">
        <v>899</v>
      </c>
      <c r="C879" t="s">
        <v>27</v>
      </c>
      <c r="D879" t="s">
        <v>22</v>
      </c>
      <c r="E879" s="4">
        <v>37264275</v>
      </c>
      <c r="F879">
        <v>28.2</v>
      </c>
      <c r="G879">
        <v>29.9</v>
      </c>
      <c r="H879">
        <v>1794.19</v>
      </c>
      <c r="I879">
        <v>106.04</v>
      </c>
      <c r="J879" s="5">
        <v>46060</v>
      </c>
      <c r="K879">
        <f t="shared" si="13"/>
        <v>88.92</v>
      </c>
      <c r="L879" t="str" cm="1">
        <f t="array" ref="L879">_xlfn.IFS(E879&gt;=52000000,"Platinum",E879&gt;=37000000,"Gold",E879&gt;=30000000,"Sliver",E879&lt;30000000,"Bronze")</f>
        <v>Gold</v>
      </c>
    </row>
    <row r="880" spans="1:12" x14ac:dyDescent="0.25">
      <c r="A880">
        <v>879</v>
      </c>
      <c r="B880" t="s">
        <v>900</v>
      </c>
      <c r="C880" t="s">
        <v>19</v>
      </c>
      <c r="D880" t="s">
        <v>17</v>
      </c>
      <c r="E880" s="4">
        <v>31647961</v>
      </c>
      <c r="F880">
        <v>52.9</v>
      </c>
      <c r="G880">
        <v>8.4700000000000006</v>
      </c>
      <c r="H880">
        <v>507.98</v>
      </c>
      <c r="I880">
        <v>16</v>
      </c>
      <c r="J880" s="5">
        <v>46060</v>
      </c>
      <c r="K880">
        <f t="shared" si="13"/>
        <v>31.55</v>
      </c>
      <c r="L880" t="str" cm="1">
        <f t="array" ref="L880">_xlfn.IFS(E880&gt;=52000000,"Platinum",E880&gt;=37000000,"Gold",E880&gt;=30000000,"Sliver",E880&lt;30000000,"Bronze")</f>
        <v>Sliver</v>
      </c>
    </row>
    <row r="881" spans="1:12" x14ac:dyDescent="0.25">
      <c r="A881">
        <v>880</v>
      </c>
      <c r="B881" t="s">
        <v>901</v>
      </c>
      <c r="C881" t="s">
        <v>21</v>
      </c>
      <c r="D881" t="s">
        <v>25</v>
      </c>
      <c r="E881" s="4">
        <v>35380352</v>
      </c>
      <c r="F881">
        <v>36.200000000000003</v>
      </c>
      <c r="G881">
        <v>1.87</v>
      </c>
      <c r="H881">
        <v>112.47</v>
      </c>
      <c r="I881">
        <v>5.18</v>
      </c>
      <c r="J881" s="5">
        <v>46060</v>
      </c>
      <c r="K881">
        <f t="shared" si="13"/>
        <v>34.49</v>
      </c>
      <c r="L881" t="str" cm="1">
        <f t="array" ref="L881">_xlfn.IFS(E881&gt;=52000000,"Platinum",E881&gt;=37000000,"Gold",E881&gt;=30000000,"Sliver",E881&lt;30000000,"Bronze")</f>
        <v>Sliver</v>
      </c>
    </row>
    <row r="882" spans="1:12" x14ac:dyDescent="0.25">
      <c r="A882">
        <v>881</v>
      </c>
      <c r="B882" t="s">
        <v>902</v>
      </c>
      <c r="C882" t="s">
        <v>16</v>
      </c>
      <c r="D882" t="s">
        <v>11</v>
      </c>
      <c r="E882" s="4">
        <v>30483748</v>
      </c>
      <c r="F882">
        <v>47.03</v>
      </c>
      <c r="G882">
        <v>8.61</v>
      </c>
      <c r="H882">
        <v>516.41</v>
      </c>
      <c r="I882">
        <v>18.3</v>
      </c>
      <c r="J882" s="5">
        <v>46060</v>
      </c>
      <c r="K882">
        <f t="shared" si="13"/>
        <v>35.64</v>
      </c>
      <c r="L882" t="str" cm="1">
        <f t="array" ref="L882">_xlfn.IFS(E882&gt;=52000000,"Platinum",E882&gt;=37000000,"Gold",E882&gt;=30000000,"Sliver",E882&lt;30000000,"Bronze")</f>
        <v>Sliver</v>
      </c>
    </row>
    <row r="883" spans="1:12" x14ac:dyDescent="0.25">
      <c r="A883">
        <v>882</v>
      </c>
      <c r="B883" t="s">
        <v>903</v>
      </c>
      <c r="C883" t="s">
        <v>19</v>
      </c>
      <c r="D883" t="s">
        <v>32</v>
      </c>
      <c r="E883" s="4">
        <v>40087171</v>
      </c>
      <c r="F883">
        <v>44.09</v>
      </c>
      <c r="G883">
        <v>6.21</v>
      </c>
      <c r="H883">
        <v>372.46</v>
      </c>
      <c r="I883">
        <v>14.08</v>
      </c>
      <c r="J883" s="5">
        <v>46060</v>
      </c>
      <c r="K883">
        <f t="shared" si="13"/>
        <v>35</v>
      </c>
      <c r="L883" t="str" cm="1">
        <f t="array" ref="L883">_xlfn.IFS(E883&gt;=52000000,"Platinum",E883&gt;=37000000,"Gold",E883&gt;=30000000,"Sliver",E883&lt;30000000,"Bronze")</f>
        <v>Gold</v>
      </c>
    </row>
    <row r="884" spans="1:12" x14ac:dyDescent="0.25">
      <c r="A884">
        <v>883</v>
      </c>
      <c r="B884" t="s">
        <v>904</v>
      </c>
      <c r="C884" t="s">
        <v>10</v>
      </c>
      <c r="D884" t="s">
        <v>25</v>
      </c>
      <c r="E884" s="4">
        <v>39720364</v>
      </c>
      <c r="F884">
        <v>59.42</v>
      </c>
      <c r="G884">
        <v>4.72</v>
      </c>
      <c r="H884">
        <v>283.23</v>
      </c>
      <c r="I884">
        <v>7.94</v>
      </c>
      <c r="J884" s="5">
        <v>46060</v>
      </c>
      <c r="K884">
        <f t="shared" si="13"/>
        <v>24.26</v>
      </c>
      <c r="L884" t="str" cm="1">
        <f t="array" ref="L884">_xlfn.IFS(E884&gt;=52000000,"Platinum",E884&gt;=37000000,"Gold",E884&gt;=30000000,"Sliver",E884&lt;30000000,"Bronze")</f>
        <v>Gold</v>
      </c>
    </row>
    <row r="885" spans="1:12" x14ac:dyDescent="0.25">
      <c r="A885">
        <v>884</v>
      </c>
      <c r="B885" t="s">
        <v>905</v>
      </c>
      <c r="C885" t="s">
        <v>16</v>
      </c>
      <c r="D885" t="s">
        <v>17</v>
      </c>
      <c r="E885" s="4">
        <v>28002129</v>
      </c>
      <c r="F885">
        <v>56.59</v>
      </c>
      <c r="G885">
        <v>7.7</v>
      </c>
      <c r="H885">
        <v>461.96</v>
      </c>
      <c r="I885">
        <v>13.61</v>
      </c>
      <c r="J885" s="5">
        <v>46060</v>
      </c>
      <c r="K885">
        <f t="shared" si="13"/>
        <v>28.51</v>
      </c>
      <c r="L885" t="str" cm="1">
        <f t="array" ref="L885">_xlfn.IFS(E885&gt;=52000000,"Platinum",E885&gt;=37000000,"Gold",E885&gt;=30000000,"Sliver",E885&lt;30000000,"Bronze")</f>
        <v>Bronze</v>
      </c>
    </row>
    <row r="886" spans="1:12" x14ac:dyDescent="0.25">
      <c r="A886">
        <v>885</v>
      </c>
      <c r="B886" t="s">
        <v>906</v>
      </c>
      <c r="C886" t="s">
        <v>29</v>
      </c>
      <c r="D886" t="s">
        <v>32</v>
      </c>
      <c r="E886" s="4">
        <v>31751824</v>
      </c>
      <c r="F886">
        <v>43.26</v>
      </c>
      <c r="G886">
        <v>3.55</v>
      </c>
      <c r="H886">
        <v>212.91</v>
      </c>
      <c r="I886">
        <v>8.1999999999999993</v>
      </c>
      <c r="J886" s="5">
        <v>46060</v>
      </c>
      <c r="K886">
        <f t="shared" si="13"/>
        <v>32.47</v>
      </c>
      <c r="L886" t="str" cm="1">
        <f t="array" ref="L886">_xlfn.IFS(E886&gt;=52000000,"Platinum",E886&gt;=37000000,"Gold",E886&gt;=30000000,"Sliver",E886&lt;30000000,"Bronze")</f>
        <v>Sliver</v>
      </c>
    </row>
    <row r="887" spans="1:12" x14ac:dyDescent="0.25">
      <c r="A887">
        <v>886</v>
      </c>
      <c r="B887" t="s">
        <v>907</v>
      </c>
      <c r="C887" t="s">
        <v>19</v>
      </c>
      <c r="D887" t="s">
        <v>22</v>
      </c>
      <c r="E887" s="4">
        <v>30718897</v>
      </c>
      <c r="F887">
        <v>57.31</v>
      </c>
      <c r="G887">
        <v>9.75</v>
      </c>
      <c r="H887">
        <v>585.08000000000004</v>
      </c>
      <c r="I887">
        <v>17.02</v>
      </c>
      <c r="J887" s="5">
        <v>46060</v>
      </c>
      <c r="K887">
        <f t="shared" si="13"/>
        <v>29.86</v>
      </c>
      <c r="L887" t="str" cm="1">
        <f t="array" ref="L887">_xlfn.IFS(E887&gt;=52000000,"Platinum",E887&gt;=37000000,"Gold",E887&gt;=30000000,"Sliver",E887&lt;30000000,"Bronze")</f>
        <v>Sliver</v>
      </c>
    </row>
    <row r="888" spans="1:12" x14ac:dyDescent="0.25">
      <c r="A888">
        <v>887</v>
      </c>
      <c r="B888" t="s">
        <v>908</v>
      </c>
      <c r="C888" t="s">
        <v>46</v>
      </c>
      <c r="D888" t="s">
        <v>11</v>
      </c>
      <c r="E888" s="4">
        <v>32974493</v>
      </c>
      <c r="F888">
        <v>46.9</v>
      </c>
      <c r="G888">
        <v>8.2799999999999994</v>
      </c>
      <c r="H888">
        <v>496.84</v>
      </c>
      <c r="I888">
        <v>17.66</v>
      </c>
      <c r="J888" s="5">
        <v>46060</v>
      </c>
      <c r="K888">
        <f t="shared" si="13"/>
        <v>35.380000000000003</v>
      </c>
      <c r="L888" t="str" cm="1">
        <f t="array" ref="L888">_xlfn.IFS(E888&gt;=52000000,"Platinum",E888&gt;=37000000,"Gold",E888&gt;=30000000,"Sliver",E888&lt;30000000,"Bronze")</f>
        <v>Sliver</v>
      </c>
    </row>
    <row r="889" spans="1:12" x14ac:dyDescent="0.25">
      <c r="A889">
        <v>888</v>
      </c>
      <c r="B889" t="s">
        <v>909</v>
      </c>
      <c r="C889" t="s">
        <v>46</v>
      </c>
      <c r="D889" t="s">
        <v>13</v>
      </c>
      <c r="E889" s="4">
        <v>31757531</v>
      </c>
      <c r="F889">
        <v>39.65</v>
      </c>
      <c r="G889">
        <v>5.72</v>
      </c>
      <c r="H889" s="1">
        <f>CALCULATION!$D$11</f>
        <v>343.315</v>
      </c>
      <c r="I889">
        <v>24.48</v>
      </c>
      <c r="J889" s="5">
        <v>46060</v>
      </c>
      <c r="K889">
        <f t="shared" si="13"/>
        <v>42.42</v>
      </c>
      <c r="L889" t="str" cm="1">
        <f t="array" ref="L889">_xlfn.IFS(E889&gt;=52000000,"Platinum",E889&gt;=37000000,"Gold",E889&gt;=30000000,"Sliver",E889&lt;30000000,"Bronze")</f>
        <v>Sliver</v>
      </c>
    </row>
    <row r="890" spans="1:12" x14ac:dyDescent="0.25">
      <c r="A890">
        <v>889</v>
      </c>
      <c r="B890" t="s">
        <v>910</v>
      </c>
      <c r="C890" t="s">
        <v>16</v>
      </c>
      <c r="D890" t="s">
        <v>11</v>
      </c>
      <c r="E890" s="4">
        <v>27429048</v>
      </c>
      <c r="F890" s="1">
        <f>CALCULATION!$C$11</f>
        <v>42.81</v>
      </c>
      <c r="G890" s="1">
        <v>9.1999999999999993</v>
      </c>
      <c r="H890">
        <v>552.15</v>
      </c>
      <c r="I890">
        <v>17.809999999999999</v>
      </c>
      <c r="J890" s="5">
        <v>46060</v>
      </c>
      <c r="K890">
        <f t="shared" si="13"/>
        <v>37.5</v>
      </c>
      <c r="L890" t="str" cm="1">
        <f t="array" ref="L890">_xlfn.IFS(E890&gt;=52000000,"Platinum",E890&gt;=37000000,"Gold",E890&gt;=30000000,"Sliver",E890&lt;30000000,"Bronze")</f>
        <v>Bronze</v>
      </c>
    </row>
    <row r="891" spans="1:12" x14ac:dyDescent="0.25">
      <c r="A891">
        <v>890</v>
      </c>
      <c r="B891" t="s">
        <v>911</v>
      </c>
      <c r="C891" t="s">
        <v>16</v>
      </c>
      <c r="D891" t="s">
        <v>22</v>
      </c>
      <c r="E891" s="4">
        <v>33868906</v>
      </c>
      <c r="F891">
        <v>56.96</v>
      </c>
      <c r="G891">
        <v>5.65</v>
      </c>
      <c r="H891">
        <v>339.21</v>
      </c>
      <c r="I891">
        <v>9.93</v>
      </c>
      <c r="J891" s="5">
        <v>46060</v>
      </c>
      <c r="K891">
        <f t="shared" si="13"/>
        <v>26.49</v>
      </c>
      <c r="L891" t="str" cm="1">
        <f t="array" ref="L891">_xlfn.IFS(E891&gt;=52000000,"Platinum",E891&gt;=37000000,"Gold",E891&gt;=30000000,"Sliver",E891&lt;30000000,"Bronze")</f>
        <v>Sliver</v>
      </c>
    </row>
    <row r="892" spans="1:12" x14ac:dyDescent="0.25">
      <c r="A892">
        <v>891</v>
      </c>
      <c r="B892" t="s">
        <v>912</v>
      </c>
      <c r="C892" t="s">
        <v>46</v>
      </c>
      <c r="D892" t="s">
        <v>17</v>
      </c>
      <c r="E892" s="4">
        <v>28199195</v>
      </c>
      <c r="F892">
        <v>49.87</v>
      </c>
      <c r="G892">
        <v>8.7100000000000009</v>
      </c>
      <c r="H892">
        <v>522.72</v>
      </c>
      <c r="I892">
        <v>17.47</v>
      </c>
      <c r="J892" s="5">
        <v>46060</v>
      </c>
      <c r="K892">
        <f t="shared" si="13"/>
        <v>33.799999999999997</v>
      </c>
      <c r="L892" t="str" cm="1">
        <f t="array" ref="L892">_xlfn.IFS(E892&gt;=52000000,"Platinum",E892&gt;=37000000,"Gold",E892&gt;=30000000,"Sliver",E892&lt;30000000,"Bronze")</f>
        <v>Bronze</v>
      </c>
    </row>
    <row r="893" spans="1:12" x14ac:dyDescent="0.25">
      <c r="A893">
        <v>892</v>
      </c>
      <c r="B893" t="s">
        <v>913</v>
      </c>
      <c r="C893" t="s">
        <v>27</v>
      </c>
      <c r="D893" t="s">
        <v>25</v>
      </c>
      <c r="E893" s="4">
        <v>36910277</v>
      </c>
      <c r="F893">
        <v>15.25</v>
      </c>
      <c r="G893">
        <v>24.9</v>
      </c>
      <c r="H893">
        <v>1494.02</v>
      </c>
      <c r="I893">
        <v>163.28</v>
      </c>
      <c r="J893" s="5">
        <v>46060</v>
      </c>
      <c r="K893">
        <f t="shared" si="13"/>
        <v>124.02</v>
      </c>
      <c r="L893" t="str" cm="1">
        <f t="array" ref="L893">_xlfn.IFS(E893&gt;=52000000,"Platinum",E893&gt;=37000000,"Gold",E893&gt;=30000000,"Sliver",E893&lt;30000000,"Bronze")</f>
        <v>Sliver</v>
      </c>
    </row>
    <row r="894" spans="1:12" x14ac:dyDescent="0.25">
      <c r="A894">
        <v>893</v>
      </c>
      <c r="B894" t="s">
        <v>914</v>
      </c>
      <c r="C894" s="1" t="s">
        <v>21</v>
      </c>
      <c r="D894" t="s">
        <v>17</v>
      </c>
      <c r="E894" s="4">
        <v>31877877</v>
      </c>
      <c r="F894">
        <v>39.72</v>
      </c>
      <c r="G894">
        <v>6.36</v>
      </c>
      <c r="H894">
        <v>381.66</v>
      </c>
      <c r="I894">
        <v>16.010000000000002</v>
      </c>
      <c r="J894" s="5">
        <v>46060</v>
      </c>
      <c r="K894">
        <f t="shared" si="13"/>
        <v>38.15</v>
      </c>
      <c r="L894" t="str" cm="1">
        <f t="array" ref="L894">_xlfn.IFS(E894&gt;=52000000,"Platinum",E894&gt;=37000000,"Gold",E894&gt;=30000000,"Sliver",E894&lt;30000000,"Bronze")</f>
        <v>Sliver</v>
      </c>
    </row>
    <row r="895" spans="1:12" x14ac:dyDescent="0.25">
      <c r="A895">
        <v>894</v>
      </c>
      <c r="B895" t="s">
        <v>915</v>
      </c>
      <c r="C895" t="s">
        <v>29</v>
      </c>
      <c r="D895" t="s">
        <v>13</v>
      </c>
      <c r="E895" s="4">
        <v>28086596</v>
      </c>
      <c r="F895">
        <v>49.73</v>
      </c>
      <c r="G895">
        <v>5.77</v>
      </c>
      <c r="H895">
        <v>346.49</v>
      </c>
      <c r="I895">
        <v>11.61</v>
      </c>
      <c r="J895" s="5">
        <v>46060</v>
      </c>
      <c r="K895">
        <f t="shared" si="13"/>
        <v>30.94</v>
      </c>
      <c r="L895" t="str" cm="1">
        <f t="array" ref="L895">_xlfn.IFS(E895&gt;=52000000,"Platinum",E895&gt;=37000000,"Gold",E895&gt;=30000000,"Sliver",E895&lt;30000000,"Bronze")</f>
        <v>Bronze</v>
      </c>
    </row>
    <row r="896" spans="1:12" x14ac:dyDescent="0.25">
      <c r="A896">
        <v>895</v>
      </c>
      <c r="B896" t="s">
        <v>916</v>
      </c>
      <c r="C896" s="1" t="s">
        <v>21</v>
      </c>
      <c r="D896" t="s">
        <v>25</v>
      </c>
      <c r="E896" s="4">
        <v>34927337</v>
      </c>
      <c r="F896">
        <v>43.03</v>
      </c>
      <c r="G896">
        <v>2.37</v>
      </c>
      <c r="H896">
        <v>142.25</v>
      </c>
      <c r="I896">
        <v>5.51</v>
      </c>
      <c r="J896" s="5">
        <v>46060</v>
      </c>
      <c r="K896">
        <f t="shared" si="13"/>
        <v>31.24</v>
      </c>
      <c r="L896" t="str" cm="1">
        <f t="array" ref="L896">_xlfn.IFS(E896&gt;=52000000,"Platinum",E896&gt;=37000000,"Gold",E896&gt;=30000000,"Sliver",E896&lt;30000000,"Bronze")</f>
        <v>Sliver</v>
      </c>
    </row>
    <row r="897" spans="1:12" x14ac:dyDescent="0.25">
      <c r="A897">
        <v>896</v>
      </c>
      <c r="B897" t="s">
        <v>917</v>
      </c>
      <c r="C897" t="s">
        <v>46</v>
      </c>
      <c r="D897" t="s">
        <v>32</v>
      </c>
      <c r="E897" s="4">
        <v>33656951</v>
      </c>
      <c r="F897">
        <v>57.84</v>
      </c>
      <c r="G897">
        <v>5.74</v>
      </c>
      <c r="H897">
        <v>344.11</v>
      </c>
      <c r="I897">
        <v>9.92</v>
      </c>
      <c r="J897" s="5">
        <v>46060</v>
      </c>
      <c r="K897">
        <f t="shared" si="13"/>
        <v>26.04</v>
      </c>
      <c r="L897" t="str" cm="1">
        <f t="array" ref="L897">_xlfn.IFS(E897&gt;=52000000,"Platinum",E897&gt;=37000000,"Gold",E897&gt;=30000000,"Sliver",E897&lt;30000000,"Bronze")</f>
        <v>Sliver</v>
      </c>
    </row>
    <row r="898" spans="1:12" x14ac:dyDescent="0.25">
      <c r="A898">
        <v>897</v>
      </c>
      <c r="B898" t="s">
        <v>918</v>
      </c>
      <c r="C898" t="s">
        <v>21</v>
      </c>
      <c r="D898" t="s">
        <v>25</v>
      </c>
      <c r="E898" s="4">
        <v>27033386</v>
      </c>
      <c r="F898">
        <v>49.15</v>
      </c>
      <c r="G898">
        <v>1.94</v>
      </c>
      <c r="H898">
        <v>116.62</v>
      </c>
      <c r="I898">
        <v>3.95</v>
      </c>
      <c r="J898" s="5">
        <v>46060</v>
      </c>
      <c r="K898">
        <f t="shared" si="13"/>
        <v>27.4</v>
      </c>
      <c r="L898" t="str" cm="1">
        <f t="array" ref="L898">_xlfn.IFS(E898&gt;=52000000,"Platinum",E898&gt;=37000000,"Gold",E898&gt;=30000000,"Sliver",E898&lt;30000000,"Bronze")</f>
        <v>Bronze</v>
      </c>
    </row>
    <row r="899" spans="1:12" x14ac:dyDescent="0.25">
      <c r="A899">
        <v>898</v>
      </c>
      <c r="B899" t="s">
        <v>919</v>
      </c>
      <c r="C899" t="s">
        <v>46</v>
      </c>
      <c r="D899" t="s">
        <v>32</v>
      </c>
      <c r="E899" s="4">
        <v>39503781</v>
      </c>
      <c r="F899">
        <v>51.12</v>
      </c>
      <c r="G899">
        <v>3.6</v>
      </c>
      <c r="H899">
        <v>216.03</v>
      </c>
      <c r="I899">
        <v>7.04</v>
      </c>
      <c r="J899" s="5">
        <v>46060</v>
      </c>
      <c r="K899">
        <f t="shared" ref="K899:K962" si="14">ROUND((100-F899)*0.5 + I899*0.5,2)</f>
        <v>27.96</v>
      </c>
      <c r="L899" t="str" cm="1">
        <f t="array" ref="L899">_xlfn.IFS(E899&gt;=52000000,"Platinum",E899&gt;=37000000,"Gold",E899&gt;=30000000,"Sliver",E899&lt;30000000,"Bronze")</f>
        <v>Gold</v>
      </c>
    </row>
    <row r="900" spans="1:12" x14ac:dyDescent="0.25">
      <c r="A900">
        <v>899</v>
      </c>
      <c r="B900" t="s">
        <v>920</v>
      </c>
      <c r="C900" t="s">
        <v>27</v>
      </c>
      <c r="D900" t="s">
        <v>11</v>
      </c>
      <c r="E900" s="4">
        <v>32632759</v>
      </c>
      <c r="F900">
        <v>23.03</v>
      </c>
      <c r="G900">
        <v>31.02</v>
      </c>
      <c r="H900">
        <v>1861.47</v>
      </c>
      <c r="I900">
        <v>134.71</v>
      </c>
      <c r="J900" s="5">
        <v>46060</v>
      </c>
      <c r="K900">
        <f t="shared" si="14"/>
        <v>105.84</v>
      </c>
      <c r="L900" t="str" cm="1">
        <f t="array" ref="L900">_xlfn.IFS(E900&gt;=52000000,"Platinum",E900&gt;=37000000,"Gold",E900&gt;=30000000,"Sliver",E900&lt;30000000,"Bronze")</f>
        <v>Sliver</v>
      </c>
    </row>
    <row r="901" spans="1:12" x14ac:dyDescent="0.25">
      <c r="A901">
        <v>900</v>
      </c>
      <c r="B901" t="s">
        <v>921</v>
      </c>
      <c r="C901" t="s">
        <v>29</v>
      </c>
      <c r="D901" t="s">
        <v>13</v>
      </c>
      <c r="E901" s="4">
        <v>27297357</v>
      </c>
      <c r="F901">
        <v>39.049999999999997</v>
      </c>
      <c r="G901">
        <v>2.25</v>
      </c>
      <c r="H901">
        <v>134.72</v>
      </c>
      <c r="I901">
        <v>5.75</v>
      </c>
      <c r="J901" s="5">
        <v>46060</v>
      </c>
      <c r="K901">
        <f t="shared" si="14"/>
        <v>33.35</v>
      </c>
      <c r="L901" t="str" cm="1">
        <f t="array" ref="L901">_xlfn.IFS(E901&gt;=52000000,"Platinum",E901&gt;=37000000,"Gold",E901&gt;=30000000,"Sliver",E901&lt;30000000,"Bronze")</f>
        <v>Bronze</v>
      </c>
    </row>
    <row r="902" spans="1:12" x14ac:dyDescent="0.25">
      <c r="A902">
        <v>901</v>
      </c>
      <c r="B902" t="s">
        <v>922</v>
      </c>
      <c r="C902" t="s">
        <v>10</v>
      </c>
      <c r="D902" t="s">
        <v>22</v>
      </c>
      <c r="E902" s="4">
        <v>30655499</v>
      </c>
      <c r="F902">
        <v>54.96</v>
      </c>
      <c r="G902">
        <v>4.13</v>
      </c>
      <c r="H902">
        <v>247.63</v>
      </c>
      <c r="I902">
        <v>7.51</v>
      </c>
      <c r="J902" s="5">
        <v>46060</v>
      </c>
      <c r="K902">
        <f t="shared" si="14"/>
        <v>26.28</v>
      </c>
      <c r="L902" t="str" cm="1">
        <f t="array" ref="L902">_xlfn.IFS(E902&gt;=52000000,"Platinum",E902&gt;=37000000,"Gold",E902&gt;=30000000,"Sliver",E902&lt;30000000,"Bronze")</f>
        <v>Sliver</v>
      </c>
    </row>
    <row r="903" spans="1:12" x14ac:dyDescent="0.25">
      <c r="A903">
        <v>902</v>
      </c>
      <c r="B903" t="s">
        <v>923</v>
      </c>
      <c r="C903" t="s">
        <v>21</v>
      </c>
      <c r="D903" t="s">
        <v>17</v>
      </c>
      <c r="E903" s="4">
        <v>27671631</v>
      </c>
      <c r="F903">
        <v>40.270000000000003</v>
      </c>
      <c r="G903">
        <v>2.95</v>
      </c>
      <c r="H903">
        <v>177.28</v>
      </c>
      <c r="I903">
        <v>7.34</v>
      </c>
      <c r="J903" s="5">
        <v>46060</v>
      </c>
      <c r="K903">
        <f t="shared" si="14"/>
        <v>33.54</v>
      </c>
      <c r="L903" t="str" cm="1">
        <f t="array" ref="L903">_xlfn.IFS(E903&gt;=52000000,"Platinum",E903&gt;=37000000,"Gold",E903&gt;=30000000,"Sliver",E903&lt;30000000,"Bronze")</f>
        <v>Bronze</v>
      </c>
    </row>
    <row r="904" spans="1:12" x14ac:dyDescent="0.25">
      <c r="A904">
        <v>903</v>
      </c>
      <c r="B904" t="s">
        <v>924</v>
      </c>
      <c r="C904" t="s">
        <v>10</v>
      </c>
      <c r="D904" t="s">
        <v>32</v>
      </c>
      <c r="E904" s="4">
        <v>37285376</v>
      </c>
      <c r="F904">
        <v>55.78</v>
      </c>
      <c r="G904">
        <v>8.51</v>
      </c>
      <c r="H904">
        <v>510.49</v>
      </c>
      <c r="I904">
        <v>15.25</v>
      </c>
      <c r="J904" s="5">
        <v>46060</v>
      </c>
      <c r="K904">
        <f t="shared" si="14"/>
        <v>29.74</v>
      </c>
      <c r="L904" t="str" cm="1">
        <f t="array" ref="L904">_xlfn.IFS(E904&gt;=52000000,"Platinum",E904&gt;=37000000,"Gold",E904&gt;=30000000,"Sliver",E904&lt;30000000,"Bronze")</f>
        <v>Gold</v>
      </c>
    </row>
    <row r="905" spans="1:12" x14ac:dyDescent="0.25">
      <c r="A905">
        <v>904</v>
      </c>
      <c r="B905" t="s">
        <v>925</v>
      </c>
      <c r="C905" t="s">
        <v>27</v>
      </c>
      <c r="D905" t="s">
        <v>25</v>
      </c>
      <c r="E905" s="4">
        <v>31225521</v>
      </c>
      <c r="F905">
        <v>29.46</v>
      </c>
      <c r="G905">
        <v>20</v>
      </c>
      <c r="H905">
        <v>1199.74</v>
      </c>
      <c r="I905">
        <v>67.87</v>
      </c>
      <c r="J905" s="5">
        <v>46060</v>
      </c>
      <c r="K905">
        <f t="shared" si="14"/>
        <v>69.209999999999994</v>
      </c>
      <c r="L905" t="str" cm="1">
        <f t="array" ref="L905">_xlfn.IFS(E905&gt;=52000000,"Platinum",E905&gt;=37000000,"Gold",E905&gt;=30000000,"Sliver",E905&lt;30000000,"Bronze")</f>
        <v>Sliver</v>
      </c>
    </row>
    <row r="906" spans="1:12" x14ac:dyDescent="0.25">
      <c r="A906">
        <v>905</v>
      </c>
      <c r="B906" t="s">
        <v>926</v>
      </c>
      <c r="C906" t="s">
        <v>19</v>
      </c>
      <c r="D906" t="s">
        <v>11</v>
      </c>
      <c r="E906" s="4">
        <v>29046091</v>
      </c>
      <c r="F906" s="1">
        <f>CALCULATION!$C$11</f>
        <v>42.81</v>
      </c>
      <c r="G906" s="1">
        <v>5.31</v>
      </c>
      <c r="H906">
        <v>318.85000000000002</v>
      </c>
      <c r="I906">
        <v>10.09</v>
      </c>
      <c r="J906" s="5">
        <v>46060</v>
      </c>
      <c r="K906">
        <f t="shared" si="14"/>
        <v>33.64</v>
      </c>
      <c r="L906" t="str" cm="1">
        <f t="array" ref="L906">_xlfn.IFS(E906&gt;=52000000,"Platinum",E906&gt;=37000000,"Gold",E906&gt;=30000000,"Sliver",E906&lt;30000000,"Bronze")</f>
        <v>Bronze</v>
      </c>
    </row>
    <row r="907" spans="1:12" x14ac:dyDescent="0.25">
      <c r="A907">
        <v>906</v>
      </c>
      <c r="B907" t="s">
        <v>927</v>
      </c>
      <c r="C907" t="s">
        <v>10</v>
      </c>
      <c r="D907" t="s">
        <v>13</v>
      </c>
      <c r="E907" s="4">
        <v>30805757</v>
      </c>
      <c r="F907">
        <v>56.86</v>
      </c>
      <c r="G907">
        <v>8.35</v>
      </c>
      <c r="H907">
        <v>500.74</v>
      </c>
      <c r="I907">
        <v>14.68</v>
      </c>
      <c r="J907" s="5">
        <v>46060</v>
      </c>
      <c r="K907">
        <f t="shared" si="14"/>
        <v>28.91</v>
      </c>
      <c r="L907" t="str" cm="1">
        <f t="array" ref="L907">_xlfn.IFS(E907&gt;=52000000,"Platinum",E907&gt;=37000000,"Gold",E907&gt;=30000000,"Sliver",E907&lt;30000000,"Bronze")</f>
        <v>Sliver</v>
      </c>
    </row>
    <row r="908" spans="1:12" x14ac:dyDescent="0.25">
      <c r="A908">
        <v>907</v>
      </c>
      <c r="B908" t="s">
        <v>928</v>
      </c>
      <c r="C908" t="s">
        <v>29</v>
      </c>
      <c r="D908" t="s">
        <v>17</v>
      </c>
      <c r="E908" s="4">
        <v>34786447</v>
      </c>
      <c r="F908">
        <v>55.31</v>
      </c>
      <c r="G908">
        <v>3.49</v>
      </c>
      <c r="H908">
        <v>209.29</v>
      </c>
      <c r="I908">
        <v>6.31</v>
      </c>
      <c r="J908" s="5">
        <v>46060</v>
      </c>
      <c r="K908">
        <f t="shared" si="14"/>
        <v>25.5</v>
      </c>
      <c r="L908" t="str" cm="1">
        <f t="array" ref="L908">_xlfn.IFS(E908&gt;=52000000,"Platinum",E908&gt;=37000000,"Gold",E908&gt;=30000000,"Sliver",E908&lt;30000000,"Bronze")</f>
        <v>Sliver</v>
      </c>
    </row>
    <row r="909" spans="1:12" x14ac:dyDescent="0.25">
      <c r="A909">
        <v>908</v>
      </c>
      <c r="B909" t="s">
        <v>929</v>
      </c>
      <c r="C909" t="s">
        <v>27</v>
      </c>
      <c r="D909" t="s">
        <v>17</v>
      </c>
      <c r="E909" s="4">
        <v>29488008</v>
      </c>
      <c r="F909">
        <v>28.05</v>
      </c>
      <c r="G909">
        <v>16.18</v>
      </c>
      <c r="H909">
        <v>971.08</v>
      </c>
      <c r="I909">
        <v>57.7</v>
      </c>
      <c r="J909" s="5">
        <v>46060</v>
      </c>
      <c r="K909">
        <f t="shared" si="14"/>
        <v>64.83</v>
      </c>
      <c r="L909" t="str" cm="1">
        <f t="array" ref="L909">_xlfn.IFS(E909&gt;=52000000,"Platinum",E909&gt;=37000000,"Gold",E909&gt;=30000000,"Sliver",E909&lt;30000000,"Bronze")</f>
        <v>Bronze</v>
      </c>
    </row>
    <row r="910" spans="1:12" x14ac:dyDescent="0.25">
      <c r="A910">
        <v>909</v>
      </c>
      <c r="B910" t="s">
        <v>930</v>
      </c>
      <c r="C910" t="s">
        <v>46</v>
      </c>
      <c r="D910" t="s">
        <v>13</v>
      </c>
      <c r="E910" s="4">
        <v>27876771</v>
      </c>
      <c r="F910">
        <v>49.25</v>
      </c>
      <c r="G910">
        <v>8.25</v>
      </c>
      <c r="H910">
        <v>495.15</v>
      </c>
      <c r="I910">
        <v>16.760000000000002</v>
      </c>
      <c r="J910" s="5">
        <v>46060</v>
      </c>
      <c r="K910">
        <f t="shared" si="14"/>
        <v>33.76</v>
      </c>
      <c r="L910" t="str" cm="1">
        <f t="array" ref="L910">_xlfn.IFS(E910&gt;=52000000,"Platinum",E910&gt;=37000000,"Gold",E910&gt;=30000000,"Sliver",E910&lt;30000000,"Bronze")</f>
        <v>Bronze</v>
      </c>
    </row>
    <row r="911" spans="1:12" x14ac:dyDescent="0.25">
      <c r="A911">
        <v>910</v>
      </c>
      <c r="B911" t="s">
        <v>931</v>
      </c>
      <c r="C911" t="s">
        <v>19</v>
      </c>
      <c r="D911" t="s">
        <v>32</v>
      </c>
      <c r="E911" s="4">
        <v>29364235</v>
      </c>
      <c r="F911">
        <v>37.36</v>
      </c>
      <c r="G911">
        <v>8.4600000000000009</v>
      </c>
      <c r="H911">
        <v>507.39</v>
      </c>
      <c r="I911">
        <v>22.64</v>
      </c>
      <c r="J911" s="5">
        <v>46060</v>
      </c>
      <c r="K911">
        <f t="shared" si="14"/>
        <v>42.64</v>
      </c>
      <c r="L911" t="str" cm="1">
        <f t="array" ref="L911">_xlfn.IFS(E911&gt;=52000000,"Platinum",E911&gt;=37000000,"Gold",E911&gt;=30000000,"Sliver",E911&lt;30000000,"Bronze")</f>
        <v>Bronze</v>
      </c>
    </row>
    <row r="912" spans="1:12" x14ac:dyDescent="0.25">
      <c r="A912">
        <v>911</v>
      </c>
      <c r="B912" t="s">
        <v>932</v>
      </c>
      <c r="C912" t="s">
        <v>46</v>
      </c>
      <c r="D912" t="s">
        <v>25</v>
      </c>
      <c r="E912" s="4">
        <v>28954432</v>
      </c>
      <c r="F912">
        <v>55.48</v>
      </c>
      <c r="G912">
        <v>9.4600000000000009</v>
      </c>
      <c r="H912">
        <v>567.84</v>
      </c>
      <c r="I912">
        <v>17.059999999999999</v>
      </c>
      <c r="J912" s="5">
        <v>46060</v>
      </c>
      <c r="K912">
        <f t="shared" si="14"/>
        <v>30.79</v>
      </c>
      <c r="L912" t="str" cm="1">
        <f t="array" ref="L912">_xlfn.IFS(E912&gt;=52000000,"Platinum",E912&gt;=37000000,"Gold",E912&gt;=30000000,"Sliver",E912&lt;30000000,"Bronze")</f>
        <v>Bronze</v>
      </c>
    </row>
    <row r="913" spans="1:12" x14ac:dyDescent="0.25">
      <c r="A913">
        <v>912</v>
      </c>
      <c r="B913" t="s">
        <v>933</v>
      </c>
      <c r="C913" t="s">
        <v>16</v>
      </c>
      <c r="D913" t="s">
        <v>22</v>
      </c>
      <c r="E913" s="4">
        <v>35340439</v>
      </c>
      <c r="F913">
        <v>46.27</v>
      </c>
      <c r="G913">
        <v>5.49</v>
      </c>
      <c r="H913">
        <v>329.5</v>
      </c>
      <c r="I913">
        <v>11.87</v>
      </c>
      <c r="J913" s="5">
        <v>46060</v>
      </c>
      <c r="K913">
        <f t="shared" si="14"/>
        <v>32.799999999999997</v>
      </c>
      <c r="L913" t="str" cm="1">
        <f t="array" ref="L913">_xlfn.IFS(E913&gt;=52000000,"Platinum",E913&gt;=37000000,"Gold",E913&gt;=30000000,"Sliver",E913&lt;30000000,"Bronze")</f>
        <v>Sliver</v>
      </c>
    </row>
    <row r="914" spans="1:12" x14ac:dyDescent="0.25">
      <c r="A914">
        <v>913</v>
      </c>
      <c r="B914" t="s">
        <v>934</v>
      </c>
      <c r="C914" t="s">
        <v>10</v>
      </c>
      <c r="D914" t="s">
        <v>32</v>
      </c>
      <c r="E914" s="4">
        <v>39645756</v>
      </c>
      <c r="F914">
        <v>58.67</v>
      </c>
      <c r="G914">
        <v>9.4700000000000006</v>
      </c>
      <c r="H914">
        <v>568.16999999999996</v>
      </c>
      <c r="I914">
        <v>16.14</v>
      </c>
      <c r="J914" s="5">
        <v>46060</v>
      </c>
      <c r="K914">
        <f t="shared" si="14"/>
        <v>28.74</v>
      </c>
      <c r="L914" t="str" cm="1">
        <f t="array" ref="L914">_xlfn.IFS(E914&gt;=52000000,"Platinum",E914&gt;=37000000,"Gold",E914&gt;=30000000,"Sliver",E914&lt;30000000,"Bronze")</f>
        <v>Gold</v>
      </c>
    </row>
    <row r="915" spans="1:12" x14ac:dyDescent="0.25">
      <c r="A915">
        <v>914</v>
      </c>
      <c r="B915" t="s">
        <v>935</v>
      </c>
      <c r="C915" t="s">
        <v>46</v>
      </c>
      <c r="D915" t="s">
        <v>32</v>
      </c>
      <c r="E915" s="4">
        <v>31717556</v>
      </c>
      <c r="F915">
        <v>38.14</v>
      </c>
      <c r="G915">
        <v>3.06</v>
      </c>
      <c r="H915">
        <v>183.6</v>
      </c>
      <c r="I915">
        <v>8.02</v>
      </c>
      <c r="J915" s="5">
        <v>46060</v>
      </c>
      <c r="K915">
        <f t="shared" si="14"/>
        <v>34.94</v>
      </c>
      <c r="L915" t="str" cm="1">
        <f t="array" ref="L915">_xlfn.IFS(E915&gt;=52000000,"Platinum",E915&gt;=37000000,"Gold",E915&gt;=30000000,"Sliver",E915&lt;30000000,"Bronze")</f>
        <v>Sliver</v>
      </c>
    </row>
    <row r="916" spans="1:12" x14ac:dyDescent="0.25">
      <c r="A916">
        <v>915</v>
      </c>
      <c r="B916" t="s">
        <v>936</v>
      </c>
      <c r="C916" t="s">
        <v>10</v>
      </c>
      <c r="D916" t="s">
        <v>13</v>
      </c>
      <c r="E916" s="4">
        <v>39317291</v>
      </c>
      <c r="F916">
        <v>33.99</v>
      </c>
      <c r="G916">
        <v>7.84</v>
      </c>
      <c r="H916">
        <v>470.16</v>
      </c>
      <c r="I916">
        <v>23.05</v>
      </c>
      <c r="J916" s="5">
        <v>46060</v>
      </c>
      <c r="K916">
        <f t="shared" si="14"/>
        <v>44.53</v>
      </c>
      <c r="L916" t="str" cm="1">
        <f t="array" ref="L916">_xlfn.IFS(E916&gt;=52000000,"Platinum",E916&gt;=37000000,"Gold",E916&gt;=30000000,"Sliver",E916&lt;30000000,"Bronze")</f>
        <v>Gold</v>
      </c>
    </row>
    <row r="917" spans="1:12" x14ac:dyDescent="0.25">
      <c r="A917">
        <v>916</v>
      </c>
      <c r="B917" t="s">
        <v>937</v>
      </c>
      <c r="C917" t="s">
        <v>16</v>
      </c>
      <c r="D917" t="s">
        <v>25</v>
      </c>
      <c r="E917" s="4">
        <v>32768286</v>
      </c>
      <c r="F917">
        <v>54.84</v>
      </c>
      <c r="G917">
        <v>2.57</v>
      </c>
      <c r="H917">
        <v>154.18</v>
      </c>
      <c r="I917">
        <v>4.6900000000000004</v>
      </c>
      <c r="J917" s="5">
        <v>46060</v>
      </c>
      <c r="K917">
        <f t="shared" si="14"/>
        <v>24.93</v>
      </c>
      <c r="L917" t="str" cm="1">
        <f t="array" ref="L917">_xlfn.IFS(E917&gt;=52000000,"Platinum",E917&gt;=37000000,"Gold",E917&gt;=30000000,"Sliver",E917&lt;30000000,"Bronze")</f>
        <v>Sliver</v>
      </c>
    </row>
    <row r="918" spans="1:12" x14ac:dyDescent="0.25">
      <c r="A918">
        <v>917</v>
      </c>
      <c r="B918" t="s">
        <v>938</v>
      </c>
      <c r="C918" t="s">
        <v>16</v>
      </c>
      <c r="D918" t="s">
        <v>25</v>
      </c>
      <c r="E918" s="4">
        <v>36742117</v>
      </c>
      <c r="F918">
        <v>40.700000000000003</v>
      </c>
      <c r="G918">
        <v>3.47</v>
      </c>
      <c r="H918">
        <v>207.94</v>
      </c>
      <c r="I918">
        <v>8.52</v>
      </c>
      <c r="J918" s="5">
        <v>46060</v>
      </c>
      <c r="K918">
        <f t="shared" si="14"/>
        <v>33.909999999999997</v>
      </c>
      <c r="L918" t="str" cm="1">
        <f t="array" ref="L918">_xlfn.IFS(E918&gt;=52000000,"Platinum",E918&gt;=37000000,"Gold",E918&gt;=30000000,"Sliver",E918&lt;30000000,"Bronze")</f>
        <v>Sliver</v>
      </c>
    </row>
    <row r="919" spans="1:12" x14ac:dyDescent="0.25">
      <c r="A919">
        <v>918</v>
      </c>
      <c r="B919" t="s">
        <v>939</v>
      </c>
      <c r="C919" t="s">
        <v>10</v>
      </c>
      <c r="D919" t="s">
        <v>32</v>
      </c>
      <c r="E919" s="4">
        <v>38192208</v>
      </c>
      <c r="F919">
        <v>55.25</v>
      </c>
      <c r="G919">
        <v>5.69</v>
      </c>
      <c r="H919">
        <v>341.24</v>
      </c>
      <c r="I919">
        <v>10.29</v>
      </c>
      <c r="J919" s="5">
        <v>46060</v>
      </c>
      <c r="K919">
        <f t="shared" si="14"/>
        <v>27.52</v>
      </c>
      <c r="L919" t="str" cm="1">
        <f t="array" ref="L919">_xlfn.IFS(E919&gt;=52000000,"Platinum",E919&gt;=37000000,"Gold",E919&gt;=30000000,"Sliver",E919&lt;30000000,"Bronze")</f>
        <v>Gold</v>
      </c>
    </row>
    <row r="920" spans="1:12" x14ac:dyDescent="0.25">
      <c r="A920">
        <v>919</v>
      </c>
      <c r="B920" t="s">
        <v>940</v>
      </c>
      <c r="C920" t="s">
        <v>21</v>
      </c>
      <c r="D920" t="s">
        <v>13</v>
      </c>
      <c r="E920" s="4">
        <v>31452853</v>
      </c>
      <c r="F920">
        <v>49.79</v>
      </c>
      <c r="G920">
        <v>2.56</v>
      </c>
      <c r="H920">
        <v>153.74</v>
      </c>
      <c r="I920">
        <v>5.15</v>
      </c>
      <c r="J920" s="5">
        <v>46060</v>
      </c>
      <c r="K920">
        <f t="shared" si="14"/>
        <v>27.68</v>
      </c>
      <c r="L920" t="str" cm="1">
        <f t="array" ref="L920">_xlfn.IFS(E920&gt;=52000000,"Platinum",E920&gt;=37000000,"Gold",E920&gt;=30000000,"Sliver",E920&lt;30000000,"Bronze")</f>
        <v>Sliver</v>
      </c>
    </row>
    <row r="921" spans="1:12" x14ac:dyDescent="0.25">
      <c r="A921">
        <v>920</v>
      </c>
      <c r="B921" t="s">
        <v>941</v>
      </c>
      <c r="C921" t="s">
        <v>29</v>
      </c>
      <c r="D921" t="s">
        <v>17</v>
      </c>
      <c r="E921" s="4">
        <v>39088294</v>
      </c>
      <c r="F921">
        <v>55.05</v>
      </c>
      <c r="G921">
        <v>3.61</v>
      </c>
      <c r="H921">
        <v>216.33</v>
      </c>
      <c r="I921">
        <v>6.55</v>
      </c>
      <c r="J921" s="5">
        <v>46060</v>
      </c>
      <c r="K921">
        <f t="shared" si="14"/>
        <v>25.75</v>
      </c>
      <c r="L921" t="str" cm="1">
        <f t="array" ref="L921">_xlfn.IFS(E921&gt;=52000000,"Platinum",E921&gt;=37000000,"Gold",E921&gt;=30000000,"Sliver",E921&lt;30000000,"Bronze")</f>
        <v>Gold</v>
      </c>
    </row>
    <row r="922" spans="1:12" x14ac:dyDescent="0.25">
      <c r="A922">
        <v>921</v>
      </c>
      <c r="B922" t="s">
        <v>942</v>
      </c>
      <c r="C922" t="s">
        <v>21</v>
      </c>
      <c r="D922" t="s">
        <v>11</v>
      </c>
      <c r="E922" s="4">
        <v>29071297</v>
      </c>
      <c r="F922">
        <v>38.619999999999997</v>
      </c>
      <c r="G922">
        <v>1.43</v>
      </c>
      <c r="H922">
        <v>85.92</v>
      </c>
      <c r="I922">
        <v>3.71</v>
      </c>
      <c r="J922" s="5">
        <v>46060</v>
      </c>
      <c r="K922">
        <f t="shared" si="14"/>
        <v>32.549999999999997</v>
      </c>
      <c r="L922" t="str" cm="1">
        <f t="array" ref="L922">_xlfn.IFS(E922&gt;=52000000,"Platinum",E922&gt;=37000000,"Gold",E922&gt;=30000000,"Sliver",E922&lt;30000000,"Bronze")</f>
        <v>Bronze</v>
      </c>
    </row>
    <row r="923" spans="1:12" x14ac:dyDescent="0.25">
      <c r="A923">
        <v>922</v>
      </c>
      <c r="B923" t="s">
        <v>943</v>
      </c>
      <c r="C923" t="s">
        <v>29</v>
      </c>
      <c r="D923" t="s">
        <v>17</v>
      </c>
      <c r="E923" s="4">
        <v>36174804</v>
      </c>
      <c r="F923">
        <v>47.92</v>
      </c>
      <c r="G923">
        <v>7.97</v>
      </c>
      <c r="H923">
        <v>478.01</v>
      </c>
      <c r="I923">
        <v>16.63</v>
      </c>
      <c r="J923" s="5">
        <v>46060</v>
      </c>
      <c r="K923">
        <f t="shared" si="14"/>
        <v>34.36</v>
      </c>
      <c r="L923" t="str" cm="1">
        <f t="array" ref="L923">_xlfn.IFS(E923&gt;=52000000,"Platinum",E923&gt;=37000000,"Gold",E923&gt;=30000000,"Sliver",E923&lt;30000000,"Bronze")</f>
        <v>Sliver</v>
      </c>
    </row>
    <row r="924" spans="1:12" x14ac:dyDescent="0.25">
      <c r="A924">
        <v>923</v>
      </c>
      <c r="B924" t="s">
        <v>944</v>
      </c>
      <c r="C924" t="s">
        <v>16</v>
      </c>
      <c r="D924" t="s">
        <v>11</v>
      </c>
      <c r="E924" s="4">
        <v>26376434</v>
      </c>
      <c r="F924">
        <v>36.72</v>
      </c>
      <c r="G924">
        <v>5.38</v>
      </c>
      <c r="H924">
        <v>322.54000000000002</v>
      </c>
      <c r="I924">
        <v>14.64</v>
      </c>
      <c r="J924" s="5">
        <v>46060</v>
      </c>
      <c r="K924">
        <f t="shared" si="14"/>
        <v>38.96</v>
      </c>
      <c r="L924" t="str" cm="1">
        <f t="array" ref="L924">_xlfn.IFS(E924&gt;=52000000,"Platinum",E924&gt;=37000000,"Gold",E924&gt;=30000000,"Sliver",E924&lt;30000000,"Bronze")</f>
        <v>Bronze</v>
      </c>
    </row>
    <row r="925" spans="1:12" x14ac:dyDescent="0.25">
      <c r="A925">
        <v>924</v>
      </c>
      <c r="B925" t="s">
        <v>945</v>
      </c>
      <c r="C925" t="s">
        <v>19</v>
      </c>
      <c r="D925" t="s">
        <v>22</v>
      </c>
      <c r="E925" s="4">
        <v>39315228</v>
      </c>
      <c r="F925">
        <v>49.6</v>
      </c>
      <c r="G925">
        <v>2.1800000000000002</v>
      </c>
      <c r="H925">
        <v>130.62</v>
      </c>
      <c r="I925">
        <v>4.3899999999999997</v>
      </c>
      <c r="J925" s="5">
        <v>46060</v>
      </c>
      <c r="K925">
        <f t="shared" si="14"/>
        <v>27.4</v>
      </c>
      <c r="L925" t="str" cm="1">
        <f t="array" ref="L925">_xlfn.IFS(E925&gt;=52000000,"Platinum",E925&gt;=37000000,"Gold",E925&gt;=30000000,"Sliver",E925&lt;30000000,"Bronze")</f>
        <v>Gold</v>
      </c>
    </row>
    <row r="926" spans="1:12" x14ac:dyDescent="0.25">
      <c r="A926">
        <v>925</v>
      </c>
      <c r="B926" t="s">
        <v>946</v>
      </c>
      <c r="C926" t="s">
        <v>19</v>
      </c>
      <c r="D926" t="s">
        <v>25</v>
      </c>
      <c r="E926" s="4">
        <v>35030281</v>
      </c>
      <c r="F926">
        <v>58.08</v>
      </c>
      <c r="G926">
        <v>7.99</v>
      </c>
      <c r="H926">
        <v>479.57</v>
      </c>
      <c r="I926">
        <v>13.76</v>
      </c>
      <c r="J926" s="5">
        <v>46060</v>
      </c>
      <c r="K926">
        <f t="shared" si="14"/>
        <v>27.84</v>
      </c>
      <c r="L926" t="str" cm="1">
        <f t="array" ref="L926">_xlfn.IFS(E926&gt;=52000000,"Platinum",E926&gt;=37000000,"Gold",E926&gt;=30000000,"Sliver",E926&lt;30000000,"Bronze")</f>
        <v>Sliver</v>
      </c>
    </row>
    <row r="927" spans="1:12" x14ac:dyDescent="0.25">
      <c r="A927">
        <v>926</v>
      </c>
      <c r="B927" t="s">
        <v>947</v>
      </c>
      <c r="C927" t="s">
        <v>16</v>
      </c>
      <c r="D927" t="s">
        <v>22</v>
      </c>
      <c r="E927" s="4">
        <v>29947101</v>
      </c>
      <c r="F927">
        <v>33.799999999999997</v>
      </c>
      <c r="G927">
        <v>8</v>
      </c>
      <c r="H927">
        <v>480.23</v>
      </c>
      <c r="I927">
        <v>23.68</v>
      </c>
      <c r="J927" s="5">
        <v>46060</v>
      </c>
      <c r="K927">
        <f t="shared" si="14"/>
        <v>44.94</v>
      </c>
      <c r="L927" t="str" cm="1">
        <f t="array" ref="L927">_xlfn.IFS(E927&gt;=52000000,"Platinum",E927&gt;=37000000,"Gold",E927&gt;=30000000,"Sliver",E927&lt;30000000,"Bronze")</f>
        <v>Bronze</v>
      </c>
    </row>
    <row r="928" spans="1:12" x14ac:dyDescent="0.25">
      <c r="A928">
        <v>927</v>
      </c>
      <c r="B928" t="s">
        <v>948</v>
      </c>
      <c r="C928" t="s">
        <v>21</v>
      </c>
      <c r="D928" t="s">
        <v>13</v>
      </c>
      <c r="E928" s="4">
        <v>27370917</v>
      </c>
      <c r="F928">
        <v>47.28</v>
      </c>
      <c r="G928">
        <v>1.39</v>
      </c>
      <c r="H928">
        <v>83.47</v>
      </c>
      <c r="I928">
        <v>2.94</v>
      </c>
      <c r="J928" s="5">
        <v>46060</v>
      </c>
      <c r="K928">
        <f t="shared" si="14"/>
        <v>27.83</v>
      </c>
      <c r="L928" t="str" cm="1">
        <f t="array" ref="L928">_xlfn.IFS(E928&gt;=52000000,"Platinum",E928&gt;=37000000,"Gold",E928&gt;=30000000,"Sliver",E928&lt;30000000,"Bronze")</f>
        <v>Bronze</v>
      </c>
    </row>
    <row r="929" spans="1:12" x14ac:dyDescent="0.25">
      <c r="A929">
        <v>928</v>
      </c>
      <c r="B929" t="s">
        <v>949</v>
      </c>
      <c r="C929" t="s">
        <v>16</v>
      </c>
      <c r="D929" t="s">
        <v>25</v>
      </c>
      <c r="E929" s="4">
        <v>38898011</v>
      </c>
      <c r="F929">
        <v>38.44</v>
      </c>
      <c r="G929">
        <v>7.12</v>
      </c>
      <c r="H929">
        <v>427.06</v>
      </c>
      <c r="I929">
        <v>18.52</v>
      </c>
      <c r="J929" s="5">
        <v>46060</v>
      </c>
      <c r="K929">
        <f t="shared" si="14"/>
        <v>40.04</v>
      </c>
      <c r="L929" t="str" cm="1">
        <f t="array" ref="L929">_xlfn.IFS(E929&gt;=52000000,"Platinum",E929&gt;=37000000,"Gold",E929&gt;=30000000,"Sliver",E929&lt;30000000,"Bronze")</f>
        <v>Gold</v>
      </c>
    </row>
    <row r="930" spans="1:12" x14ac:dyDescent="0.25">
      <c r="A930">
        <v>929</v>
      </c>
      <c r="B930" t="s">
        <v>950</v>
      </c>
      <c r="C930" t="s">
        <v>29</v>
      </c>
      <c r="D930" t="s">
        <v>32</v>
      </c>
      <c r="E930" s="4">
        <v>29595632</v>
      </c>
      <c r="F930">
        <v>57.88</v>
      </c>
      <c r="G930">
        <v>9.6199999999999992</v>
      </c>
      <c r="H930">
        <v>577.27</v>
      </c>
      <c r="I930">
        <v>16.62</v>
      </c>
      <c r="J930" s="5">
        <v>46060</v>
      </c>
      <c r="K930">
        <f t="shared" si="14"/>
        <v>29.37</v>
      </c>
      <c r="L930" t="str" cm="1">
        <f t="array" ref="L930">_xlfn.IFS(E930&gt;=52000000,"Platinum",E930&gt;=37000000,"Gold",E930&gt;=30000000,"Sliver",E930&lt;30000000,"Bronze")</f>
        <v>Bronze</v>
      </c>
    </row>
    <row r="931" spans="1:12" x14ac:dyDescent="0.25">
      <c r="A931">
        <v>930</v>
      </c>
      <c r="B931" t="s">
        <v>951</v>
      </c>
      <c r="C931" t="s">
        <v>29</v>
      </c>
      <c r="D931" t="s">
        <v>13</v>
      </c>
      <c r="E931" s="4">
        <v>32923864</v>
      </c>
      <c r="F931">
        <v>53.92</v>
      </c>
      <c r="G931">
        <v>7.49</v>
      </c>
      <c r="H931">
        <v>449.29</v>
      </c>
      <c r="I931">
        <v>13.89</v>
      </c>
      <c r="J931" s="5">
        <v>46060</v>
      </c>
      <c r="K931">
        <f t="shared" si="14"/>
        <v>29.99</v>
      </c>
      <c r="L931" t="str" cm="1">
        <f t="array" ref="L931">_xlfn.IFS(E931&gt;=52000000,"Platinum",E931&gt;=37000000,"Gold",E931&gt;=30000000,"Sliver",E931&lt;30000000,"Bronze")</f>
        <v>Sliver</v>
      </c>
    </row>
    <row r="932" spans="1:12" x14ac:dyDescent="0.25">
      <c r="A932">
        <v>931</v>
      </c>
      <c r="B932" t="s">
        <v>952</v>
      </c>
      <c r="C932" t="s">
        <v>27</v>
      </c>
      <c r="D932" t="s">
        <v>13</v>
      </c>
      <c r="E932" s="4">
        <v>26568990</v>
      </c>
      <c r="F932">
        <v>22.57</v>
      </c>
      <c r="G932">
        <v>12.77</v>
      </c>
      <c r="H932">
        <v>765.91</v>
      </c>
      <c r="I932">
        <v>56.56</v>
      </c>
      <c r="J932" s="5">
        <v>46060</v>
      </c>
      <c r="K932">
        <f t="shared" si="14"/>
        <v>67</v>
      </c>
      <c r="L932" t="str" cm="1">
        <f t="array" ref="L932">_xlfn.IFS(E932&gt;=52000000,"Platinum",E932&gt;=37000000,"Gold",E932&gt;=30000000,"Sliver",E932&lt;30000000,"Bronze")</f>
        <v>Bronze</v>
      </c>
    </row>
    <row r="933" spans="1:12" x14ac:dyDescent="0.25">
      <c r="A933">
        <v>932</v>
      </c>
      <c r="B933" t="s">
        <v>953</v>
      </c>
      <c r="C933" t="s">
        <v>16</v>
      </c>
      <c r="D933" t="s">
        <v>32</v>
      </c>
      <c r="E933" s="4">
        <v>26880963</v>
      </c>
      <c r="F933">
        <v>43.41</v>
      </c>
      <c r="G933">
        <v>6.08</v>
      </c>
      <c r="H933">
        <v>364.7</v>
      </c>
      <c r="I933">
        <v>14</v>
      </c>
      <c r="J933" s="5">
        <v>46060</v>
      </c>
      <c r="K933">
        <f t="shared" si="14"/>
        <v>35.299999999999997</v>
      </c>
      <c r="L933" t="str" cm="1">
        <f t="array" ref="L933">_xlfn.IFS(E933&gt;=52000000,"Platinum",E933&gt;=37000000,"Gold",E933&gt;=30000000,"Sliver",E933&lt;30000000,"Bronze")</f>
        <v>Bronze</v>
      </c>
    </row>
    <row r="934" spans="1:12" x14ac:dyDescent="0.25">
      <c r="A934">
        <v>933</v>
      </c>
      <c r="B934" t="s">
        <v>954</v>
      </c>
      <c r="C934" t="s">
        <v>10</v>
      </c>
      <c r="D934" t="s">
        <v>17</v>
      </c>
      <c r="E934" s="4">
        <v>38168210</v>
      </c>
      <c r="F934">
        <v>42.3</v>
      </c>
      <c r="G934">
        <v>9.48</v>
      </c>
      <c r="H934">
        <v>569.03</v>
      </c>
      <c r="I934">
        <v>22.42</v>
      </c>
      <c r="J934" s="5">
        <v>46060</v>
      </c>
      <c r="K934">
        <f t="shared" si="14"/>
        <v>40.06</v>
      </c>
      <c r="L934" t="str" cm="1">
        <f t="array" ref="L934">_xlfn.IFS(E934&gt;=52000000,"Platinum",E934&gt;=37000000,"Gold",E934&gt;=30000000,"Sliver",E934&lt;30000000,"Bronze")</f>
        <v>Gold</v>
      </c>
    </row>
    <row r="935" spans="1:12" x14ac:dyDescent="0.25">
      <c r="A935">
        <v>934</v>
      </c>
      <c r="B935" t="s">
        <v>955</v>
      </c>
      <c r="C935" t="s">
        <v>16</v>
      </c>
      <c r="D935" t="s">
        <v>17</v>
      </c>
      <c r="E935" s="4">
        <v>33551663</v>
      </c>
      <c r="F935">
        <v>59.06</v>
      </c>
      <c r="G935">
        <v>2.35</v>
      </c>
      <c r="H935">
        <v>140.81</v>
      </c>
      <c r="I935">
        <v>3.97</v>
      </c>
      <c r="J935" s="5">
        <v>46060</v>
      </c>
      <c r="K935">
        <f t="shared" si="14"/>
        <v>22.46</v>
      </c>
      <c r="L935" t="str" cm="1">
        <f t="array" ref="L935">_xlfn.IFS(E935&gt;=52000000,"Platinum",E935&gt;=37000000,"Gold",E935&gt;=30000000,"Sliver",E935&lt;30000000,"Bronze")</f>
        <v>Sliver</v>
      </c>
    </row>
    <row r="936" spans="1:12" x14ac:dyDescent="0.25">
      <c r="A936">
        <v>935</v>
      </c>
      <c r="B936" t="s">
        <v>956</v>
      </c>
      <c r="C936" t="s">
        <v>21</v>
      </c>
      <c r="D936" t="s">
        <v>25</v>
      </c>
      <c r="E936" s="4">
        <v>30169712</v>
      </c>
      <c r="F936">
        <v>42.19</v>
      </c>
      <c r="G936">
        <v>1.83</v>
      </c>
      <c r="H936">
        <v>109.88</v>
      </c>
      <c r="I936">
        <v>4.34</v>
      </c>
      <c r="J936" s="5">
        <v>46060</v>
      </c>
      <c r="K936">
        <f t="shared" si="14"/>
        <v>31.08</v>
      </c>
      <c r="L936" t="str" cm="1">
        <f t="array" ref="L936">_xlfn.IFS(E936&gt;=52000000,"Platinum",E936&gt;=37000000,"Gold",E936&gt;=30000000,"Sliver",E936&lt;30000000,"Bronze")</f>
        <v>Sliver</v>
      </c>
    </row>
    <row r="937" spans="1:12" x14ac:dyDescent="0.25">
      <c r="A937">
        <v>936</v>
      </c>
      <c r="B937" t="s">
        <v>957</v>
      </c>
      <c r="C937" t="s">
        <v>46</v>
      </c>
      <c r="D937" t="s">
        <v>13</v>
      </c>
      <c r="E937" s="4">
        <v>26252454</v>
      </c>
      <c r="F937">
        <v>39.770000000000003</v>
      </c>
      <c r="G937">
        <v>4.21</v>
      </c>
      <c r="H937">
        <v>252.71</v>
      </c>
      <c r="I937">
        <v>10.59</v>
      </c>
      <c r="J937" s="5">
        <v>46060</v>
      </c>
      <c r="K937">
        <f t="shared" si="14"/>
        <v>35.409999999999997</v>
      </c>
      <c r="L937" t="str" cm="1">
        <f t="array" ref="L937">_xlfn.IFS(E937&gt;=52000000,"Platinum",E937&gt;=37000000,"Gold",E937&gt;=30000000,"Sliver",E937&lt;30000000,"Bronze")</f>
        <v>Bronze</v>
      </c>
    </row>
    <row r="938" spans="1:12" x14ac:dyDescent="0.25">
      <c r="A938">
        <v>937</v>
      </c>
      <c r="B938" t="s">
        <v>958</v>
      </c>
      <c r="C938" t="s">
        <v>21</v>
      </c>
      <c r="D938" t="s">
        <v>13</v>
      </c>
      <c r="E938" s="4">
        <v>26398121</v>
      </c>
      <c r="F938">
        <v>44.3</v>
      </c>
      <c r="G938">
        <v>1.36</v>
      </c>
      <c r="H938">
        <v>81.55</v>
      </c>
      <c r="I938">
        <v>3.07</v>
      </c>
      <c r="J938" s="5">
        <v>46060</v>
      </c>
      <c r="K938">
        <f t="shared" si="14"/>
        <v>29.39</v>
      </c>
      <c r="L938" t="str" cm="1">
        <f t="array" ref="L938">_xlfn.IFS(E938&gt;=52000000,"Platinum",E938&gt;=37000000,"Gold",E938&gt;=30000000,"Sliver",E938&lt;30000000,"Bronze")</f>
        <v>Bronze</v>
      </c>
    </row>
    <row r="939" spans="1:12" x14ac:dyDescent="0.25">
      <c r="A939">
        <v>938</v>
      </c>
      <c r="B939" t="s">
        <v>959</v>
      </c>
      <c r="C939" t="s">
        <v>27</v>
      </c>
      <c r="D939" t="s">
        <v>25</v>
      </c>
      <c r="E939" s="4">
        <v>34172517</v>
      </c>
      <c r="F939">
        <v>27.43</v>
      </c>
      <c r="G939">
        <v>14.47</v>
      </c>
      <c r="H939">
        <v>868.21</v>
      </c>
      <c r="I939">
        <v>52.75</v>
      </c>
      <c r="J939" s="5">
        <v>46060</v>
      </c>
      <c r="K939">
        <f t="shared" si="14"/>
        <v>62.66</v>
      </c>
      <c r="L939" t="str" cm="1">
        <f t="array" ref="L939">_xlfn.IFS(E939&gt;=52000000,"Platinum",E939&gt;=37000000,"Gold",E939&gt;=30000000,"Sliver",E939&lt;30000000,"Bronze")</f>
        <v>Sliver</v>
      </c>
    </row>
    <row r="940" spans="1:12" x14ac:dyDescent="0.25">
      <c r="A940">
        <v>939</v>
      </c>
      <c r="B940" t="s">
        <v>960</v>
      </c>
      <c r="C940" t="s">
        <v>46</v>
      </c>
      <c r="D940" t="s">
        <v>25</v>
      </c>
      <c r="E940" s="4">
        <v>30126609</v>
      </c>
      <c r="F940">
        <v>40.18</v>
      </c>
      <c r="G940">
        <v>2.82</v>
      </c>
      <c r="H940">
        <v>169.18</v>
      </c>
      <c r="I940">
        <v>7.02</v>
      </c>
      <c r="J940" s="5">
        <v>46060</v>
      </c>
      <c r="K940">
        <f t="shared" si="14"/>
        <v>33.42</v>
      </c>
      <c r="L940" t="str" cm="1">
        <f t="array" ref="L940">_xlfn.IFS(E940&gt;=52000000,"Platinum",E940&gt;=37000000,"Gold",E940&gt;=30000000,"Sliver",E940&lt;30000000,"Bronze")</f>
        <v>Sliver</v>
      </c>
    </row>
    <row r="941" spans="1:12" x14ac:dyDescent="0.25">
      <c r="A941">
        <v>940</v>
      </c>
      <c r="B941" t="s">
        <v>961</v>
      </c>
      <c r="C941" t="s">
        <v>21</v>
      </c>
      <c r="D941" t="s">
        <v>32</v>
      </c>
      <c r="E941" s="4">
        <v>34313296</v>
      </c>
      <c r="F941">
        <v>37.68</v>
      </c>
      <c r="G941">
        <v>1.56</v>
      </c>
      <c r="H941">
        <v>93.59</v>
      </c>
      <c r="I941">
        <v>4.1399999999999997</v>
      </c>
      <c r="J941" s="5">
        <v>46060</v>
      </c>
      <c r="K941">
        <f t="shared" si="14"/>
        <v>33.229999999999997</v>
      </c>
      <c r="L941" t="str" cm="1">
        <f t="array" ref="L941">_xlfn.IFS(E941&gt;=52000000,"Platinum",E941&gt;=37000000,"Gold",E941&gt;=30000000,"Sliver",E941&lt;30000000,"Bronze")</f>
        <v>Sliver</v>
      </c>
    </row>
    <row r="942" spans="1:12" x14ac:dyDescent="0.25">
      <c r="A942">
        <v>941</v>
      </c>
      <c r="B942" t="s">
        <v>962</v>
      </c>
      <c r="C942" t="s">
        <v>46</v>
      </c>
      <c r="D942" t="s">
        <v>17</v>
      </c>
      <c r="E942" s="4">
        <v>29795684</v>
      </c>
      <c r="F942">
        <v>55.16</v>
      </c>
      <c r="G942">
        <v>4.2699999999999996</v>
      </c>
      <c r="H942">
        <v>256.05</v>
      </c>
      <c r="I942">
        <v>7.74</v>
      </c>
      <c r="J942" s="5">
        <v>46060</v>
      </c>
      <c r="K942">
        <f t="shared" si="14"/>
        <v>26.29</v>
      </c>
      <c r="L942" t="str" cm="1">
        <f t="array" ref="L942">_xlfn.IFS(E942&gt;=52000000,"Platinum",E942&gt;=37000000,"Gold",E942&gt;=30000000,"Sliver",E942&lt;30000000,"Bronze")</f>
        <v>Bronze</v>
      </c>
    </row>
    <row r="943" spans="1:12" x14ac:dyDescent="0.25">
      <c r="A943">
        <v>942</v>
      </c>
      <c r="B943" t="s">
        <v>963</v>
      </c>
      <c r="C943" t="s">
        <v>19</v>
      </c>
      <c r="D943" t="s">
        <v>11</v>
      </c>
      <c r="E943" s="4">
        <v>38762472</v>
      </c>
      <c r="F943">
        <v>34.229999999999997</v>
      </c>
      <c r="G943">
        <v>9.86</v>
      </c>
      <c r="H943">
        <v>591.67999999999995</v>
      </c>
      <c r="I943">
        <v>28.81</v>
      </c>
      <c r="J943" s="5">
        <v>46060</v>
      </c>
      <c r="K943">
        <f t="shared" si="14"/>
        <v>47.29</v>
      </c>
      <c r="L943" t="str" cm="1">
        <f t="array" ref="L943">_xlfn.IFS(E943&gt;=52000000,"Platinum",E943&gt;=37000000,"Gold",E943&gt;=30000000,"Sliver",E943&lt;30000000,"Bronze")</f>
        <v>Gold</v>
      </c>
    </row>
    <row r="944" spans="1:12" x14ac:dyDescent="0.25">
      <c r="A944">
        <v>943</v>
      </c>
      <c r="B944" t="s">
        <v>964</v>
      </c>
      <c r="C944" t="s">
        <v>10</v>
      </c>
      <c r="D944" t="s">
        <v>11</v>
      </c>
      <c r="E944" s="4">
        <v>32932838</v>
      </c>
      <c r="F944">
        <v>57.9</v>
      </c>
      <c r="G944">
        <v>2.02</v>
      </c>
      <c r="H944">
        <v>121.16</v>
      </c>
      <c r="I944">
        <v>3.49</v>
      </c>
      <c r="J944" s="5">
        <v>46060</v>
      </c>
      <c r="K944">
        <f t="shared" si="14"/>
        <v>22.8</v>
      </c>
      <c r="L944" t="str" cm="1">
        <f t="array" ref="L944">_xlfn.IFS(E944&gt;=52000000,"Platinum",E944&gt;=37000000,"Gold",E944&gt;=30000000,"Sliver",E944&lt;30000000,"Bronze")</f>
        <v>Sliver</v>
      </c>
    </row>
    <row r="945" spans="1:12" x14ac:dyDescent="0.25">
      <c r="A945">
        <v>944</v>
      </c>
      <c r="B945" t="s">
        <v>965</v>
      </c>
      <c r="C945" t="s">
        <v>29</v>
      </c>
      <c r="D945" t="s">
        <v>17</v>
      </c>
      <c r="E945" s="4">
        <v>33999511</v>
      </c>
      <c r="F945">
        <v>54.94</v>
      </c>
      <c r="G945">
        <v>5.07</v>
      </c>
      <c r="H945">
        <v>304.45</v>
      </c>
      <c r="I945">
        <v>9.24</v>
      </c>
      <c r="J945" s="5">
        <v>46060</v>
      </c>
      <c r="K945">
        <f t="shared" si="14"/>
        <v>27.15</v>
      </c>
      <c r="L945" t="str" cm="1">
        <f t="array" ref="L945">_xlfn.IFS(E945&gt;=52000000,"Platinum",E945&gt;=37000000,"Gold",E945&gt;=30000000,"Sliver",E945&lt;30000000,"Bronze")</f>
        <v>Sliver</v>
      </c>
    </row>
    <row r="946" spans="1:12" x14ac:dyDescent="0.25">
      <c r="A946">
        <v>945</v>
      </c>
      <c r="B946" t="s">
        <v>966</v>
      </c>
      <c r="C946" t="s">
        <v>27</v>
      </c>
      <c r="D946" t="s">
        <v>11</v>
      </c>
      <c r="E946" s="4">
        <v>26336287</v>
      </c>
      <c r="F946">
        <v>29.73</v>
      </c>
      <c r="G946">
        <v>22.01</v>
      </c>
      <c r="H946">
        <v>1320.46</v>
      </c>
      <c r="I946">
        <v>74.03</v>
      </c>
      <c r="J946" s="5">
        <v>46060</v>
      </c>
      <c r="K946">
        <f t="shared" si="14"/>
        <v>72.150000000000006</v>
      </c>
      <c r="L946" t="str" cm="1">
        <f t="array" ref="L946">_xlfn.IFS(E946&gt;=52000000,"Platinum",E946&gt;=37000000,"Gold",E946&gt;=30000000,"Sliver",E946&lt;30000000,"Bronze")</f>
        <v>Bronze</v>
      </c>
    </row>
    <row r="947" spans="1:12" x14ac:dyDescent="0.25">
      <c r="A947">
        <v>946</v>
      </c>
      <c r="B947" t="s">
        <v>967</v>
      </c>
      <c r="C947" t="s">
        <v>16</v>
      </c>
      <c r="D947" t="s">
        <v>32</v>
      </c>
      <c r="E947" s="4">
        <v>32565149</v>
      </c>
      <c r="F947">
        <v>49.58</v>
      </c>
      <c r="G947">
        <v>5</v>
      </c>
      <c r="H947">
        <v>300.05</v>
      </c>
      <c r="I947">
        <v>10.09</v>
      </c>
      <c r="J947" s="5">
        <v>46060</v>
      </c>
      <c r="K947">
        <f t="shared" si="14"/>
        <v>30.26</v>
      </c>
      <c r="L947" t="str" cm="1">
        <f t="array" ref="L947">_xlfn.IFS(E947&gt;=52000000,"Platinum",E947&gt;=37000000,"Gold",E947&gt;=30000000,"Sliver",E947&lt;30000000,"Bronze")</f>
        <v>Sliver</v>
      </c>
    </row>
    <row r="948" spans="1:12" x14ac:dyDescent="0.25">
      <c r="A948">
        <v>947</v>
      </c>
      <c r="B948" t="s">
        <v>968</v>
      </c>
      <c r="C948" t="s">
        <v>46</v>
      </c>
      <c r="D948" s="1" t="s">
        <v>32</v>
      </c>
      <c r="E948" s="4">
        <v>36561345</v>
      </c>
      <c r="F948">
        <v>57.65</v>
      </c>
      <c r="G948">
        <v>8.8800000000000008</v>
      </c>
      <c r="H948">
        <v>532.94000000000005</v>
      </c>
      <c r="I948">
        <v>15.41</v>
      </c>
      <c r="J948" s="5">
        <v>46060</v>
      </c>
      <c r="K948">
        <f t="shared" si="14"/>
        <v>28.88</v>
      </c>
      <c r="L948" t="str" cm="1">
        <f t="array" ref="L948">_xlfn.IFS(E948&gt;=52000000,"Platinum",E948&gt;=37000000,"Gold",E948&gt;=30000000,"Sliver",E948&lt;30000000,"Bronze")</f>
        <v>Sliver</v>
      </c>
    </row>
    <row r="949" spans="1:12" x14ac:dyDescent="0.25">
      <c r="A949">
        <v>948</v>
      </c>
      <c r="B949" t="s">
        <v>969</v>
      </c>
      <c r="C949" t="s">
        <v>21</v>
      </c>
      <c r="D949" t="s">
        <v>25</v>
      </c>
      <c r="E949" s="4">
        <v>34640061</v>
      </c>
      <c r="F949">
        <v>39.69</v>
      </c>
      <c r="G949">
        <v>1.27</v>
      </c>
      <c r="H949">
        <v>76.05</v>
      </c>
      <c r="I949">
        <v>3.19</v>
      </c>
      <c r="J949" s="5">
        <v>46060</v>
      </c>
      <c r="K949">
        <f t="shared" si="14"/>
        <v>31.75</v>
      </c>
      <c r="L949" t="str" cm="1">
        <f t="array" ref="L949">_xlfn.IFS(E949&gt;=52000000,"Platinum",E949&gt;=37000000,"Gold",E949&gt;=30000000,"Sliver",E949&lt;30000000,"Bronze")</f>
        <v>Sliver</v>
      </c>
    </row>
    <row r="950" spans="1:12" x14ac:dyDescent="0.25">
      <c r="A950">
        <v>949</v>
      </c>
      <c r="B950" t="s">
        <v>970</v>
      </c>
      <c r="C950" t="s">
        <v>29</v>
      </c>
      <c r="D950" t="s">
        <v>17</v>
      </c>
      <c r="E950" s="4">
        <v>36808386</v>
      </c>
      <c r="F950">
        <v>48.33</v>
      </c>
      <c r="G950">
        <v>6.01</v>
      </c>
      <c r="H950">
        <v>360.88</v>
      </c>
      <c r="I950">
        <v>12.44</v>
      </c>
      <c r="J950" s="5">
        <v>46060</v>
      </c>
      <c r="K950">
        <f t="shared" si="14"/>
        <v>32.06</v>
      </c>
      <c r="L950" t="str" cm="1">
        <f t="array" ref="L950">_xlfn.IFS(E950&gt;=52000000,"Platinum",E950&gt;=37000000,"Gold",E950&gt;=30000000,"Sliver",E950&lt;30000000,"Bronze")</f>
        <v>Sliver</v>
      </c>
    </row>
    <row r="951" spans="1:12" x14ac:dyDescent="0.25">
      <c r="A951">
        <v>950</v>
      </c>
      <c r="B951" t="s">
        <v>971</v>
      </c>
      <c r="C951" t="s">
        <v>29</v>
      </c>
      <c r="D951" t="s">
        <v>25</v>
      </c>
      <c r="E951" s="4">
        <v>34540870</v>
      </c>
      <c r="F951">
        <v>52.44</v>
      </c>
      <c r="G951">
        <v>3.83</v>
      </c>
      <c r="H951">
        <v>229.82</v>
      </c>
      <c r="I951">
        <v>7.3</v>
      </c>
      <c r="J951" s="5">
        <v>46060</v>
      </c>
      <c r="K951">
        <f t="shared" si="14"/>
        <v>27.43</v>
      </c>
      <c r="L951" t="str" cm="1">
        <f t="array" ref="L951">_xlfn.IFS(E951&gt;=52000000,"Platinum",E951&gt;=37000000,"Gold",E951&gt;=30000000,"Sliver",E951&lt;30000000,"Bronze")</f>
        <v>Sliver</v>
      </c>
    </row>
    <row r="952" spans="1:12" x14ac:dyDescent="0.25">
      <c r="A952">
        <v>951</v>
      </c>
      <c r="B952" t="s">
        <v>972</v>
      </c>
      <c r="C952" t="s">
        <v>10</v>
      </c>
      <c r="D952" t="s">
        <v>17</v>
      </c>
      <c r="E952" s="4">
        <v>38849667</v>
      </c>
      <c r="F952">
        <v>46.64</v>
      </c>
      <c r="G952">
        <v>5.72</v>
      </c>
      <c r="H952" s="1">
        <f>CALCULATION!$D$11</f>
        <v>343.315</v>
      </c>
      <c r="I952">
        <v>5.42</v>
      </c>
      <c r="J952" s="5">
        <v>46060</v>
      </c>
      <c r="K952">
        <f t="shared" si="14"/>
        <v>29.39</v>
      </c>
      <c r="L952" t="str" cm="1">
        <f t="array" ref="L952">_xlfn.IFS(E952&gt;=52000000,"Platinum",E952&gt;=37000000,"Gold",E952&gt;=30000000,"Sliver",E952&lt;30000000,"Bronze")</f>
        <v>Gold</v>
      </c>
    </row>
    <row r="953" spans="1:12" x14ac:dyDescent="0.25">
      <c r="A953">
        <v>952</v>
      </c>
      <c r="B953" t="s">
        <v>973</v>
      </c>
      <c r="C953" t="s">
        <v>29</v>
      </c>
      <c r="D953" t="s">
        <v>13</v>
      </c>
      <c r="E953" s="4">
        <v>36509701</v>
      </c>
      <c r="F953">
        <v>49.01</v>
      </c>
      <c r="G953">
        <v>5.78</v>
      </c>
      <c r="H953">
        <v>346.87</v>
      </c>
      <c r="I953">
        <v>11.8</v>
      </c>
      <c r="J953" s="5">
        <v>46060</v>
      </c>
      <c r="K953">
        <f t="shared" si="14"/>
        <v>31.4</v>
      </c>
      <c r="L953" t="str" cm="1">
        <f t="array" ref="L953">_xlfn.IFS(E953&gt;=52000000,"Platinum",E953&gt;=37000000,"Gold",E953&gt;=30000000,"Sliver",E953&lt;30000000,"Bronze")</f>
        <v>Sliver</v>
      </c>
    </row>
    <row r="954" spans="1:12" x14ac:dyDescent="0.25">
      <c r="A954">
        <v>953</v>
      </c>
      <c r="B954" t="s">
        <v>974</v>
      </c>
      <c r="C954" t="s">
        <v>27</v>
      </c>
      <c r="D954" t="s">
        <v>25</v>
      </c>
      <c r="E954" s="4">
        <v>27380621</v>
      </c>
      <c r="F954">
        <v>17.68</v>
      </c>
      <c r="G954">
        <v>27.94</v>
      </c>
      <c r="H954">
        <v>1676.3</v>
      </c>
      <c r="I954">
        <v>158.02000000000001</v>
      </c>
      <c r="J954" s="5">
        <v>46060</v>
      </c>
      <c r="K954">
        <f t="shared" si="14"/>
        <v>120.17</v>
      </c>
      <c r="L954" t="str" cm="1">
        <f t="array" ref="L954">_xlfn.IFS(E954&gt;=52000000,"Platinum",E954&gt;=37000000,"Gold",E954&gt;=30000000,"Sliver",E954&lt;30000000,"Bronze")</f>
        <v>Bronze</v>
      </c>
    </row>
    <row r="955" spans="1:12" x14ac:dyDescent="0.25">
      <c r="A955">
        <v>954</v>
      </c>
      <c r="B955" t="s">
        <v>975</v>
      </c>
      <c r="C955" t="s">
        <v>16</v>
      </c>
      <c r="D955" t="s">
        <v>32</v>
      </c>
      <c r="E955" s="4">
        <v>37963443</v>
      </c>
      <c r="F955">
        <v>49.56</v>
      </c>
      <c r="G955">
        <v>5.65</v>
      </c>
      <c r="H955">
        <v>339.12</v>
      </c>
      <c r="I955">
        <v>11.4</v>
      </c>
      <c r="J955" s="5">
        <v>46060</v>
      </c>
      <c r="K955">
        <f t="shared" si="14"/>
        <v>30.92</v>
      </c>
      <c r="L955" t="str" cm="1">
        <f t="array" ref="L955">_xlfn.IFS(E955&gt;=52000000,"Platinum",E955&gt;=37000000,"Gold",E955&gt;=30000000,"Sliver",E955&lt;30000000,"Bronze")</f>
        <v>Gold</v>
      </c>
    </row>
    <row r="956" spans="1:12" x14ac:dyDescent="0.25">
      <c r="A956">
        <v>955</v>
      </c>
      <c r="B956" t="s">
        <v>976</v>
      </c>
      <c r="C956" t="s">
        <v>21</v>
      </c>
      <c r="D956" t="s">
        <v>11</v>
      </c>
      <c r="E956" s="4">
        <v>37323295</v>
      </c>
      <c r="F956">
        <v>48.12</v>
      </c>
      <c r="G956">
        <v>2.09</v>
      </c>
      <c r="H956">
        <v>125.29</v>
      </c>
      <c r="I956">
        <v>4.34</v>
      </c>
      <c r="J956" s="5">
        <v>46060</v>
      </c>
      <c r="K956">
        <f t="shared" si="14"/>
        <v>28.11</v>
      </c>
      <c r="L956" t="str" cm="1">
        <f t="array" ref="L956">_xlfn.IFS(E956&gt;=52000000,"Platinum",E956&gt;=37000000,"Gold",E956&gt;=30000000,"Sliver",E956&lt;30000000,"Bronze")</f>
        <v>Gold</v>
      </c>
    </row>
    <row r="957" spans="1:12" x14ac:dyDescent="0.25">
      <c r="A957">
        <v>956</v>
      </c>
      <c r="B957" t="s">
        <v>977</v>
      </c>
      <c r="C957" t="s">
        <v>21</v>
      </c>
      <c r="D957" t="s">
        <v>32</v>
      </c>
      <c r="E957" s="4">
        <v>35136022</v>
      </c>
      <c r="F957">
        <v>48.78</v>
      </c>
      <c r="G957">
        <v>1.5</v>
      </c>
      <c r="H957">
        <v>90.07</v>
      </c>
      <c r="I957">
        <v>3.08</v>
      </c>
      <c r="J957" s="5">
        <v>46060</v>
      </c>
      <c r="K957">
        <f t="shared" si="14"/>
        <v>27.15</v>
      </c>
      <c r="L957" t="str" cm="1">
        <f t="array" ref="L957">_xlfn.IFS(E957&gt;=52000000,"Platinum",E957&gt;=37000000,"Gold",E957&gt;=30000000,"Sliver",E957&lt;30000000,"Bronze")</f>
        <v>Sliver</v>
      </c>
    </row>
    <row r="958" spans="1:12" x14ac:dyDescent="0.25">
      <c r="A958">
        <v>957</v>
      </c>
      <c r="B958" t="s">
        <v>978</v>
      </c>
      <c r="C958" t="s">
        <v>27</v>
      </c>
      <c r="D958" t="s">
        <v>25</v>
      </c>
      <c r="E958" s="4">
        <v>37512993</v>
      </c>
      <c r="F958">
        <v>25.05</v>
      </c>
      <c r="G958">
        <v>11.92</v>
      </c>
      <c r="H958">
        <v>715.09</v>
      </c>
      <c r="I958">
        <v>47.58</v>
      </c>
      <c r="J958" s="5">
        <v>46060</v>
      </c>
      <c r="K958">
        <f t="shared" si="14"/>
        <v>61.27</v>
      </c>
      <c r="L958" t="str" cm="1">
        <f t="array" ref="L958">_xlfn.IFS(E958&gt;=52000000,"Platinum",E958&gt;=37000000,"Gold",E958&gt;=30000000,"Sliver",E958&lt;30000000,"Bronze")</f>
        <v>Gold</v>
      </c>
    </row>
    <row r="959" spans="1:12" x14ac:dyDescent="0.25">
      <c r="A959">
        <v>958</v>
      </c>
      <c r="B959" t="s">
        <v>979</v>
      </c>
      <c r="C959" t="s">
        <v>21</v>
      </c>
      <c r="D959" t="s">
        <v>32</v>
      </c>
      <c r="E959" s="4">
        <v>30271982</v>
      </c>
      <c r="F959">
        <v>35.299999999999997</v>
      </c>
      <c r="G959">
        <v>1.98</v>
      </c>
      <c r="H959">
        <v>118.56</v>
      </c>
      <c r="I959">
        <v>5.6</v>
      </c>
      <c r="J959" s="5">
        <v>46060</v>
      </c>
      <c r="K959">
        <f t="shared" si="14"/>
        <v>35.15</v>
      </c>
      <c r="L959" t="str" cm="1">
        <f t="array" ref="L959">_xlfn.IFS(E959&gt;=52000000,"Platinum",E959&gt;=37000000,"Gold",E959&gt;=30000000,"Sliver",E959&lt;30000000,"Bronze")</f>
        <v>Sliver</v>
      </c>
    </row>
    <row r="960" spans="1:12" x14ac:dyDescent="0.25">
      <c r="A960">
        <v>959</v>
      </c>
      <c r="B960" t="s">
        <v>980</v>
      </c>
      <c r="C960" t="s">
        <v>19</v>
      </c>
      <c r="D960" t="s">
        <v>13</v>
      </c>
      <c r="E960" s="4">
        <v>38274723</v>
      </c>
      <c r="F960">
        <v>50.05</v>
      </c>
      <c r="G960">
        <v>9.81</v>
      </c>
      <c r="H960">
        <v>588.85</v>
      </c>
      <c r="I960">
        <v>19.61</v>
      </c>
      <c r="J960" s="5">
        <v>46060</v>
      </c>
      <c r="K960">
        <f t="shared" si="14"/>
        <v>34.78</v>
      </c>
      <c r="L960" t="str" cm="1">
        <f t="array" ref="L960">_xlfn.IFS(E960&gt;=52000000,"Platinum",E960&gt;=37000000,"Gold",E960&gt;=30000000,"Sliver",E960&lt;30000000,"Bronze")</f>
        <v>Gold</v>
      </c>
    </row>
    <row r="961" spans="1:12" x14ac:dyDescent="0.25">
      <c r="A961">
        <v>960</v>
      </c>
      <c r="B961" t="s">
        <v>981</v>
      </c>
      <c r="C961" t="s">
        <v>27</v>
      </c>
      <c r="D961" t="s">
        <v>25</v>
      </c>
      <c r="E961" s="4">
        <v>32225351</v>
      </c>
      <c r="F961">
        <v>26.8</v>
      </c>
      <c r="G961">
        <v>24.9</v>
      </c>
      <c r="H961">
        <v>1494.09</v>
      </c>
      <c r="I961">
        <v>92.92</v>
      </c>
      <c r="J961" s="5">
        <v>46060</v>
      </c>
      <c r="K961">
        <f t="shared" si="14"/>
        <v>83.06</v>
      </c>
      <c r="L961" t="str" cm="1">
        <f t="array" ref="L961">_xlfn.IFS(E961&gt;=52000000,"Platinum",E961&gt;=37000000,"Gold",E961&gt;=30000000,"Sliver",E961&lt;30000000,"Bronze")</f>
        <v>Sliver</v>
      </c>
    </row>
    <row r="962" spans="1:12" x14ac:dyDescent="0.25">
      <c r="A962">
        <v>961</v>
      </c>
      <c r="B962" t="s">
        <v>982</v>
      </c>
      <c r="C962" t="s">
        <v>27</v>
      </c>
      <c r="D962" t="s">
        <v>32</v>
      </c>
      <c r="E962" s="4">
        <v>34291167</v>
      </c>
      <c r="F962">
        <v>19.72</v>
      </c>
      <c r="G962">
        <v>12.15</v>
      </c>
      <c r="H962">
        <v>728.71</v>
      </c>
      <c r="I962">
        <v>61.59</v>
      </c>
      <c r="J962" s="5">
        <v>46060</v>
      </c>
      <c r="K962">
        <f t="shared" si="14"/>
        <v>70.94</v>
      </c>
      <c r="L962" t="str" cm="1">
        <f t="array" ref="L962">_xlfn.IFS(E962&gt;=52000000,"Platinum",E962&gt;=37000000,"Gold",E962&gt;=30000000,"Sliver",E962&lt;30000000,"Bronze")</f>
        <v>Sliver</v>
      </c>
    </row>
    <row r="963" spans="1:12" x14ac:dyDescent="0.25">
      <c r="A963">
        <v>962</v>
      </c>
      <c r="B963" t="s">
        <v>983</v>
      </c>
      <c r="C963" t="s">
        <v>29</v>
      </c>
      <c r="D963" t="s">
        <v>11</v>
      </c>
      <c r="E963" s="4">
        <v>34101316</v>
      </c>
      <c r="F963">
        <v>44.84</v>
      </c>
      <c r="G963">
        <v>3.67</v>
      </c>
      <c r="H963">
        <v>220.18</v>
      </c>
      <c r="I963">
        <v>8.18</v>
      </c>
      <c r="J963" s="5">
        <v>46060</v>
      </c>
      <c r="K963">
        <f t="shared" ref="K963:K1026" si="15">ROUND((100-F963)*0.5 + I963*0.5,2)</f>
        <v>31.67</v>
      </c>
      <c r="L963" t="str" cm="1">
        <f t="array" ref="L963">_xlfn.IFS(E963&gt;=52000000,"Platinum",E963&gt;=37000000,"Gold",E963&gt;=30000000,"Sliver",E963&lt;30000000,"Bronze")</f>
        <v>Sliver</v>
      </c>
    </row>
    <row r="964" spans="1:12" x14ac:dyDescent="0.25">
      <c r="A964">
        <v>963</v>
      </c>
      <c r="B964" t="s">
        <v>984</v>
      </c>
      <c r="C964" t="s">
        <v>46</v>
      </c>
      <c r="D964" t="s">
        <v>17</v>
      </c>
      <c r="E964" s="4">
        <v>30316014</v>
      </c>
      <c r="F964">
        <v>58.21</v>
      </c>
      <c r="G964">
        <v>6.95</v>
      </c>
      <c r="H964">
        <v>417.29</v>
      </c>
      <c r="I964">
        <v>11.95</v>
      </c>
      <c r="J964" s="5">
        <v>46060</v>
      </c>
      <c r="K964">
        <f t="shared" si="15"/>
        <v>26.87</v>
      </c>
      <c r="L964" t="str" cm="1">
        <f t="array" ref="L964">_xlfn.IFS(E964&gt;=52000000,"Platinum",E964&gt;=37000000,"Gold",E964&gt;=30000000,"Sliver",E964&lt;30000000,"Bronze")</f>
        <v>Sliver</v>
      </c>
    </row>
    <row r="965" spans="1:12" x14ac:dyDescent="0.25">
      <c r="A965">
        <v>964</v>
      </c>
      <c r="B965" t="s">
        <v>985</v>
      </c>
      <c r="C965" t="s">
        <v>21</v>
      </c>
      <c r="D965" t="s">
        <v>11</v>
      </c>
      <c r="E965" s="4">
        <v>36516640</v>
      </c>
      <c r="F965">
        <v>41.48</v>
      </c>
      <c r="G965">
        <v>2.63</v>
      </c>
      <c r="H965">
        <v>157.88999999999999</v>
      </c>
      <c r="I965">
        <v>6.34</v>
      </c>
      <c r="J965" s="5">
        <v>46060</v>
      </c>
      <c r="K965">
        <f t="shared" si="15"/>
        <v>32.43</v>
      </c>
      <c r="L965" t="str" cm="1">
        <f t="array" ref="L965">_xlfn.IFS(E965&gt;=52000000,"Platinum",E965&gt;=37000000,"Gold",E965&gt;=30000000,"Sliver",E965&lt;30000000,"Bronze")</f>
        <v>Sliver</v>
      </c>
    </row>
    <row r="966" spans="1:12" x14ac:dyDescent="0.25">
      <c r="A966">
        <v>965</v>
      </c>
      <c r="B966" t="s">
        <v>986</v>
      </c>
      <c r="C966" t="s">
        <v>29</v>
      </c>
      <c r="D966" t="s">
        <v>11</v>
      </c>
      <c r="E966" s="4">
        <v>30229678</v>
      </c>
      <c r="F966">
        <v>42.69</v>
      </c>
      <c r="G966">
        <v>8.44</v>
      </c>
      <c r="H966">
        <v>506.25</v>
      </c>
      <c r="I966">
        <v>19.760000000000002</v>
      </c>
      <c r="J966" s="5">
        <v>46060</v>
      </c>
      <c r="K966">
        <f t="shared" si="15"/>
        <v>38.54</v>
      </c>
      <c r="L966" t="str" cm="1">
        <f t="array" ref="L966">_xlfn.IFS(E966&gt;=52000000,"Platinum",E966&gt;=37000000,"Gold",E966&gt;=30000000,"Sliver",E966&lt;30000000,"Bronze")</f>
        <v>Sliver</v>
      </c>
    </row>
    <row r="967" spans="1:12" x14ac:dyDescent="0.25">
      <c r="A967">
        <v>966</v>
      </c>
      <c r="B967" t="s">
        <v>987</v>
      </c>
      <c r="C967" t="s">
        <v>46</v>
      </c>
      <c r="D967" t="s">
        <v>13</v>
      </c>
      <c r="E967" s="4">
        <v>37135789</v>
      </c>
      <c r="F967">
        <v>56.16</v>
      </c>
      <c r="G967">
        <v>9.07</v>
      </c>
      <c r="H967">
        <v>544.41</v>
      </c>
      <c r="I967">
        <v>16.16</v>
      </c>
      <c r="J967" s="5">
        <v>46060</v>
      </c>
      <c r="K967">
        <f t="shared" si="15"/>
        <v>30</v>
      </c>
      <c r="L967" t="str" cm="1">
        <f t="array" ref="L967">_xlfn.IFS(E967&gt;=52000000,"Platinum",E967&gt;=37000000,"Gold",E967&gt;=30000000,"Sliver",E967&lt;30000000,"Bronze")</f>
        <v>Gold</v>
      </c>
    </row>
    <row r="968" spans="1:12" x14ac:dyDescent="0.25">
      <c r="A968">
        <v>967</v>
      </c>
      <c r="B968" t="s">
        <v>988</v>
      </c>
      <c r="C968" t="s">
        <v>46</v>
      </c>
      <c r="D968" s="1" t="s">
        <v>32</v>
      </c>
      <c r="E968" s="4">
        <v>34175244</v>
      </c>
      <c r="F968">
        <v>43.45</v>
      </c>
      <c r="G968">
        <v>7.06</v>
      </c>
      <c r="H968">
        <v>423.5</v>
      </c>
      <c r="I968">
        <v>16.239999999999998</v>
      </c>
      <c r="J968" s="5">
        <v>46060</v>
      </c>
      <c r="K968">
        <f t="shared" si="15"/>
        <v>36.4</v>
      </c>
      <c r="L968" t="str" cm="1">
        <f t="array" ref="L968">_xlfn.IFS(E968&gt;=52000000,"Platinum",E968&gt;=37000000,"Gold",E968&gt;=30000000,"Sliver",E968&lt;30000000,"Bronze")</f>
        <v>Sliver</v>
      </c>
    </row>
    <row r="969" spans="1:12" x14ac:dyDescent="0.25">
      <c r="A969">
        <v>968</v>
      </c>
      <c r="B969" t="s">
        <v>989</v>
      </c>
      <c r="C969" t="s">
        <v>10</v>
      </c>
      <c r="D969" t="s">
        <v>22</v>
      </c>
      <c r="E969" s="4">
        <v>34276793</v>
      </c>
      <c r="F969">
        <v>55.14</v>
      </c>
      <c r="G969">
        <v>4.3499999999999996</v>
      </c>
      <c r="H969">
        <v>261.27999999999997</v>
      </c>
      <c r="I969">
        <v>7.9</v>
      </c>
      <c r="J969" s="5">
        <v>46060</v>
      </c>
      <c r="K969">
        <f t="shared" si="15"/>
        <v>26.38</v>
      </c>
      <c r="L969" t="str" cm="1">
        <f t="array" ref="L969">_xlfn.IFS(E969&gt;=52000000,"Platinum",E969&gt;=37000000,"Gold",E969&gt;=30000000,"Sliver",E969&lt;30000000,"Bronze")</f>
        <v>Sliver</v>
      </c>
    </row>
    <row r="970" spans="1:12" x14ac:dyDescent="0.25">
      <c r="A970">
        <v>969</v>
      </c>
      <c r="B970" t="s">
        <v>990</v>
      </c>
      <c r="C970" t="s">
        <v>10</v>
      </c>
      <c r="D970" t="s">
        <v>25</v>
      </c>
      <c r="E970" s="4">
        <v>29673487</v>
      </c>
      <c r="F970">
        <v>31.43</v>
      </c>
      <c r="G970">
        <v>3.23</v>
      </c>
      <c r="H970">
        <v>193.57</v>
      </c>
      <c r="I970">
        <v>10.26</v>
      </c>
      <c r="J970" s="5">
        <v>46060</v>
      </c>
      <c r="K970">
        <f t="shared" si="15"/>
        <v>39.42</v>
      </c>
      <c r="L970" t="str" cm="1">
        <f t="array" ref="L970">_xlfn.IFS(E970&gt;=52000000,"Platinum",E970&gt;=37000000,"Gold",E970&gt;=30000000,"Sliver",E970&lt;30000000,"Bronze")</f>
        <v>Bronze</v>
      </c>
    </row>
    <row r="971" spans="1:12" x14ac:dyDescent="0.25">
      <c r="A971">
        <v>970</v>
      </c>
      <c r="B971" t="s">
        <v>991</v>
      </c>
      <c r="C971" t="s">
        <v>29</v>
      </c>
      <c r="D971" t="s">
        <v>25</v>
      </c>
      <c r="E971" s="4">
        <v>33581453</v>
      </c>
      <c r="F971">
        <v>52.3</v>
      </c>
      <c r="G971">
        <v>5.27</v>
      </c>
      <c r="H971">
        <v>315.93</v>
      </c>
      <c r="I971">
        <v>10.07</v>
      </c>
      <c r="J971" s="5">
        <v>46060</v>
      </c>
      <c r="K971">
        <f t="shared" si="15"/>
        <v>28.89</v>
      </c>
      <c r="L971" t="str" cm="1">
        <f t="array" ref="L971">_xlfn.IFS(E971&gt;=52000000,"Platinum",E971&gt;=37000000,"Gold",E971&gt;=30000000,"Sliver",E971&lt;30000000,"Bronze")</f>
        <v>Sliver</v>
      </c>
    </row>
    <row r="972" spans="1:12" x14ac:dyDescent="0.25">
      <c r="A972">
        <v>971</v>
      </c>
      <c r="B972" t="s">
        <v>992</v>
      </c>
      <c r="C972" t="s">
        <v>27</v>
      </c>
      <c r="D972" t="s">
        <v>17</v>
      </c>
      <c r="E972" s="4">
        <v>36853351</v>
      </c>
      <c r="F972">
        <v>27.49</v>
      </c>
      <c r="G972">
        <v>39.81</v>
      </c>
      <c r="H972">
        <v>2388.79</v>
      </c>
      <c r="I972">
        <v>144.83000000000001</v>
      </c>
      <c r="J972" s="5">
        <v>46060</v>
      </c>
      <c r="K972">
        <f t="shared" si="15"/>
        <v>108.67</v>
      </c>
      <c r="L972" t="str" cm="1">
        <f t="array" ref="L972">_xlfn.IFS(E972&gt;=52000000,"Platinum",E972&gt;=37000000,"Gold",E972&gt;=30000000,"Sliver",E972&lt;30000000,"Bronze")</f>
        <v>Sliver</v>
      </c>
    </row>
    <row r="973" spans="1:12" x14ac:dyDescent="0.25">
      <c r="A973">
        <v>972</v>
      </c>
      <c r="B973" t="s">
        <v>993</v>
      </c>
      <c r="C973" t="s">
        <v>46</v>
      </c>
      <c r="D973" t="s">
        <v>17</v>
      </c>
      <c r="E973" s="4">
        <v>30096026</v>
      </c>
      <c r="F973">
        <v>57.88</v>
      </c>
      <c r="G973">
        <v>4.49</v>
      </c>
      <c r="H973">
        <v>269.12</v>
      </c>
      <c r="I973">
        <v>7.75</v>
      </c>
      <c r="J973" s="5">
        <v>46060</v>
      </c>
      <c r="K973">
        <f t="shared" si="15"/>
        <v>24.94</v>
      </c>
      <c r="L973" t="str" cm="1">
        <f t="array" ref="L973">_xlfn.IFS(E973&gt;=52000000,"Platinum",E973&gt;=37000000,"Gold",E973&gt;=30000000,"Sliver",E973&lt;30000000,"Bronze")</f>
        <v>Sliver</v>
      </c>
    </row>
    <row r="974" spans="1:12" x14ac:dyDescent="0.25">
      <c r="A974">
        <v>973</v>
      </c>
      <c r="B974" t="s">
        <v>994</v>
      </c>
      <c r="C974" t="s">
        <v>27</v>
      </c>
      <c r="D974" t="s">
        <v>25</v>
      </c>
      <c r="E974" s="4">
        <v>38083026</v>
      </c>
      <c r="F974">
        <v>27.55</v>
      </c>
      <c r="G974">
        <v>25.94</v>
      </c>
      <c r="H974">
        <v>1556.61</v>
      </c>
      <c r="I974">
        <v>94.17</v>
      </c>
      <c r="J974" s="5">
        <v>46060</v>
      </c>
      <c r="K974">
        <f t="shared" si="15"/>
        <v>83.31</v>
      </c>
      <c r="L974" t="str" cm="1">
        <f t="array" ref="L974">_xlfn.IFS(E974&gt;=52000000,"Platinum",E974&gt;=37000000,"Gold",E974&gt;=30000000,"Sliver",E974&lt;30000000,"Bronze")</f>
        <v>Gold</v>
      </c>
    </row>
    <row r="975" spans="1:12" x14ac:dyDescent="0.25">
      <c r="A975">
        <v>974</v>
      </c>
      <c r="B975" t="s">
        <v>995</v>
      </c>
      <c r="C975" t="s">
        <v>16</v>
      </c>
      <c r="D975" t="s">
        <v>11</v>
      </c>
      <c r="E975" s="4">
        <v>28061828</v>
      </c>
      <c r="F975">
        <v>57.62</v>
      </c>
      <c r="G975">
        <v>6.67</v>
      </c>
      <c r="H975">
        <v>400.03</v>
      </c>
      <c r="I975">
        <v>11.57</v>
      </c>
      <c r="J975" s="5">
        <v>46060</v>
      </c>
      <c r="K975">
        <f t="shared" si="15"/>
        <v>26.98</v>
      </c>
      <c r="L975" t="str" cm="1">
        <f t="array" ref="L975">_xlfn.IFS(E975&gt;=52000000,"Platinum",E975&gt;=37000000,"Gold",E975&gt;=30000000,"Sliver",E975&lt;30000000,"Bronze")</f>
        <v>Bronze</v>
      </c>
    </row>
    <row r="976" spans="1:12" x14ac:dyDescent="0.25">
      <c r="A976">
        <v>975</v>
      </c>
      <c r="B976" t="s">
        <v>996</v>
      </c>
      <c r="C976" t="s">
        <v>19</v>
      </c>
      <c r="D976" t="s">
        <v>32</v>
      </c>
      <c r="E976" s="4">
        <v>34801179</v>
      </c>
      <c r="F976">
        <v>43.94</v>
      </c>
      <c r="G976">
        <v>5.81</v>
      </c>
      <c r="H976">
        <v>348.57</v>
      </c>
      <c r="I976">
        <v>13.22</v>
      </c>
      <c r="J976" s="5">
        <v>46060</v>
      </c>
      <c r="K976">
        <f t="shared" si="15"/>
        <v>34.64</v>
      </c>
      <c r="L976" t="str" cm="1">
        <f t="array" ref="L976">_xlfn.IFS(E976&gt;=52000000,"Platinum",E976&gt;=37000000,"Gold",E976&gt;=30000000,"Sliver",E976&lt;30000000,"Bronze")</f>
        <v>Sliver</v>
      </c>
    </row>
    <row r="977" spans="1:12" x14ac:dyDescent="0.25">
      <c r="A977">
        <v>976</v>
      </c>
      <c r="B977" t="s">
        <v>997</v>
      </c>
      <c r="C977" t="s">
        <v>10</v>
      </c>
      <c r="D977" t="s">
        <v>17</v>
      </c>
      <c r="E977" s="4">
        <v>34335287</v>
      </c>
      <c r="F977">
        <v>43.44</v>
      </c>
      <c r="G977">
        <v>4.6399999999999997</v>
      </c>
      <c r="H977">
        <v>278.62</v>
      </c>
      <c r="I977">
        <v>10.69</v>
      </c>
      <c r="J977" s="5">
        <v>46060</v>
      </c>
      <c r="K977">
        <f t="shared" si="15"/>
        <v>33.630000000000003</v>
      </c>
      <c r="L977" t="str" cm="1">
        <f t="array" ref="L977">_xlfn.IFS(E977&gt;=52000000,"Platinum",E977&gt;=37000000,"Gold",E977&gt;=30000000,"Sliver",E977&lt;30000000,"Bronze")</f>
        <v>Sliver</v>
      </c>
    </row>
    <row r="978" spans="1:12" x14ac:dyDescent="0.25">
      <c r="A978">
        <v>977</v>
      </c>
      <c r="B978" t="s">
        <v>998</v>
      </c>
      <c r="C978" t="s">
        <v>27</v>
      </c>
      <c r="D978" t="s">
        <v>11</v>
      </c>
      <c r="E978" s="4">
        <v>28927919</v>
      </c>
      <c r="F978">
        <v>15.93</v>
      </c>
      <c r="G978">
        <v>16.86</v>
      </c>
      <c r="H978">
        <v>1011.71</v>
      </c>
      <c r="I978">
        <v>105.85</v>
      </c>
      <c r="J978" s="5">
        <v>46060</v>
      </c>
      <c r="K978">
        <f t="shared" si="15"/>
        <v>94.96</v>
      </c>
      <c r="L978" t="str" cm="1">
        <f t="array" ref="L978">_xlfn.IFS(E978&gt;=52000000,"Platinum",E978&gt;=37000000,"Gold",E978&gt;=30000000,"Sliver",E978&lt;30000000,"Bronze")</f>
        <v>Bronze</v>
      </c>
    </row>
    <row r="979" spans="1:12" x14ac:dyDescent="0.25">
      <c r="A979">
        <v>978</v>
      </c>
      <c r="B979" t="s">
        <v>999</v>
      </c>
      <c r="C979" s="1" t="s">
        <v>21</v>
      </c>
      <c r="D979" t="s">
        <v>25</v>
      </c>
      <c r="E979" s="4">
        <v>35728983</v>
      </c>
      <c r="F979">
        <v>39.81</v>
      </c>
      <c r="G979">
        <v>6.27</v>
      </c>
      <c r="H979">
        <v>376.38</v>
      </c>
      <c r="I979">
        <v>15.76</v>
      </c>
      <c r="J979" s="5">
        <v>46060</v>
      </c>
      <c r="K979">
        <f t="shared" si="15"/>
        <v>37.979999999999997</v>
      </c>
      <c r="L979" t="str" cm="1">
        <f t="array" ref="L979">_xlfn.IFS(E979&gt;=52000000,"Platinum",E979&gt;=37000000,"Gold",E979&gt;=30000000,"Sliver",E979&lt;30000000,"Bronze")</f>
        <v>Sliver</v>
      </c>
    </row>
    <row r="980" spans="1:12" x14ac:dyDescent="0.25">
      <c r="A980">
        <v>979</v>
      </c>
      <c r="B980" t="s">
        <v>1000</v>
      </c>
      <c r="C980" t="s">
        <v>21</v>
      </c>
      <c r="D980" t="s">
        <v>32</v>
      </c>
      <c r="E980" s="4">
        <v>35616904</v>
      </c>
      <c r="F980">
        <v>39.840000000000003</v>
      </c>
      <c r="G980">
        <v>1.6</v>
      </c>
      <c r="H980">
        <v>96.04</v>
      </c>
      <c r="I980">
        <v>4.0199999999999996</v>
      </c>
      <c r="J980" s="5">
        <v>46060</v>
      </c>
      <c r="K980">
        <f t="shared" si="15"/>
        <v>32.090000000000003</v>
      </c>
      <c r="L980" t="str" cm="1">
        <f t="array" ref="L980">_xlfn.IFS(E980&gt;=52000000,"Platinum",E980&gt;=37000000,"Gold",E980&gt;=30000000,"Sliver",E980&lt;30000000,"Bronze")</f>
        <v>Sliver</v>
      </c>
    </row>
    <row r="981" spans="1:12" x14ac:dyDescent="0.25">
      <c r="A981">
        <v>980</v>
      </c>
      <c r="B981" t="s">
        <v>1001</v>
      </c>
      <c r="C981" t="s">
        <v>27</v>
      </c>
      <c r="D981" t="s">
        <v>25</v>
      </c>
      <c r="E981" s="4">
        <v>31190834</v>
      </c>
      <c r="F981">
        <v>19.010000000000002</v>
      </c>
      <c r="G981">
        <v>27.44</v>
      </c>
      <c r="H981">
        <v>1646.62</v>
      </c>
      <c r="I981">
        <v>144.36000000000001</v>
      </c>
      <c r="J981" s="5">
        <v>46060</v>
      </c>
      <c r="K981">
        <f t="shared" si="15"/>
        <v>112.68</v>
      </c>
      <c r="L981" t="str" cm="1">
        <f t="array" ref="L981">_xlfn.IFS(E981&gt;=52000000,"Platinum",E981&gt;=37000000,"Gold",E981&gt;=30000000,"Sliver",E981&lt;30000000,"Bronze")</f>
        <v>Sliver</v>
      </c>
    </row>
    <row r="982" spans="1:12" x14ac:dyDescent="0.25">
      <c r="A982">
        <v>981</v>
      </c>
      <c r="B982" t="s">
        <v>1002</v>
      </c>
      <c r="C982" t="s">
        <v>19</v>
      </c>
      <c r="D982" t="s">
        <v>13</v>
      </c>
      <c r="E982" s="4">
        <v>33920711</v>
      </c>
      <c r="F982">
        <v>54.55</v>
      </c>
      <c r="G982">
        <v>7.11</v>
      </c>
      <c r="H982">
        <v>426.85</v>
      </c>
      <c r="I982">
        <v>13.04</v>
      </c>
      <c r="J982" s="5">
        <v>46060</v>
      </c>
      <c r="K982">
        <f t="shared" si="15"/>
        <v>29.25</v>
      </c>
      <c r="L982" t="str" cm="1">
        <f t="array" ref="L982">_xlfn.IFS(E982&gt;=52000000,"Platinum",E982&gt;=37000000,"Gold",E982&gt;=30000000,"Sliver",E982&lt;30000000,"Bronze")</f>
        <v>Sliver</v>
      </c>
    </row>
    <row r="983" spans="1:12" x14ac:dyDescent="0.25">
      <c r="A983">
        <v>982</v>
      </c>
      <c r="B983" t="s">
        <v>1003</v>
      </c>
      <c r="C983" t="s">
        <v>10</v>
      </c>
      <c r="D983" t="s">
        <v>22</v>
      </c>
      <c r="E983" s="4">
        <v>29038093</v>
      </c>
      <c r="F983">
        <v>38.659999999999997</v>
      </c>
      <c r="G983">
        <v>3.89</v>
      </c>
      <c r="H983">
        <v>233.4</v>
      </c>
      <c r="I983">
        <v>10.06</v>
      </c>
      <c r="J983" s="5">
        <v>46060</v>
      </c>
      <c r="K983">
        <f t="shared" si="15"/>
        <v>35.700000000000003</v>
      </c>
      <c r="L983" t="str" cm="1">
        <f t="array" ref="L983">_xlfn.IFS(E983&gt;=52000000,"Platinum",E983&gt;=37000000,"Gold",E983&gt;=30000000,"Sliver",E983&lt;30000000,"Bronze")</f>
        <v>Bronze</v>
      </c>
    </row>
    <row r="984" spans="1:12" x14ac:dyDescent="0.25">
      <c r="A984">
        <v>983</v>
      </c>
      <c r="B984" t="s">
        <v>1004</v>
      </c>
      <c r="C984" t="s">
        <v>46</v>
      </c>
      <c r="D984" t="s">
        <v>11</v>
      </c>
      <c r="E984" s="4">
        <v>32608052</v>
      </c>
      <c r="F984">
        <v>31.41</v>
      </c>
      <c r="G984">
        <v>2.52</v>
      </c>
      <c r="H984">
        <v>151.18</v>
      </c>
      <c r="I984">
        <v>8.02</v>
      </c>
      <c r="J984" s="5">
        <v>46060</v>
      </c>
      <c r="K984">
        <f t="shared" si="15"/>
        <v>38.31</v>
      </c>
      <c r="L984" t="str" cm="1">
        <f t="array" ref="L984">_xlfn.IFS(E984&gt;=52000000,"Platinum",E984&gt;=37000000,"Gold",E984&gt;=30000000,"Sliver",E984&lt;30000000,"Bronze")</f>
        <v>Sliver</v>
      </c>
    </row>
    <row r="985" spans="1:12" x14ac:dyDescent="0.25">
      <c r="A985">
        <v>984</v>
      </c>
      <c r="B985" t="s">
        <v>1005</v>
      </c>
      <c r="C985" t="s">
        <v>19</v>
      </c>
      <c r="D985" t="s">
        <v>25</v>
      </c>
      <c r="E985" s="4">
        <v>35329350</v>
      </c>
      <c r="F985">
        <v>57.79</v>
      </c>
      <c r="G985">
        <v>2.31</v>
      </c>
      <c r="H985">
        <v>138.56</v>
      </c>
      <c r="I985">
        <v>4</v>
      </c>
      <c r="J985" s="5">
        <v>46060</v>
      </c>
      <c r="K985">
        <f t="shared" si="15"/>
        <v>23.11</v>
      </c>
      <c r="L985" t="str" cm="1">
        <f t="array" ref="L985">_xlfn.IFS(E985&gt;=52000000,"Platinum",E985&gt;=37000000,"Gold",E985&gt;=30000000,"Sliver",E985&lt;30000000,"Bronze")</f>
        <v>Sliver</v>
      </c>
    </row>
    <row r="986" spans="1:12" x14ac:dyDescent="0.25">
      <c r="A986">
        <v>985</v>
      </c>
      <c r="B986" t="s">
        <v>1006</v>
      </c>
      <c r="C986" t="s">
        <v>29</v>
      </c>
      <c r="D986" t="s">
        <v>22</v>
      </c>
      <c r="E986" s="4">
        <v>36011908</v>
      </c>
      <c r="F986">
        <v>58.63</v>
      </c>
      <c r="G986">
        <v>3.44</v>
      </c>
      <c r="H986">
        <v>206.56</v>
      </c>
      <c r="I986">
        <v>5.87</v>
      </c>
      <c r="J986" s="5">
        <v>46060</v>
      </c>
      <c r="K986">
        <f t="shared" si="15"/>
        <v>23.62</v>
      </c>
      <c r="L986" t="str" cm="1">
        <f t="array" ref="L986">_xlfn.IFS(E986&gt;=52000000,"Platinum",E986&gt;=37000000,"Gold",E986&gt;=30000000,"Sliver",E986&lt;30000000,"Bronze")</f>
        <v>Sliver</v>
      </c>
    </row>
    <row r="987" spans="1:12" x14ac:dyDescent="0.25">
      <c r="A987">
        <v>986</v>
      </c>
      <c r="B987" t="s">
        <v>1007</v>
      </c>
      <c r="C987" t="s">
        <v>21</v>
      </c>
      <c r="D987" t="s">
        <v>17</v>
      </c>
      <c r="E987" s="4">
        <v>29562932</v>
      </c>
      <c r="F987">
        <v>35.799999999999997</v>
      </c>
      <c r="G987">
        <v>2.65</v>
      </c>
      <c r="H987">
        <v>158.88</v>
      </c>
      <c r="I987">
        <v>7.4</v>
      </c>
      <c r="J987" s="5">
        <v>46060</v>
      </c>
      <c r="K987">
        <f t="shared" si="15"/>
        <v>35.799999999999997</v>
      </c>
      <c r="L987" t="str" cm="1">
        <f t="array" ref="L987">_xlfn.IFS(E987&gt;=52000000,"Platinum",E987&gt;=37000000,"Gold",E987&gt;=30000000,"Sliver",E987&lt;30000000,"Bronze")</f>
        <v>Bronze</v>
      </c>
    </row>
    <row r="988" spans="1:12" x14ac:dyDescent="0.25">
      <c r="A988">
        <v>987</v>
      </c>
      <c r="B988" t="s">
        <v>1008</v>
      </c>
      <c r="C988" t="s">
        <v>10</v>
      </c>
      <c r="D988" t="s">
        <v>13</v>
      </c>
      <c r="E988" s="4">
        <v>34221263</v>
      </c>
      <c r="F988">
        <v>51.81</v>
      </c>
      <c r="G988">
        <v>2.25</v>
      </c>
      <c r="H988">
        <v>134.72</v>
      </c>
      <c r="I988">
        <v>4.33</v>
      </c>
      <c r="J988" s="5">
        <v>46060</v>
      </c>
      <c r="K988">
        <f t="shared" si="15"/>
        <v>26.26</v>
      </c>
      <c r="L988" t="str" cm="1">
        <f t="array" ref="L988">_xlfn.IFS(E988&gt;=52000000,"Platinum",E988&gt;=37000000,"Gold",E988&gt;=30000000,"Sliver",E988&lt;30000000,"Bronze")</f>
        <v>Sliver</v>
      </c>
    </row>
    <row r="989" spans="1:12" x14ac:dyDescent="0.25">
      <c r="A989">
        <v>988</v>
      </c>
      <c r="B989" t="s">
        <v>1009</v>
      </c>
      <c r="C989" t="s">
        <v>46</v>
      </c>
      <c r="D989" t="s">
        <v>13</v>
      </c>
      <c r="E989" s="4">
        <v>36218724</v>
      </c>
      <c r="F989">
        <v>42</v>
      </c>
      <c r="G989">
        <v>5.12</v>
      </c>
      <c r="H989">
        <v>307.11</v>
      </c>
      <c r="I989">
        <v>12.19</v>
      </c>
      <c r="J989" s="5">
        <v>46060</v>
      </c>
      <c r="K989">
        <f t="shared" si="15"/>
        <v>35.1</v>
      </c>
      <c r="L989" t="str" cm="1">
        <f t="array" ref="L989">_xlfn.IFS(E989&gt;=52000000,"Platinum",E989&gt;=37000000,"Gold",E989&gt;=30000000,"Sliver",E989&lt;30000000,"Bronze")</f>
        <v>Sliver</v>
      </c>
    </row>
    <row r="990" spans="1:12" x14ac:dyDescent="0.25">
      <c r="A990">
        <v>989</v>
      </c>
      <c r="B990" t="s">
        <v>1010</v>
      </c>
      <c r="C990" t="s">
        <v>29</v>
      </c>
      <c r="D990" t="s">
        <v>13</v>
      </c>
      <c r="E990" s="4">
        <v>28977318</v>
      </c>
      <c r="F990">
        <v>58.36</v>
      </c>
      <c r="G990">
        <v>7.17</v>
      </c>
      <c r="H990">
        <v>429.9</v>
      </c>
      <c r="I990">
        <v>12.28</v>
      </c>
      <c r="J990" s="5">
        <v>46060</v>
      </c>
      <c r="K990">
        <f t="shared" si="15"/>
        <v>26.96</v>
      </c>
      <c r="L990" t="str" cm="1">
        <f t="array" ref="L990">_xlfn.IFS(E990&gt;=52000000,"Platinum",E990&gt;=37000000,"Gold",E990&gt;=30000000,"Sliver",E990&lt;30000000,"Bronze")</f>
        <v>Bronze</v>
      </c>
    </row>
    <row r="991" spans="1:12" x14ac:dyDescent="0.25">
      <c r="A991">
        <v>990</v>
      </c>
      <c r="B991" t="s">
        <v>1011</v>
      </c>
      <c r="C991" t="s">
        <v>46</v>
      </c>
      <c r="D991" t="s">
        <v>11</v>
      </c>
      <c r="E991" s="4">
        <v>33483776</v>
      </c>
      <c r="F991">
        <v>41.83</v>
      </c>
      <c r="G991">
        <v>8.19</v>
      </c>
      <c r="H991">
        <v>491.53</v>
      </c>
      <c r="I991">
        <v>19.579999999999998</v>
      </c>
      <c r="J991" s="5">
        <v>46060</v>
      </c>
      <c r="K991">
        <f t="shared" si="15"/>
        <v>38.880000000000003</v>
      </c>
      <c r="L991" t="str" cm="1">
        <f t="array" ref="L991">_xlfn.IFS(E991&gt;=52000000,"Platinum",E991&gt;=37000000,"Gold",E991&gt;=30000000,"Sliver",E991&lt;30000000,"Bronze")</f>
        <v>Sliver</v>
      </c>
    </row>
    <row r="992" spans="1:12" x14ac:dyDescent="0.25">
      <c r="A992">
        <v>991</v>
      </c>
      <c r="B992" t="s">
        <v>1012</v>
      </c>
      <c r="C992" t="s">
        <v>16</v>
      </c>
      <c r="D992" t="s">
        <v>22</v>
      </c>
      <c r="E992" s="4">
        <v>35162116</v>
      </c>
      <c r="F992">
        <v>30.26</v>
      </c>
      <c r="G992">
        <v>4.82</v>
      </c>
      <c r="H992">
        <v>289.11</v>
      </c>
      <c r="I992">
        <v>15.92</v>
      </c>
      <c r="J992" s="5">
        <v>46060</v>
      </c>
      <c r="K992">
        <f t="shared" si="15"/>
        <v>42.83</v>
      </c>
      <c r="L992" t="str" cm="1">
        <f t="array" ref="L992">_xlfn.IFS(E992&gt;=52000000,"Platinum",E992&gt;=37000000,"Gold",E992&gt;=30000000,"Sliver",E992&lt;30000000,"Bronze")</f>
        <v>Sliver</v>
      </c>
    </row>
    <row r="993" spans="1:12" x14ac:dyDescent="0.25">
      <c r="A993">
        <v>992</v>
      </c>
      <c r="B993" t="s">
        <v>1013</v>
      </c>
      <c r="C993" t="s">
        <v>16</v>
      </c>
      <c r="D993" t="s">
        <v>17</v>
      </c>
      <c r="E993" s="4">
        <v>29489725</v>
      </c>
      <c r="F993">
        <v>49.05</v>
      </c>
      <c r="G993">
        <v>9.1199999999999992</v>
      </c>
      <c r="H993">
        <v>547.29999999999995</v>
      </c>
      <c r="I993">
        <v>18.600000000000001</v>
      </c>
      <c r="J993" s="5">
        <v>46060</v>
      </c>
      <c r="K993">
        <f t="shared" si="15"/>
        <v>34.78</v>
      </c>
      <c r="L993" t="str" cm="1">
        <f t="array" ref="L993">_xlfn.IFS(E993&gt;=52000000,"Platinum",E993&gt;=37000000,"Gold",E993&gt;=30000000,"Sliver",E993&lt;30000000,"Bronze")</f>
        <v>Bronze</v>
      </c>
    </row>
    <row r="994" spans="1:12" x14ac:dyDescent="0.25">
      <c r="A994">
        <v>993</v>
      </c>
      <c r="B994" t="s">
        <v>1014</v>
      </c>
      <c r="C994" t="s">
        <v>10</v>
      </c>
      <c r="D994" t="s">
        <v>22</v>
      </c>
      <c r="E994" s="4">
        <v>33277802</v>
      </c>
      <c r="F994">
        <v>47.7</v>
      </c>
      <c r="G994">
        <v>5.94</v>
      </c>
      <c r="H994">
        <v>356.27</v>
      </c>
      <c r="I994">
        <v>12.45</v>
      </c>
      <c r="J994" s="5">
        <v>46060</v>
      </c>
      <c r="K994">
        <f t="shared" si="15"/>
        <v>32.380000000000003</v>
      </c>
      <c r="L994" t="str" cm="1">
        <f t="array" ref="L994">_xlfn.IFS(E994&gt;=52000000,"Platinum",E994&gt;=37000000,"Gold",E994&gt;=30000000,"Sliver",E994&lt;30000000,"Bronze")</f>
        <v>Sliver</v>
      </c>
    </row>
    <row r="995" spans="1:12" x14ac:dyDescent="0.25">
      <c r="A995">
        <v>994</v>
      </c>
      <c r="B995" t="s">
        <v>1015</v>
      </c>
      <c r="C995" t="s">
        <v>21</v>
      </c>
      <c r="D995" t="s">
        <v>11</v>
      </c>
      <c r="E995" s="4">
        <v>28184773</v>
      </c>
      <c r="F995">
        <v>44.8</v>
      </c>
      <c r="G995">
        <v>2.48</v>
      </c>
      <c r="H995">
        <v>148.57</v>
      </c>
      <c r="I995">
        <v>5.53</v>
      </c>
      <c r="J995" s="5">
        <v>46060</v>
      </c>
      <c r="K995">
        <f t="shared" si="15"/>
        <v>30.37</v>
      </c>
      <c r="L995" t="str" cm="1">
        <f t="array" ref="L995">_xlfn.IFS(E995&gt;=52000000,"Platinum",E995&gt;=37000000,"Gold",E995&gt;=30000000,"Sliver",E995&lt;30000000,"Bronze")</f>
        <v>Bronze</v>
      </c>
    </row>
    <row r="996" spans="1:12" x14ac:dyDescent="0.25">
      <c r="A996">
        <v>995</v>
      </c>
      <c r="B996" t="s">
        <v>1016</v>
      </c>
      <c r="C996" t="s">
        <v>10</v>
      </c>
      <c r="D996" t="s">
        <v>17</v>
      </c>
      <c r="E996" s="4">
        <v>36405581</v>
      </c>
      <c r="F996">
        <v>41.99</v>
      </c>
      <c r="G996">
        <v>4.43</v>
      </c>
      <c r="H996">
        <v>266.02</v>
      </c>
      <c r="I996">
        <v>10.56</v>
      </c>
      <c r="J996" s="5">
        <v>46060</v>
      </c>
      <c r="K996">
        <f t="shared" si="15"/>
        <v>34.29</v>
      </c>
      <c r="L996" t="str" cm="1">
        <f t="array" ref="L996">_xlfn.IFS(E996&gt;=52000000,"Platinum",E996&gt;=37000000,"Gold",E996&gt;=30000000,"Sliver",E996&lt;30000000,"Bronze")</f>
        <v>Sliver</v>
      </c>
    </row>
    <row r="997" spans="1:12" x14ac:dyDescent="0.25">
      <c r="A997">
        <v>996</v>
      </c>
      <c r="B997" t="s">
        <v>1017</v>
      </c>
      <c r="C997" t="s">
        <v>16</v>
      </c>
      <c r="D997" t="s">
        <v>13</v>
      </c>
      <c r="E997" s="4">
        <v>34294432</v>
      </c>
      <c r="F997">
        <v>34.450000000000003</v>
      </c>
      <c r="G997">
        <v>7.94</v>
      </c>
      <c r="H997">
        <v>476.27</v>
      </c>
      <c r="I997">
        <v>23.04</v>
      </c>
      <c r="J997" s="5">
        <v>46060</v>
      </c>
      <c r="K997">
        <f t="shared" si="15"/>
        <v>44.3</v>
      </c>
      <c r="L997" t="str" cm="1">
        <f t="array" ref="L997">_xlfn.IFS(E997&gt;=52000000,"Platinum",E997&gt;=37000000,"Gold",E997&gt;=30000000,"Sliver",E997&lt;30000000,"Bronze")</f>
        <v>Sliver</v>
      </c>
    </row>
    <row r="998" spans="1:12" x14ac:dyDescent="0.25">
      <c r="A998">
        <v>997</v>
      </c>
      <c r="B998" t="s">
        <v>1018</v>
      </c>
      <c r="C998" t="s">
        <v>27</v>
      </c>
      <c r="D998" t="s">
        <v>32</v>
      </c>
      <c r="E998" s="4">
        <v>31547966</v>
      </c>
      <c r="F998">
        <v>27.69</v>
      </c>
      <c r="G998">
        <v>28.24</v>
      </c>
      <c r="H998">
        <v>1694.14</v>
      </c>
      <c r="I998">
        <v>101.97</v>
      </c>
      <c r="J998" s="5">
        <v>46060</v>
      </c>
      <c r="K998">
        <f t="shared" si="15"/>
        <v>87.14</v>
      </c>
      <c r="L998" t="str" cm="1">
        <f t="array" ref="L998">_xlfn.IFS(E998&gt;=52000000,"Platinum",E998&gt;=37000000,"Gold",E998&gt;=30000000,"Sliver",E998&lt;30000000,"Bronze")</f>
        <v>Sliver</v>
      </c>
    </row>
    <row r="999" spans="1:12" x14ac:dyDescent="0.25">
      <c r="A999">
        <v>998</v>
      </c>
      <c r="B999" t="s">
        <v>1019</v>
      </c>
      <c r="C999" t="s">
        <v>27</v>
      </c>
      <c r="D999" t="s">
        <v>17</v>
      </c>
      <c r="E999" s="4">
        <v>31512411</v>
      </c>
      <c r="F999">
        <v>26</v>
      </c>
      <c r="G999">
        <v>5.72</v>
      </c>
      <c r="H999" s="1">
        <f>CALCULATION!$D$11</f>
        <v>343.315</v>
      </c>
      <c r="I999">
        <v>73.77</v>
      </c>
      <c r="J999" s="5">
        <v>46060</v>
      </c>
      <c r="K999">
        <f t="shared" si="15"/>
        <v>73.89</v>
      </c>
      <c r="L999" t="str" cm="1">
        <f t="array" ref="L999">_xlfn.IFS(E999&gt;=52000000,"Platinum",E999&gt;=37000000,"Gold",E999&gt;=30000000,"Sliver",E999&lt;30000000,"Bronze")</f>
        <v>Sliver</v>
      </c>
    </row>
    <row r="1000" spans="1:12" x14ac:dyDescent="0.25">
      <c r="A1000">
        <v>999</v>
      </c>
      <c r="B1000" t="s">
        <v>1020</v>
      </c>
      <c r="C1000" t="s">
        <v>19</v>
      </c>
      <c r="D1000" t="s">
        <v>17</v>
      </c>
      <c r="E1000" s="4">
        <v>34425268</v>
      </c>
      <c r="F1000" s="1">
        <f>CALCULATION!$C$11</f>
        <v>42.81</v>
      </c>
      <c r="G1000" s="1">
        <v>8.08</v>
      </c>
      <c r="H1000">
        <v>484.96</v>
      </c>
      <c r="I1000">
        <v>16.809999999999999</v>
      </c>
      <c r="J1000" s="5">
        <v>46060</v>
      </c>
      <c r="K1000">
        <f t="shared" si="15"/>
        <v>37</v>
      </c>
      <c r="L1000" t="str" cm="1">
        <f t="array" ref="L1000">_xlfn.IFS(E1000&gt;=52000000,"Platinum",E1000&gt;=37000000,"Gold",E1000&gt;=30000000,"Sliver",E1000&lt;30000000,"Bronze")</f>
        <v>Sliver</v>
      </c>
    </row>
    <row r="1001" spans="1:12" x14ac:dyDescent="0.25">
      <c r="A1001">
        <v>1000</v>
      </c>
      <c r="B1001" t="s">
        <v>1021</v>
      </c>
      <c r="C1001" t="s">
        <v>16</v>
      </c>
      <c r="D1001" t="s">
        <v>32</v>
      </c>
      <c r="E1001" s="4">
        <v>35063408</v>
      </c>
      <c r="F1001">
        <v>58.05</v>
      </c>
      <c r="G1001">
        <v>3.48</v>
      </c>
      <c r="H1001">
        <v>208.87</v>
      </c>
      <c r="I1001">
        <v>6</v>
      </c>
      <c r="J1001" s="5">
        <v>46060</v>
      </c>
      <c r="K1001">
        <f t="shared" si="15"/>
        <v>23.98</v>
      </c>
      <c r="L1001" t="str" cm="1">
        <f t="array" ref="L1001">_xlfn.IFS(E1001&gt;=52000000,"Platinum",E1001&gt;=37000000,"Gold",E1001&gt;=30000000,"Sliver",E1001&lt;30000000,"Bronze")</f>
        <v>Sliver</v>
      </c>
    </row>
    <row r="1002" spans="1:12" x14ac:dyDescent="0.25">
      <c r="A1002">
        <v>1001</v>
      </c>
      <c r="B1002" t="s">
        <v>1022</v>
      </c>
      <c r="C1002" t="s">
        <v>46</v>
      </c>
      <c r="D1002" t="s">
        <v>25</v>
      </c>
      <c r="E1002" s="4">
        <v>31825487</v>
      </c>
      <c r="F1002">
        <v>50.59</v>
      </c>
      <c r="G1002">
        <v>3.73</v>
      </c>
      <c r="H1002">
        <v>223.79</v>
      </c>
      <c r="I1002">
        <v>7.37</v>
      </c>
      <c r="J1002" s="5">
        <v>46060</v>
      </c>
      <c r="K1002">
        <f t="shared" si="15"/>
        <v>28.39</v>
      </c>
      <c r="L1002" t="str" cm="1">
        <f t="array" ref="L1002">_xlfn.IFS(E1002&gt;=52000000,"Platinum",E1002&gt;=37000000,"Gold",E1002&gt;=30000000,"Sliver",E1002&lt;30000000,"Bronze")</f>
        <v>Sliver</v>
      </c>
    </row>
    <row r="1003" spans="1:12" x14ac:dyDescent="0.25">
      <c r="A1003">
        <v>1002</v>
      </c>
      <c r="B1003" t="s">
        <v>1023</v>
      </c>
      <c r="C1003" t="s">
        <v>21</v>
      </c>
      <c r="D1003" t="s">
        <v>25</v>
      </c>
      <c r="E1003" s="4">
        <v>34211551</v>
      </c>
      <c r="F1003">
        <v>41.26</v>
      </c>
      <c r="G1003">
        <v>1.99</v>
      </c>
      <c r="H1003">
        <v>119.11</v>
      </c>
      <c r="I1003">
        <v>4.8099999999999996</v>
      </c>
      <c r="J1003" s="5">
        <v>46060</v>
      </c>
      <c r="K1003">
        <f t="shared" si="15"/>
        <v>31.78</v>
      </c>
      <c r="L1003" t="str" cm="1">
        <f t="array" ref="L1003">_xlfn.IFS(E1003&gt;=52000000,"Platinum",E1003&gt;=37000000,"Gold",E1003&gt;=30000000,"Sliver",E1003&lt;30000000,"Bronze")</f>
        <v>Sliver</v>
      </c>
    </row>
    <row r="1004" spans="1:12" x14ac:dyDescent="0.25">
      <c r="A1004">
        <v>1003</v>
      </c>
      <c r="B1004" t="s">
        <v>1024</v>
      </c>
      <c r="C1004" t="s">
        <v>10</v>
      </c>
      <c r="D1004" t="s">
        <v>25</v>
      </c>
      <c r="E1004" s="4">
        <v>27590693</v>
      </c>
      <c r="F1004">
        <v>33.44</v>
      </c>
      <c r="G1004">
        <v>7.72</v>
      </c>
      <c r="H1004">
        <v>463.31</v>
      </c>
      <c r="I1004">
        <v>23.09</v>
      </c>
      <c r="J1004" s="5">
        <v>46060</v>
      </c>
      <c r="K1004">
        <f t="shared" si="15"/>
        <v>44.83</v>
      </c>
      <c r="L1004" t="str" cm="1">
        <f t="array" ref="L1004">_xlfn.IFS(E1004&gt;=52000000,"Platinum",E1004&gt;=37000000,"Gold",E1004&gt;=30000000,"Sliver",E1004&lt;30000000,"Bronze")</f>
        <v>Bronze</v>
      </c>
    </row>
    <row r="1005" spans="1:12" x14ac:dyDescent="0.25">
      <c r="A1005">
        <v>1004</v>
      </c>
      <c r="B1005" t="s">
        <v>1025</v>
      </c>
      <c r="C1005" t="s">
        <v>29</v>
      </c>
      <c r="D1005" t="s">
        <v>11</v>
      </c>
      <c r="E1005" s="4">
        <v>35870555</v>
      </c>
      <c r="F1005">
        <v>43.09</v>
      </c>
      <c r="G1005">
        <v>7.02</v>
      </c>
      <c r="H1005">
        <v>421.42</v>
      </c>
      <c r="I1005">
        <v>16.3</v>
      </c>
      <c r="J1005" s="5">
        <v>46060</v>
      </c>
      <c r="K1005">
        <f t="shared" si="15"/>
        <v>36.61</v>
      </c>
      <c r="L1005" t="str" cm="1">
        <f t="array" ref="L1005">_xlfn.IFS(E1005&gt;=52000000,"Platinum",E1005&gt;=37000000,"Gold",E1005&gt;=30000000,"Sliver",E1005&lt;30000000,"Bronze")</f>
        <v>Sliver</v>
      </c>
    </row>
    <row r="1006" spans="1:12" x14ac:dyDescent="0.25">
      <c r="A1006">
        <v>1005</v>
      </c>
      <c r="B1006" t="s">
        <v>1026</v>
      </c>
      <c r="C1006" t="s">
        <v>16</v>
      </c>
      <c r="D1006" t="s">
        <v>17</v>
      </c>
      <c r="E1006" s="4">
        <v>28147907</v>
      </c>
      <c r="F1006">
        <v>36.229999999999997</v>
      </c>
      <c r="G1006">
        <v>3.24</v>
      </c>
      <c r="H1006">
        <v>194.48</v>
      </c>
      <c r="I1006">
        <v>8.9499999999999993</v>
      </c>
      <c r="J1006" s="5">
        <v>46060</v>
      </c>
      <c r="K1006">
        <f t="shared" si="15"/>
        <v>36.36</v>
      </c>
      <c r="L1006" t="str" cm="1">
        <f t="array" ref="L1006">_xlfn.IFS(E1006&gt;=52000000,"Platinum",E1006&gt;=37000000,"Gold",E1006&gt;=30000000,"Sliver",E1006&lt;30000000,"Bronze")</f>
        <v>Bronze</v>
      </c>
    </row>
    <row r="1007" spans="1:12" x14ac:dyDescent="0.25">
      <c r="A1007">
        <v>1006</v>
      </c>
      <c r="B1007" t="s">
        <v>1027</v>
      </c>
      <c r="C1007" t="s">
        <v>16</v>
      </c>
      <c r="D1007" t="s">
        <v>32</v>
      </c>
      <c r="E1007" s="4">
        <v>27627401</v>
      </c>
      <c r="F1007">
        <v>48.58</v>
      </c>
      <c r="G1007">
        <v>7.15</v>
      </c>
      <c r="H1007">
        <v>428.77</v>
      </c>
      <c r="I1007">
        <v>14.71</v>
      </c>
      <c r="J1007" s="5">
        <v>46060</v>
      </c>
      <c r="K1007">
        <f t="shared" si="15"/>
        <v>33.07</v>
      </c>
      <c r="L1007" t="str" cm="1">
        <f t="array" ref="L1007">_xlfn.IFS(E1007&gt;=52000000,"Platinum",E1007&gt;=37000000,"Gold",E1007&gt;=30000000,"Sliver",E1007&lt;30000000,"Bronze")</f>
        <v>Bronze</v>
      </c>
    </row>
    <row r="1008" spans="1:12" x14ac:dyDescent="0.25">
      <c r="A1008">
        <v>1007</v>
      </c>
      <c r="B1008" t="s">
        <v>1028</v>
      </c>
      <c r="C1008" t="s">
        <v>46</v>
      </c>
      <c r="D1008" t="s">
        <v>17</v>
      </c>
      <c r="E1008" s="4">
        <v>25415316</v>
      </c>
      <c r="F1008">
        <v>57.03</v>
      </c>
      <c r="G1008">
        <v>3.81</v>
      </c>
      <c r="H1008">
        <v>228.78</v>
      </c>
      <c r="I1008">
        <v>6.69</v>
      </c>
      <c r="J1008" s="5">
        <v>46060</v>
      </c>
      <c r="K1008">
        <f t="shared" si="15"/>
        <v>24.83</v>
      </c>
      <c r="L1008" t="str" cm="1">
        <f t="array" ref="L1008">_xlfn.IFS(E1008&gt;=52000000,"Platinum",E1008&gt;=37000000,"Gold",E1008&gt;=30000000,"Sliver",E1008&lt;30000000,"Bronze")</f>
        <v>Bronze</v>
      </c>
    </row>
    <row r="1009" spans="1:12" x14ac:dyDescent="0.25">
      <c r="A1009">
        <v>1008</v>
      </c>
      <c r="B1009" t="s">
        <v>1029</v>
      </c>
      <c r="C1009" t="s">
        <v>19</v>
      </c>
      <c r="D1009" t="s">
        <v>25</v>
      </c>
      <c r="E1009" s="4">
        <v>31739148</v>
      </c>
      <c r="F1009">
        <v>48.57</v>
      </c>
      <c r="G1009">
        <v>2.67</v>
      </c>
      <c r="H1009">
        <v>160.27000000000001</v>
      </c>
      <c r="I1009">
        <v>5.5</v>
      </c>
      <c r="J1009" s="5">
        <v>46060</v>
      </c>
      <c r="K1009">
        <f t="shared" si="15"/>
        <v>28.47</v>
      </c>
      <c r="L1009" t="str" cm="1">
        <f t="array" ref="L1009">_xlfn.IFS(E1009&gt;=52000000,"Platinum",E1009&gt;=37000000,"Gold",E1009&gt;=30000000,"Sliver",E1009&lt;30000000,"Bronze")</f>
        <v>Sliver</v>
      </c>
    </row>
    <row r="1010" spans="1:12" x14ac:dyDescent="0.25">
      <c r="A1010">
        <v>1009</v>
      </c>
      <c r="B1010" t="s">
        <v>1030</v>
      </c>
      <c r="C1010" t="s">
        <v>29</v>
      </c>
      <c r="D1010" t="s">
        <v>25</v>
      </c>
      <c r="E1010" s="4">
        <v>29181804</v>
      </c>
      <c r="F1010">
        <v>44.61</v>
      </c>
      <c r="G1010">
        <v>7.52</v>
      </c>
      <c r="H1010">
        <v>451.43</v>
      </c>
      <c r="I1010">
        <v>16.87</v>
      </c>
      <c r="J1010" s="5">
        <v>46060</v>
      </c>
      <c r="K1010">
        <f t="shared" si="15"/>
        <v>36.130000000000003</v>
      </c>
      <c r="L1010" t="str" cm="1">
        <f t="array" ref="L1010">_xlfn.IFS(E1010&gt;=52000000,"Platinum",E1010&gt;=37000000,"Gold",E1010&gt;=30000000,"Sliver",E1010&lt;30000000,"Bronze")</f>
        <v>Bronze</v>
      </c>
    </row>
    <row r="1011" spans="1:12" x14ac:dyDescent="0.25">
      <c r="A1011">
        <v>1010</v>
      </c>
      <c r="B1011" t="s">
        <v>1031</v>
      </c>
      <c r="C1011" t="s">
        <v>10</v>
      </c>
      <c r="D1011" t="s">
        <v>22</v>
      </c>
      <c r="E1011" s="4">
        <v>26109529</v>
      </c>
      <c r="F1011">
        <v>31.49</v>
      </c>
      <c r="G1011">
        <v>5.0999999999999996</v>
      </c>
      <c r="H1011">
        <v>305.74</v>
      </c>
      <c r="I1011">
        <v>16.18</v>
      </c>
      <c r="J1011" s="5">
        <v>46060</v>
      </c>
      <c r="K1011">
        <f t="shared" si="15"/>
        <v>42.35</v>
      </c>
      <c r="L1011" t="str" cm="1">
        <f t="array" ref="L1011">_xlfn.IFS(E1011&gt;=52000000,"Platinum",E1011&gt;=37000000,"Gold",E1011&gt;=30000000,"Sliver",E1011&lt;30000000,"Bronze")</f>
        <v>Bronze</v>
      </c>
    </row>
    <row r="1012" spans="1:12" x14ac:dyDescent="0.25">
      <c r="A1012">
        <v>1011</v>
      </c>
      <c r="B1012" t="s">
        <v>1032</v>
      </c>
      <c r="C1012" t="s">
        <v>21</v>
      </c>
      <c r="D1012" t="s">
        <v>22</v>
      </c>
      <c r="E1012" s="4">
        <v>35729396</v>
      </c>
      <c r="F1012">
        <v>36.43</v>
      </c>
      <c r="G1012">
        <v>2.67</v>
      </c>
      <c r="H1012">
        <v>160.44</v>
      </c>
      <c r="I1012">
        <v>7.34</v>
      </c>
      <c r="J1012" s="5">
        <v>46060</v>
      </c>
      <c r="K1012">
        <f t="shared" si="15"/>
        <v>35.46</v>
      </c>
      <c r="L1012" t="str" cm="1">
        <f t="array" ref="L1012">_xlfn.IFS(E1012&gt;=52000000,"Platinum",E1012&gt;=37000000,"Gold",E1012&gt;=30000000,"Sliver",E1012&lt;30000000,"Bronze")</f>
        <v>Sliver</v>
      </c>
    </row>
    <row r="1013" spans="1:12" x14ac:dyDescent="0.25">
      <c r="A1013">
        <v>1012</v>
      </c>
      <c r="B1013" t="s">
        <v>1033</v>
      </c>
      <c r="C1013" t="s">
        <v>21</v>
      </c>
      <c r="D1013" t="s">
        <v>22</v>
      </c>
      <c r="E1013" s="4">
        <v>33762878</v>
      </c>
      <c r="F1013">
        <v>45.68</v>
      </c>
      <c r="G1013">
        <v>2.29</v>
      </c>
      <c r="H1013">
        <v>137.43</v>
      </c>
      <c r="I1013">
        <v>5.01</v>
      </c>
      <c r="J1013" s="5">
        <v>46060</v>
      </c>
      <c r="K1013">
        <f t="shared" si="15"/>
        <v>29.67</v>
      </c>
      <c r="L1013" t="str" cm="1">
        <f t="array" ref="L1013">_xlfn.IFS(E1013&gt;=52000000,"Platinum",E1013&gt;=37000000,"Gold",E1013&gt;=30000000,"Sliver",E1013&lt;30000000,"Bronze")</f>
        <v>Sliver</v>
      </c>
    </row>
    <row r="1014" spans="1:12" x14ac:dyDescent="0.25">
      <c r="A1014">
        <v>1013</v>
      </c>
      <c r="B1014" t="s">
        <v>1034</v>
      </c>
      <c r="C1014" t="s">
        <v>21</v>
      </c>
      <c r="D1014" t="s">
        <v>22</v>
      </c>
      <c r="E1014" s="4">
        <v>28030258</v>
      </c>
      <c r="F1014">
        <v>48.35</v>
      </c>
      <c r="G1014">
        <v>2.74</v>
      </c>
      <c r="H1014">
        <v>164.65</v>
      </c>
      <c r="I1014">
        <v>5.68</v>
      </c>
      <c r="J1014" s="5">
        <v>46060</v>
      </c>
      <c r="K1014">
        <f t="shared" si="15"/>
        <v>28.67</v>
      </c>
      <c r="L1014" t="str" cm="1">
        <f t="array" ref="L1014">_xlfn.IFS(E1014&gt;=52000000,"Platinum",E1014&gt;=37000000,"Gold",E1014&gt;=30000000,"Sliver",E1014&lt;30000000,"Bronze")</f>
        <v>Bronze</v>
      </c>
    </row>
    <row r="1015" spans="1:12" x14ac:dyDescent="0.25">
      <c r="A1015">
        <v>1014</v>
      </c>
      <c r="B1015" t="s">
        <v>1035</v>
      </c>
      <c r="C1015" t="s">
        <v>29</v>
      </c>
      <c r="D1015" t="s">
        <v>32</v>
      </c>
      <c r="E1015" s="4">
        <v>32360713</v>
      </c>
      <c r="F1015">
        <v>48.88</v>
      </c>
      <c r="G1015">
        <v>5.24</v>
      </c>
      <c r="H1015">
        <v>314.37</v>
      </c>
      <c r="I1015">
        <v>10.72</v>
      </c>
      <c r="J1015" s="5">
        <v>46060</v>
      </c>
      <c r="K1015">
        <f t="shared" si="15"/>
        <v>30.92</v>
      </c>
      <c r="L1015" t="str" cm="1">
        <f t="array" ref="L1015">_xlfn.IFS(E1015&gt;=52000000,"Platinum",E1015&gt;=37000000,"Gold",E1015&gt;=30000000,"Sliver",E1015&lt;30000000,"Bronze")</f>
        <v>Sliver</v>
      </c>
    </row>
    <row r="1016" spans="1:12" x14ac:dyDescent="0.25">
      <c r="A1016">
        <v>1015</v>
      </c>
      <c r="B1016" t="s">
        <v>1036</v>
      </c>
      <c r="C1016" t="s">
        <v>10</v>
      </c>
      <c r="D1016" t="s">
        <v>22</v>
      </c>
      <c r="E1016" s="4">
        <v>31279636</v>
      </c>
      <c r="F1016">
        <v>30.1</v>
      </c>
      <c r="G1016">
        <v>7.75</v>
      </c>
      <c r="H1016">
        <v>464.98</v>
      </c>
      <c r="I1016">
        <v>25.75</v>
      </c>
      <c r="J1016" s="5">
        <v>46060</v>
      </c>
      <c r="K1016">
        <f t="shared" si="15"/>
        <v>47.83</v>
      </c>
      <c r="L1016" t="str" cm="1">
        <f t="array" ref="L1016">_xlfn.IFS(E1016&gt;=52000000,"Platinum",E1016&gt;=37000000,"Gold",E1016&gt;=30000000,"Sliver",E1016&lt;30000000,"Bronze")</f>
        <v>Sliver</v>
      </c>
    </row>
    <row r="1017" spans="1:12" x14ac:dyDescent="0.25">
      <c r="A1017">
        <v>1016</v>
      </c>
      <c r="B1017" t="s">
        <v>1037</v>
      </c>
      <c r="C1017" t="s">
        <v>16</v>
      </c>
      <c r="D1017" t="s">
        <v>22</v>
      </c>
      <c r="E1017" s="4">
        <v>35488475</v>
      </c>
      <c r="F1017">
        <v>47.43</v>
      </c>
      <c r="G1017">
        <v>9.83</v>
      </c>
      <c r="H1017">
        <v>589.9</v>
      </c>
      <c r="I1017">
        <v>20.73</v>
      </c>
      <c r="J1017" s="5">
        <v>46060</v>
      </c>
      <c r="K1017">
        <f t="shared" si="15"/>
        <v>36.65</v>
      </c>
      <c r="L1017" t="str" cm="1">
        <f t="array" ref="L1017">_xlfn.IFS(E1017&gt;=52000000,"Platinum",E1017&gt;=37000000,"Gold",E1017&gt;=30000000,"Sliver",E1017&lt;30000000,"Bronze")</f>
        <v>Sliver</v>
      </c>
    </row>
    <row r="1018" spans="1:12" x14ac:dyDescent="0.25">
      <c r="A1018">
        <v>1017</v>
      </c>
      <c r="B1018" t="s">
        <v>1038</v>
      </c>
      <c r="C1018" t="s">
        <v>21</v>
      </c>
      <c r="D1018" t="s">
        <v>25</v>
      </c>
      <c r="E1018" s="4">
        <v>29457928</v>
      </c>
      <c r="F1018">
        <v>44.29</v>
      </c>
      <c r="G1018">
        <v>1.76</v>
      </c>
      <c r="H1018">
        <v>105.81</v>
      </c>
      <c r="I1018">
        <v>3.98</v>
      </c>
      <c r="J1018" s="5">
        <v>46060</v>
      </c>
      <c r="K1018">
        <f t="shared" si="15"/>
        <v>29.85</v>
      </c>
      <c r="L1018" t="str" cm="1">
        <f t="array" ref="L1018">_xlfn.IFS(E1018&gt;=52000000,"Platinum",E1018&gt;=37000000,"Gold",E1018&gt;=30000000,"Sliver",E1018&lt;30000000,"Bronze")</f>
        <v>Bronze</v>
      </c>
    </row>
    <row r="1019" spans="1:12" x14ac:dyDescent="0.25">
      <c r="A1019">
        <v>1018</v>
      </c>
      <c r="B1019" t="s">
        <v>1039</v>
      </c>
      <c r="C1019" t="s">
        <v>46</v>
      </c>
      <c r="D1019" t="s">
        <v>17</v>
      </c>
      <c r="E1019" s="4">
        <v>36508047</v>
      </c>
      <c r="F1019">
        <v>59.12</v>
      </c>
      <c r="G1019">
        <v>2.11</v>
      </c>
      <c r="H1019">
        <v>126.45</v>
      </c>
      <c r="I1019">
        <v>3.56</v>
      </c>
      <c r="J1019" s="5">
        <v>46060</v>
      </c>
      <c r="K1019">
        <f t="shared" si="15"/>
        <v>22.22</v>
      </c>
      <c r="L1019" t="str" cm="1">
        <f t="array" ref="L1019">_xlfn.IFS(E1019&gt;=52000000,"Platinum",E1019&gt;=37000000,"Gold",E1019&gt;=30000000,"Sliver",E1019&lt;30000000,"Bronze")</f>
        <v>Sliver</v>
      </c>
    </row>
    <row r="1020" spans="1:12" x14ac:dyDescent="0.25">
      <c r="A1020">
        <v>1019</v>
      </c>
      <c r="B1020" t="s">
        <v>1040</v>
      </c>
      <c r="C1020" t="s">
        <v>27</v>
      </c>
      <c r="D1020" t="s">
        <v>13</v>
      </c>
      <c r="E1020" s="4">
        <v>29730604</v>
      </c>
      <c r="F1020">
        <v>15.34</v>
      </c>
      <c r="G1020">
        <v>12.64</v>
      </c>
      <c r="H1020">
        <v>758.5</v>
      </c>
      <c r="I1020">
        <v>82.41</v>
      </c>
      <c r="J1020" s="5">
        <v>46060</v>
      </c>
      <c r="K1020">
        <f t="shared" si="15"/>
        <v>83.54</v>
      </c>
      <c r="L1020" t="str" cm="1">
        <f t="array" ref="L1020">_xlfn.IFS(E1020&gt;=52000000,"Platinum",E1020&gt;=37000000,"Gold",E1020&gt;=30000000,"Sliver",E1020&lt;30000000,"Bronze")</f>
        <v>Bronze</v>
      </c>
    </row>
    <row r="1021" spans="1:12" x14ac:dyDescent="0.25">
      <c r="A1021">
        <v>1020</v>
      </c>
      <c r="B1021" t="s">
        <v>1041</v>
      </c>
      <c r="C1021" t="s">
        <v>19</v>
      </c>
      <c r="D1021" t="s">
        <v>11</v>
      </c>
      <c r="E1021" s="4">
        <v>26841377</v>
      </c>
      <c r="F1021">
        <v>49.13</v>
      </c>
      <c r="G1021">
        <v>4.12</v>
      </c>
      <c r="H1021">
        <v>247.49</v>
      </c>
      <c r="I1021">
        <v>8.4</v>
      </c>
      <c r="J1021" s="5">
        <v>46060</v>
      </c>
      <c r="K1021">
        <f t="shared" si="15"/>
        <v>29.64</v>
      </c>
      <c r="L1021" t="str" cm="1">
        <f t="array" ref="L1021">_xlfn.IFS(E1021&gt;=52000000,"Platinum",E1021&gt;=37000000,"Gold",E1021&gt;=30000000,"Sliver",E1021&lt;30000000,"Bronze")</f>
        <v>Bronze</v>
      </c>
    </row>
    <row r="1022" spans="1:12" x14ac:dyDescent="0.25">
      <c r="A1022">
        <v>1021</v>
      </c>
      <c r="B1022" t="s">
        <v>1042</v>
      </c>
      <c r="C1022" t="s">
        <v>19</v>
      </c>
      <c r="D1022" t="s">
        <v>11</v>
      </c>
      <c r="E1022" s="4">
        <v>33789532</v>
      </c>
      <c r="F1022">
        <v>52.63</v>
      </c>
      <c r="G1022">
        <v>2.41</v>
      </c>
      <c r="H1022">
        <v>144.84</v>
      </c>
      <c r="I1022">
        <v>4.59</v>
      </c>
      <c r="J1022" s="5">
        <v>46060</v>
      </c>
      <c r="K1022">
        <f t="shared" si="15"/>
        <v>25.98</v>
      </c>
      <c r="L1022" t="str" cm="1">
        <f t="array" ref="L1022">_xlfn.IFS(E1022&gt;=52000000,"Platinum",E1022&gt;=37000000,"Gold",E1022&gt;=30000000,"Sliver",E1022&lt;30000000,"Bronze")</f>
        <v>Sliver</v>
      </c>
    </row>
    <row r="1023" spans="1:12" x14ac:dyDescent="0.25">
      <c r="A1023">
        <v>1022</v>
      </c>
      <c r="B1023" t="s">
        <v>1043</v>
      </c>
      <c r="C1023" t="s">
        <v>19</v>
      </c>
      <c r="D1023" t="s">
        <v>25</v>
      </c>
      <c r="E1023" s="4">
        <v>35600199</v>
      </c>
      <c r="F1023">
        <v>50.58</v>
      </c>
      <c r="G1023">
        <v>7.77</v>
      </c>
      <c r="H1023">
        <v>466.3</v>
      </c>
      <c r="I1023">
        <v>15.37</v>
      </c>
      <c r="J1023" s="5">
        <v>46060</v>
      </c>
      <c r="K1023">
        <f t="shared" si="15"/>
        <v>32.4</v>
      </c>
      <c r="L1023" t="str" cm="1">
        <f t="array" ref="L1023">_xlfn.IFS(E1023&gt;=52000000,"Platinum",E1023&gt;=37000000,"Gold",E1023&gt;=30000000,"Sliver",E1023&lt;30000000,"Bronze")</f>
        <v>Sliver</v>
      </c>
    </row>
    <row r="1024" spans="1:12" x14ac:dyDescent="0.25">
      <c r="A1024">
        <v>1023</v>
      </c>
      <c r="B1024" t="s">
        <v>1044</v>
      </c>
      <c r="C1024" t="s">
        <v>21</v>
      </c>
      <c r="D1024" t="s">
        <v>11</v>
      </c>
      <c r="E1024" s="4">
        <v>25021384</v>
      </c>
      <c r="F1024">
        <v>49.97</v>
      </c>
      <c r="G1024">
        <v>2.5299999999999998</v>
      </c>
      <c r="H1024">
        <v>151.84</v>
      </c>
      <c r="I1024">
        <v>5.0599999999999996</v>
      </c>
      <c r="J1024" s="5">
        <v>46060</v>
      </c>
      <c r="K1024">
        <f t="shared" si="15"/>
        <v>27.55</v>
      </c>
      <c r="L1024" t="str" cm="1">
        <f t="array" ref="L1024">_xlfn.IFS(E1024&gt;=52000000,"Platinum",E1024&gt;=37000000,"Gold",E1024&gt;=30000000,"Sliver",E1024&lt;30000000,"Bronze")</f>
        <v>Bronze</v>
      </c>
    </row>
    <row r="1025" spans="1:12" x14ac:dyDescent="0.25">
      <c r="A1025">
        <v>1024</v>
      </c>
      <c r="B1025" t="s">
        <v>1045</v>
      </c>
      <c r="C1025" t="s">
        <v>21</v>
      </c>
      <c r="D1025" t="s">
        <v>32</v>
      </c>
      <c r="E1025" s="4">
        <v>33288385</v>
      </c>
      <c r="F1025">
        <v>38.96</v>
      </c>
      <c r="G1025">
        <v>5.72</v>
      </c>
      <c r="H1025" s="1">
        <f>CALCULATION!$D$11</f>
        <v>343.315</v>
      </c>
      <c r="I1025">
        <v>4.43</v>
      </c>
      <c r="J1025" s="5">
        <v>46060</v>
      </c>
      <c r="K1025">
        <f t="shared" si="15"/>
        <v>32.74</v>
      </c>
      <c r="L1025" t="str" cm="1">
        <f t="array" ref="L1025">_xlfn.IFS(E1025&gt;=52000000,"Platinum",E1025&gt;=37000000,"Gold",E1025&gt;=30000000,"Sliver",E1025&lt;30000000,"Bronze")</f>
        <v>Sliver</v>
      </c>
    </row>
    <row r="1026" spans="1:12" x14ac:dyDescent="0.25">
      <c r="A1026">
        <v>1025</v>
      </c>
      <c r="B1026" t="s">
        <v>1046</v>
      </c>
      <c r="C1026" t="s">
        <v>10</v>
      </c>
      <c r="D1026" t="s">
        <v>11</v>
      </c>
      <c r="E1026" s="4">
        <v>32119482</v>
      </c>
      <c r="F1026">
        <v>39.43</v>
      </c>
      <c r="G1026">
        <v>3.92</v>
      </c>
      <c r="H1026">
        <v>235.02</v>
      </c>
      <c r="I1026">
        <v>9.93</v>
      </c>
      <c r="J1026" s="5">
        <v>46060</v>
      </c>
      <c r="K1026">
        <f t="shared" si="15"/>
        <v>35.25</v>
      </c>
      <c r="L1026" t="str" cm="1">
        <f t="array" ref="L1026">_xlfn.IFS(E1026&gt;=52000000,"Platinum",E1026&gt;=37000000,"Gold",E1026&gt;=30000000,"Sliver",E1026&lt;30000000,"Bronze")</f>
        <v>Sliver</v>
      </c>
    </row>
    <row r="1027" spans="1:12" x14ac:dyDescent="0.25">
      <c r="A1027">
        <v>1026</v>
      </c>
      <c r="B1027" t="s">
        <v>1047</v>
      </c>
      <c r="C1027" t="s">
        <v>16</v>
      </c>
      <c r="D1027" t="s">
        <v>32</v>
      </c>
      <c r="E1027" s="4">
        <v>31430604</v>
      </c>
      <c r="F1027">
        <v>46.82</v>
      </c>
      <c r="G1027">
        <v>9.65</v>
      </c>
      <c r="H1027">
        <v>578.78</v>
      </c>
      <c r="I1027">
        <v>20.6</v>
      </c>
      <c r="J1027" s="5">
        <v>46060</v>
      </c>
      <c r="K1027">
        <f t="shared" ref="K1027:K1090" si="16">ROUND((100-F1027)*0.5 + I1027*0.5,2)</f>
        <v>36.89</v>
      </c>
      <c r="L1027" t="str" cm="1">
        <f t="array" ref="L1027">_xlfn.IFS(E1027&gt;=52000000,"Platinum",E1027&gt;=37000000,"Gold",E1027&gt;=30000000,"Sliver",E1027&lt;30000000,"Bronze")</f>
        <v>Sliver</v>
      </c>
    </row>
    <row r="1028" spans="1:12" x14ac:dyDescent="0.25">
      <c r="A1028">
        <v>1027</v>
      </c>
      <c r="B1028" t="s">
        <v>1048</v>
      </c>
      <c r="C1028" t="s">
        <v>16</v>
      </c>
      <c r="D1028" t="s">
        <v>25</v>
      </c>
      <c r="E1028" s="4">
        <v>36047121</v>
      </c>
      <c r="F1028">
        <v>48.54</v>
      </c>
      <c r="G1028">
        <v>9.4700000000000006</v>
      </c>
      <c r="H1028">
        <v>568.01</v>
      </c>
      <c r="I1028">
        <v>19.5</v>
      </c>
      <c r="J1028" s="5">
        <v>46060</v>
      </c>
      <c r="K1028">
        <f t="shared" si="16"/>
        <v>35.479999999999997</v>
      </c>
      <c r="L1028" t="str" cm="1">
        <f t="array" ref="L1028">_xlfn.IFS(E1028&gt;=52000000,"Platinum",E1028&gt;=37000000,"Gold",E1028&gt;=30000000,"Sliver",E1028&lt;30000000,"Bronze")</f>
        <v>Sliver</v>
      </c>
    </row>
    <row r="1029" spans="1:12" x14ac:dyDescent="0.25">
      <c r="A1029">
        <v>1028</v>
      </c>
      <c r="B1029" t="s">
        <v>1049</v>
      </c>
      <c r="C1029" t="s">
        <v>29</v>
      </c>
      <c r="D1029" t="s">
        <v>22</v>
      </c>
      <c r="E1029" s="4">
        <v>34447921</v>
      </c>
      <c r="F1029">
        <v>38.07</v>
      </c>
      <c r="G1029">
        <v>7.36</v>
      </c>
      <c r="H1029">
        <v>441.64</v>
      </c>
      <c r="I1029">
        <v>19.329999999999998</v>
      </c>
      <c r="J1029" s="5">
        <v>46060</v>
      </c>
      <c r="K1029">
        <f t="shared" si="16"/>
        <v>40.630000000000003</v>
      </c>
      <c r="L1029" t="str" cm="1">
        <f t="array" ref="L1029">_xlfn.IFS(E1029&gt;=52000000,"Platinum",E1029&gt;=37000000,"Gold",E1029&gt;=30000000,"Sliver",E1029&lt;30000000,"Bronze")</f>
        <v>Sliver</v>
      </c>
    </row>
    <row r="1030" spans="1:12" x14ac:dyDescent="0.25">
      <c r="A1030">
        <v>1029</v>
      </c>
      <c r="B1030" t="s">
        <v>1050</v>
      </c>
      <c r="C1030" t="s">
        <v>29</v>
      </c>
      <c r="D1030" t="s">
        <v>22</v>
      </c>
      <c r="E1030" s="4">
        <v>31180954</v>
      </c>
      <c r="F1030">
        <v>33.549999999999997</v>
      </c>
      <c r="G1030">
        <v>2.11</v>
      </c>
      <c r="H1030">
        <v>126.72</v>
      </c>
      <c r="I1030">
        <v>6.3</v>
      </c>
      <c r="J1030" s="5">
        <v>46060</v>
      </c>
      <c r="K1030">
        <f t="shared" si="16"/>
        <v>36.380000000000003</v>
      </c>
      <c r="L1030" t="str" cm="1">
        <f t="array" ref="L1030">_xlfn.IFS(E1030&gt;=52000000,"Platinum",E1030&gt;=37000000,"Gold",E1030&gt;=30000000,"Sliver",E1030&lt;30000000,"Bronze")</f>
        <v>Sliver</v>
      </c>
    </row>
    <row r="1031" spans="1:12" x14ac:dyDescent="0.25">
      <c r="A1031">
        <v>1030</v>
      </c>
      <c r="B1031" t="s">
        <v>1051</v>
      </c>
      <c r="C1031" t="s">
        <v>21</v>
      </c>
      <c r="D1031" t="s">
        <v>25</v>
      </c>
      <c r="E1031" s="4">
        <v>31305560</v>
      </c>
      <c r="F1031">
        <v>44.08</v>
      </c>
      <c r="G1031">
        <v>2.66</v>
      </c>
      <c r="H1031">
        <v>159.51</v>
      </c>
      <c r="I1031">
        <v>6.03</v>
      </c>
      <c r="J1031" s="5">
        <v>46060</v>
      </c>
      <c r="K1031">
        <f t="shared" si="16"/>
        <v>30.98</v>
      </c>
      <c r="L1031" t="str" cm="1">
        <f t="array" ref="L1031">_xlfn.IFS(E1031&gt;=52000000,"Platinum",E1031&gt;=37000000,"Gold",E1031&gt;=30000000,"Sliver",E1031&lt;30000000,"Bronze")</f>
        <v>Sliver</v>
      </c>
    </row>
    <row r="1032" spans="1:12" x14ac:dyDescent="0.25">
      <c r="A1032">
        <v>1031</v>
      </c>
      <c r="B1032" t="s">
        <v>1052</v>
      </c>
      <c r="C1032" t="s">
        <v>21</v>
      </c>
      <c r="D1032" t="s">
        <v>13</v>
      </c>
      <c r="E1032" s="4">
        <v>27911463</v>
      </c>
      <c r="F1032">
        <v>40.770000000000003</v>
      </c>
      <c r="G1032">
        <v>1.1299999999999999</v>
      </c>
      <c r="H1032">
        <v>67.739999999999995</v>
      </c>
      <c r="I1032">
        <v>2.77</v>
      </c>
      <c r="J1032" s="5">
        <v>46060</v>
      </c>
      <c r="K1032">
        <f t="shared" si="16"/>
        <v>31</v>
      </c>
      <c r="L1032" t="str" cm="1">
        <f t="array" ref="L1032">_xlfn.IFS(E1032&gt;=52000000,"Platinum",E1032&gt;=37000000,"Gold",E1032&gt;=30000000,"Sliver",E1032&lt;30000000,"Bronze")</f>
        <v>Bronze</v>
      </c>
    </row>
    <row r="1033" spans="1:12" x14ac:dyDescent="0.25">
      <c r="A1033">
        <v>1032</v>
      </c>
      <c r="B1033" t="s">
        <v>1053</v>
      </c>
      <c r="C1033" t="s">
        <v>46</v>
      </c>
      <c r="D1033" t="s">
        <v>13</v>
      </c>
      <c r="E1033" s="4">
        <v>32536601</v>
      </c>
      <c r="F1033">
        <v>54.56</v>
      </c>
      <c r="G1033">
        <v>8.92</v>
      </c>
      <c r="H1033">
        <v>535.30999999999995</v>
      </c>
      <c r="I1033">
        <v>16.350000000000001</v>
      </c>
      <c r="J1033" s="5">
        <v>46060</v>
      </c>
      <c r="K1033">
        <f t="shared" si="16"/>
        <v>30.9</v>
      </c>
      <c r="L1033" t="str" cm="1">
        <f t="array" ref="L1033">_xlfn.IFS(E1033&gt;=52000000,"Platinum",E1033&gt;=37000000,"Gold",E1033&gt;=30000000,"Sliver",E1033&lt;30000000,"Bronze")</f>
        <v>Sliver</v>
      </c>
    </row>
    <row r="1034" spans="1:12" x14ac:dyDescent="0.25">
      <c r="A1034">
        <v>1033</v>
      </c>
      <c r="B1034" t="s">
        <v>1054</v>
      </c>
      <c r="C1034" t="s">
        <v>21</v>
      </c>
      <c r="D1034" t="s">
        <v>17</v>
      </c>
      <c r="E1034" s="4">
        <v>30577638</v>
      </c>
      <c r="F1034">
        <v>35.380000000000003</v>
      </c>
      <c r="G1034">
        <v>1.79</v>
      </c>
      <c r="H1034">
        <v>107.43</v>
      </c>
      <c r="I1034">
        <v>5.0599999999999996</v>
      </c>
      <c r="J1034" s="5">
        <v>46060</v>
      </c>
      <c r="K1034">
        <f t="shared" si="16"/>
        <v>34.840000000000003</v>
      </c>
      <c r="L1034" t="str" cm="1">
        <f t="array" ref="L1034">_xlfn.IFS(E1034&gt;=52000000,"Platinum",E1034&gt;=37000000,"Gold",E1034&gt;=30000000,"Sliver",E1034&lt;30000000,"Bronze")</f>
        <v>Sliver</v>
      </c>
    </row>
    <row r="1035" spans="1:12" x14ac:dyDescent="0.25">
      <c r="A1035">
        <v>1034</v>
      </c>
      <c r="B1035" t="s">
        <v>1055</v>
      </c>
      <c r="C1035" t="s">
        <v>29</v>
      </c>
      <c r="D1035" t="s">
        <v>25</v>
      </c>
      <c r="E1035" s="4">
        <v>28310989</v>
      </c>
      <c r="F1035">
        <v>58.74</v>
      </c>
      <c r="G1035">
        <v>5.61</v>
      </c>
      <c r="H1035">
        <v>336.64</v>
      </c>
      <c r="I1035">
        <v>9.5500000000000007</v>
      </c>
      <c r="J1035" s="5">
        <v>46060</v>
      </c>
      <c r="K1035">
        <f t="shared" si="16"/>
        <v>25.41</v>
      </c>
      <c r="L1035" t="str" cm="1">
        <f t="array" ref="L1035">_xlfn.IFS(E1035&gt;=52000000,"Platinum",E1035&gt;=37000000,"Gold",E1035&gt;=30000000,"Sliver",E1035&lt;30000000,"Bronze")</f>
        <v>Bronze</v>
      </c>
    </row>
    <row r="1036" spans="1:12" x14ac:dyDescent="0.25">
      <c r="A1036">
        <v>1035</v>
      </c>
      <c r="B1036" t="s">
        <v>1056</v>
      </c>
      <c r="C1036" t="s">
        <v>27</v>
      </c>
      <c r="D1036" t="s">
        <v>22</v>
      </c>
      <c r="E1036" s="4">
        <v>26029182</v>
      </c>
      <c r="F1036">
        <v>22.96</v>
      </c>
      <c r="G1036">
        <v>5.72</v>
      </c>
      <c r="H1036" s="1">
        <f>CALCULATION!$D$11</f>
        <v>343.315</v>
      </c>
      <c r="I1036">
        <v>137.69</v>
      </c>
      <c r="J1036" s="5">
        <v>46060</v>
      </c>
      <c r="K1036">
        <f t="shared" si="16"/>
        <v>107.37</v>
      </c>
      <c r="L1036" t="str" cm="1">
        <f t="array" ref="L1036">_xlfn.IFS(E1036&gt;=52000000,"Platinum",E1036&gt;=37000000,"Gold",E1036&gt;=30000000,"Sliver",E1036&lt;30000000,"Bronze")</f>
        <v>Bronze</v>
      </c>
    </row>
    <row r="1037" spans="1:12" x14ac:dyDescent="0.25">
      <c r="A1037">
        <v>1036</v>
      </c>
      <c r="B1037" t="s">
        <v>1057</v>
      </c>
      <c r="C1037" t="s">
        <v>27</v>
      </c>
      <c r="D1037" t="s">
        <v>32</v>
      </c>
      <c r="E1037" s="4">
        <v>30549698</v>
      </c>
      <c r="F1037">
        <v>22.34</v>
      </c>
      <c r="G1037">
        <v>31.82</v>
      </c>
      <c r="H1037">
        <v>1909.06</v>
      </c>
      <c r="I1037">
        <v>142.41999999999999</v>
      </c>
      <c r="J1037" s="5">
        <v>46060</v>
      </c>
      <c r="K1037">
        <f t="shared" si="16"/>
        <v>110.04</v>
      </c>
      <c r="L1037" t="str" cm="1">
        <f t="array" ref="L1037">_xlfn.IFS(E1037&gt;=52000000,"Platinum",E1037&gt;=37000000,"Gold",E1037&gt;=30000000,"Sliver",E1037&lt;30000000,"Bronze")</f>
        <v>Sliver</v>
      </c>
    </row>
    <row r="1038" spans="1:12" x14ac:dyDescent="0.25">
      <c r="A1038">
        <v>1037</v>
      </c>
      <c r="B1038" t="s">
        <v>1058</v>
      </c>
      <c r="C1038" t="s">
        <v>46</v>
      </c>
      <c r="D1038" t="s">
        <v>13</v>
      </c>
      <c r="E1038" s="4">
        <v>35885193</v>
      </c>
      <c r="F1038">
        <v>37.97</v>
      </c>
      <c r="G1038">
        <v>5.72</v>
      </c>
      <c r="H1038" s="1">
        <f>CALCULATION!$D$11</f>
        <v>343.315</v>
      </c>
      <c r="I1038">
        <v>21.3</v>
      </c>
      <c r="J1038" s="5">
        <v>46060</v>
      </c>
      <c r="K1038">
        <f t="shared" si="16"/>
        <v>41.67</v>
      </c>
      <c r="L1038" t="str" cm="1">
        <f t="array" ref="L1038">_xlfn.IFS(E1038&gt;=52000000,"Platinum",E1038&gt;=37000000,"Gold",E1038&gt;=30000000,"Sliver",E1038&lt;30000000,"Bronze")</f>
        <v>Sliver</v>
      </c>
    </row>
    <row r="1039" spans="1:12" x14ac:dyDescent="0.25">
      <c r="A1039">
        <v>1038</v>
      </c>
      <c r="B1039" t="s">
        <v>1059</v>
      </c>
      <c r="C1039" t="s">
        <v>10</v>
      </c>
      <c r="D1039" t="s">
        <v>22</v>
      </c>
      <c r="E1039" s="4">
        <v>25873758</v>
      </c>
      <c r="F1039">
        <v>33.43</v>
      </c>
      <c r="G1039">
        <v>2.41</v>
      </c>
      <c r="H1039">
        <v>144.88</v>
      </c>
      <c r="I1039">
        <v>7.22</v>
      </c>
      <c r="J1039" s="5">
        <v>46060</v>
      </c>
      <c r="K1039">
        <f t="shared" si="16"/>
        <v>36.9</v>
      </c>
      <c r="L1039" t="str" cm="1">
        <f t="array" ref="L1039">_xlfn.IFS(E1039&gt;=52000000,"Platinum",E1039&gt;=37000000,"Gold",E1039&gt;=30000000,"Sliver",E1039&lt;30000000,"Bronze")</f>
        <v>Bronze</v>
      </c>
    </row>
    <row r="1040" spans="1:12" x14ac:dyDescent="0.25">
      <c r="A1040">
        <v>1039</v>
      </c>
      <c r="B1040" t="s">
        <v>1060</v>
      </c>
      <c r="C1040" t="s">
        <v>46</v>
      </c>
      <c r="D1040" t="s">
        <v>25</v>
      </c>
      <c r="E1040" s="4">
        <v>32321646</v>
      </c>
      <c r="F1040">
        <v>54.41</v>
      </c>
      <c r="G1040">
        <v>7.97</v>
      </c>
      <c r="H1040">
        <v>478.03</v>
      </c>
      <c r="I1040">
        <v>14.64</v>
      </c>
      <c r="J1040" s="5">
        <v>46060</v>
      </c>
      <c r="K1040">
        <f t="shared" si="16"/>
        <v>30.12</v>
      </c>
      <c r="L1040" t="str" cm="1">
        <f t="array" ref="L1040">_xlfn.IFS(E1040&gt;=52000000,"Platinum",E1040&gt;=37000000,"Gold",E1040&gt;=30000000,"Sliver",E1040&lt;30000000,"Bronze")</f>
        <v>Sliver</v>
      </c>
    </row>
    <row r="1041" spans="1:12" x14ac:dyDescent="0.25">
      <c r="A1041">
        <v>1040</v>
      </c>
      <c r="B1041" t="s">
        <v>1061</v>
      </c>
      <c r="C1041" t="s">
        <v>10</v>
      </c>
      <c r="D1041" t="s">
        <v>22</v>
      </c>
      <c r="E1041" s="4">
        <v>31941787</v>
      </c>
      <c r="F1041">
        <v>30.47</v>
      </c>
      <c r="G1041">
        <v>9.89</v>
      </c>
      <c r="H1041">
        <v>593.37</v>
      </c>
      <c r="I1041">
        <v>32.46</v>
      </c>
      <c r="J1041" s="5">
        <v>46060</v>
      </c>
      <c r="K1041">
        <f t="shared" si="16"/>
        <v>51</v>
      </c>
      <c r="L1041" t="str" cm="1">
        <f t="array" ref="L1041">_xlfn.IFS(E1041&gt;=52000000,"Platinum",E1041&gt;=37000000,"Gold",E1041&gt;=30000000,"Sliver",E1041&lt;30000000,"Bronze")</f>
        <v>Sliver</v>
      </c>
    </row>
    <row r="1042" spans="1:12" x14ac:dyDescent="0.25">
      <c r="A1042">
        <v>1041</v>
      </c>
      <c r="B1042" t="s">
        <v>1062</v>
      </c>
      <c r="C1042" t="s">
        <v>19</v>
      </c>
      <c r="D1042" t="s">
        <v>32</v>
      </c>
      <c r="E1042" s="4">
        <v>28913303</v>
      </c>
      <c r="F1042">
        <v>41.95</v>
      </c>
      <c r="G1042">
        <v>5.69</v>
      </c>
      <c r="H1042">
        <v>341.27</v>
      </c>
      <c r="I1042">
        <v>13.56</v>
      </c>
      <c r="J1042" s="5">
        <v>46060</v>
      </c>
      <c r="K1042">
        <f t="shared" si="16"/>
        <v>35.81</v>
      </c>
      <c r="L1042" t="str" cm="1">
        <f t="array" ref="L1042">_xlfn.IFS(E1042&gt;=52000000,"Platinum",E1042&gt;=37000000,"Gold",E1042&gt;=30000000,"Sliver",E1042&lt;30000000,"Bronze")</f>
        <v>Bronze</v>
      </c>
    </row>
    <row r="1043" spans="1:12" x14ac:dyDescent="0.25">
      <c r="A1043">
        <v>1042</v>
      </c>
      <c r="B1043" t="s">
        <v>1063</v>
      </c>
      <c r="C1043" t="s">
        <v>46</v>
      </c>
      <c r="D1043" t="s">
        <v>11</v>
      </c>
      <c r="E1043" s="4">
        <v>35389465</v>
      </c>
      <c r="F1043" s="1">
        <f>CALCULATION!$C$11</f>
        <v>42.81</v>
      </c>
      <c r="G1043" s="1">
        <v>9.73</v>
      </c>
      <c r="H1043">
        <v>583.69000000000005</v>
      </c>
      <c r="I1043">
        <v>19.41</v>
      </c>
      <c r="J1043" s="5">
        <v>46060</v>
      </c>
      <c r="K1043">
        <f t="shared" si="16"/>
        <v>38.299999999999997</v>
      </c>
      <c r="L1043" t="str" cm="1">
        <f t="array" ref="L1043">_xlfn.IFS(E1043&gt;=52000000,"Platinum",E1043&gt;=37000000,"Gold",E1043&gt;=30000000,"Sliver",E1043&lt;30000000,"Bronze")</f>
        <v>Sliver</v>
      </c>
    </row>
    <row r="1044" spans="1:12" x14ac:dyDescent="0.25">
      <c r="A1044">
        <v>1043</v>
      </c>
      <c r="B1044" t="s">
        <v>1064</v>
      </c>
      <c r="C1044" t="s">
        <v>21</v>
      </c>
      <c r="D1044" t="s">
        <v>11</v>
      </c>
      <c r="E1044" s="4">
        <v>34067335</v>
      </c>
      <c r="F1044">
        <v>46.37</v>
      </c>
      <c r="G1044">
        <v>1.7</v>
      </c>
      <c r="H1044">
        <v>102.14</v>
      </c>
      <c r="I1044">
        <v>3.67</v>
      </c>
      <c r="J1044" s="5">
        <v>46060</v>
      </c>
      <c r="K1044">
        <f t="shared" si="16"/>
        <v>28.65</v>
      </c>
      <c r="L1044" t="str" cm="1">
        <f t="array" ref="L1044">_xlfn.IFS(E1044&gt;=52000000,"Platinum",E1044&gt;=37000000,"Gold",E1044&gt;=30000000,"Sliver",E1044&lt;30000000,"Bronze")</f>
        <v>Sliver</v>
      </c>
    </row>
    <row r="1045" spans="1:12" x14ac:dyDescent="0.25">
      <c r="A1045">
        <v>1044</v>
      </c>
      <c r="B1045" t="s">
        <v>1065</v>
      </c>
      <c r="C1045" t="s">
        <v>29</v>
      </c>
      <c r="D1045" t="s">
        <v>32</v>
      </c>
      <c r="E1045" s="4">
        <v>35522884</v>
      </c>
      <c r="F1045">
        <v>55.53</v>
      </c>
      <c r="G1045">
        <v>9.74</v>
      </c>
      <c r="H1045">
        <v>584.54999999999995</v>
      </c>
      <c r="I1045">
        <v>17.54</v>
      </c>
      <c r="J1045" s="5">
        <v>46060</v>
      </c>
      <c r="K1045">
        <f t="shared" si="16"/>
        <v>31.01</v>
      </c>
      <c r="L1045" t="str" cm="1">
        <f t="array" ref="L1045">_xlfn.IFS(E1045&gt;=52000000,"Platinum",E1045&gt;=37000000,"Gold",E1045&gt;=30000000,"Sliver",E1045&lt;30000000,"Bronze")</f>
        <v>Sliver</v>
      </c>
    </row>
    <row r="1046" spans="1:12" x14ac:dyDescent="0.25">
      <c r="A1046">
        <v>1045</v>
      </c>
      <c r="B1046" t="s">
        <v>1066</v>
      </c>
      <c r="C1046" t="s">
        <v>19</v>
      </c>
      <c r="D1046" t="s">
        <v>17</v>
      </c>
      <c r="E1046" s="4">
        <v>35960029</v>
      </c>
      <c r="F1046">
        <v>55.37</v>
      </c>
      <c r="G1046">
        <v>6.65</v>
      </c>
      <c r="H1046">
        <v>398.8</v>
      </c>
      <c r="I1046">
        <v>12</v>
      </c>
      <c r="J1046" s="5">
        <v>46060</v>
      </c>
      <c r="K1046">
        <f t="shared" si="16"/>
        <v>28.32</v>
      </c>
      <c r="L1046" t="str" cm="1">
        <f t="array" ref="L1046">_xlfn.IFS(E1046&gt;=52000000,"Platinum",E1046&gt;=37000000,"Gold",E1046&gt;=30000000,"Sliver",E1046&lt;30000000,"Bronze")</f>
        <v>Sliver</v>
      </c>
    </row>
    <row r="1047" spans="1:12" x14ac:dyDescent="0.25">
      <c r="A1047">
        <v>1046</v>
      </c>
      <c r="B1047" t="s">
        <v>1067</v>
      </c>
      <c r="C1047" t="s">
        <v>19</v>
      </c>
      <c r="D1047" t="s">
        <v>11</v>
      </c>
      <c r="E1047" s="4">
        <v>28577807</v>
      </c>
      <c r="F1047">
        <v>59.63</v>
      </c>
      <c r="G1047">
        <v>5.41</v>
      </c>
      <c r="H1047">
        <v>324.52</v>
      </c>
      <c r="I1047">
        <v>9.07</v>
      </c>
      <c r="J1047" s="5">
        <v>46060</v>
      </c>
      <c r="K1047">
        <f t="shared" si="16"/>
        <v>24.72</v>
      </c>
      <c r="L1047" t="str" cm="1">
        <f t="array" ref="L1047">_xlfn.IFS(E1047&gt;=52000000,"Platinum",E1047&gt;=37000000,"Gold",E1047&gt;=30000000,"Sliver",E1047&lt;30000000,"Bronze")</f>
        <v>Bronze</v>
      </c>
    </row>
    <row r="1048" spans="1:12" x14ac:dyDescent="0.25">
      <c r="A1048">
        <v>1047</v>
      </c>
      <c r="B1048" t="s">
        <v>1068</v>
      </c>
      <c r="C1048" t="s">
        <v>46</v>
      </c>
      <c r="D1048" t="s">
        <v>11</v>
      </c>
      <c r="E1048" s="4">
        <v>26812674</v>
      </c>
      <c r="F1048">
        <v>34.06</v>
      </c>
      <c r="G1048">
        <v>7.16</v>
      </c>
      <c r="H1048">
        <v>429.6</v>
      </c>
      <c r="I1048">
        <v>21.02</v>
      </c>
      <c r="J1048" s="5">
        <v>46060</v>
      </c>
      <c r="K1048">
        <f t="shared" si="16"/>
        <v>43.48</v>
      </c>
      <c r="L1048" t="str" cm="1">
        <f t="array" ref="L1048">_xlfn.IFS(E1048&gt;=52000000,"Platinum",E1048&gt;=37000000,"Gold",E1048&gt;=30000000,"Sliver",E1048&lt;30000000,"Bronze")</f>
        <v>Bronze</v>
      </c>
    </row>
    <row r="1049" spans="1:12" x14ac:dyDescent="0.25">
      <c r="A1049">
        <v>1048</v>
      </c>
      <c r="B1049" t="s">
        <v>1069</v>
      </c>
      <c r="C1049" t="s">
        <v>19</v>
      </c>
      <c r="D1049" t="s">
        <v>22</v>
      </c>
      <c r="E1049" s="4">
        <v>29078067</v>
      </c>
      <c r="F1049">
        <v>39.020000000000003</v>
      </c>
      <c r="G1049">
        <v>7.64</v>
      </c>
      <c r="H1049">
        <v>458.14</v>
      </c>
      <c r="I1049">
        <v>19.57</v>
      </c>
      <c r="J1049" s="5">
        <v>46060</v>
      </c>
      <c r="K1049">
        <f t="shared" si="16"/>
        <v>40.28</v>
      </c>
      <c r="L1049" t="str" cm="1">
        <f t="array" ref="L1049">_xlfn.IFS(E1049&gt;=52000000,"Platinum",E1049&gt;=37000000,"Gold",E1049&gt;=30000000,"Sliver",E1049&lt;30000000,"Bronze")</f>
        <v>Bronze</v>
      </c>
    </row>
    <row r="1050" spans="1:12" x14ac:dyDescent="0.25">
      <c r="A1050">
        <v>1049</v>
      </c>
      <c r="B1050" t="s">
        <v>1070</v>
      </c>
      <c r="C1050" t="s">
        <v>10</v>
      </c>
      <c r="D1050" s="1" t="s">
        <v>32</v>
      </c>
      <c r="E1050" s="4">
        <v>34329065</v>
      </c>
      <c r="F1050">
        <v>57.52</v>
      </c>
      <c r="G1050">
        <v>3.09</v>
      </c>
      <c r="H1050">
        <v>185.54</v>
      </c>
      <c r="I1050">
        <v>5.38</v>
      </c>
      <c r="J1050" s="5">
        <v>46060</v>
      </c>
      <c r="K1050">
        <f t="shared" si="16"/>
        <v>23.93</v>
      </c>
      <c r="L1050" t="str" cm="1">
        <f t="array" ref="L1050">_xlfn.IFS(E1050&gt;=52000000,"Platinum",E1050&gt;=37000000,"Gold",E1050&gt;=30000000,"Sliver",E1050&lt;30000000,"Bronze")</f>
        <v>Sliver</v>
      </c>
    </row>
    <row r="1051" spans="1:12" x14ac:dyDescent="0.25">
      <c r="A1051">
        <v>1050</v>
      </c>
      <c r="B1051" t="s">
        <v>1071</v>
      </c>
      <c r="C1051" t="s">
        <v>29</v>
      </c>
      <c r="D1051" t="s">
        <v>32</v>
      </c>
      <c r="E1051" s="4">
        <v>29132114</v>
      </c>
      <c r="F1051">
        <v>57.52</v>
      </c>
      <c r="G1051">
        <v>8.15</v>
      </c>
      <c r="H1051">
        <v>489.03</v>
      </c>
      <c r="I1051">
        <v>14.17</v>
      </c>
      <c r="J1051" s="5">
        <v>46060</v>
      </c>
      <c r="K1051">
        <f t="shared" si="16"/>
        <v>28.33</v>
      </c>
      <c r="L1051" t="str" cm="1">
        <f t="array" ref="L1051">_xlfn.IFS(E1051&gt;=52000000,"Platinum",E1051&gt;=37000000,"Gold",E1051&gt;=30000000,"Sliver",E1051&lt;30000000,"Bronze")</f>
        <v>Bronze</v>
      </c>
    </row>
    <row r="1052" spans="1:12" x14ac:dyDescent="0.25">
      <c r="A1052">
        <v>1051</v>
      </c>
      <c r="B1052" t="s">
        <v>1072</v>
      </c>
      <c r="C1052" t="s">
        <v>27</v>
      </c>
      <c r="D1052" t="s">
        <v>13</v>
      </c>
      <c r="E1052" s="4">
        <v>29739602</v>
      </c>
      <c r="F1052">
        <v>29.8</v>
      </c>
      <c r="G1052">
        <v>10.220000000000001</v>
      </c>
      <c r="H1052">
        <v>613.13</v>
      </c>
      <c r="I1052">
        <v>34.29</v>
      </c>
      <c r="J1052" s="5">
        <v>46060</v>
      </c>
      <c r="K1052">
        <f t="shared" si="16"/>
        <v>52.25</v>
      </c>
      <c r="L1052" t="str" cm="1">
        <f t="array" ref="L1052">_xlfn.IFS(E1052&gt;=52000000,"Platinum",E1052&gt;=37000000,"Gold",E1052&gt;=30000000,"Sliver",E1052&lt;30000000,"Bronze")</f>
        <v>Bronze</v>
      </c>
    </row>
    <row r="1053" spans="1:12" x14ac:dyDescent="0.25">
      <c r="A1053">
        <v>1052</v>
      </c>
      <c r="B1053" t="s">
        <v>1073</v>
      </c>
      <c r="C1053" t="s">
        <v>16</v>
      </c>
      <c r="D1053" t="s">
        <v>17</v>
      </c>
      <c r="E1053" s="4">
        <v>30233253</v>
      </c>
      <c r="F1053">
        <v>53.95</v>
      </c>
      <c r="G1053">
        <v>2.29</v>
      </c>
      <c r="H1053">
        <v>137.66</v>
      </c>
      <c r="I1053">
        <v>4.25</v>
      </c>
      <c r="J1053" s="5">
        <v>46060</v>
      </c>
      <c r="K1053">
        <f t="shared" si="16"/>
        <v>25.15</v>
      </c>
      <c r="L1053" t="str" cm="1">
        <f t="array" ref="L1053">_xlfn.IFS(E1053&gt;=52000000,"Platinum",E1053&gt;=37000000,"Gold",E1053&gt;=30000000,"Sliver",E1053&lt;30000000,"Bronze")</f>
        <v>Sliver</v>
      </c>
    </row>
    <row r="1054" spans="1:12" x14ac:dyDescent="0.25">
      <c r="A1054">
        <v>1053</v>
      </c>
      <c r="B1054" t="s">
        <v>1074</v>
      </c>
      <c r="C1054" t="s">
        <v>46</v>
      </c>
      <c r="D1054" t="s">
        <v>25</v>
      </c>
      <c r="E1054" s="4">
        <v>28389657</v>
      </c>
      <c r="F1054">
        <v>59.26</v>
      </c>
      <c r="G1054">
        <v>2.76</v>
      </c>
      <c r="H1054">
        <v>165.66</v>
      </c>
      <c r="I1054">
        <v>4.66</v>
      </c>
      <c r="J1054" s="5">
        <v>46060</v>
      </c>
      <c r="K1054">
        <f t="shared" si="16"/>
        <v>22.7</v>
      </c>
      <c r="L1054" t="str" cm="1">
        <f t="array" ref="L1054">_xlfn.IFS(E1054&gt;=52000000,"Platinum",E1054&gt;=37000000,"Gold",E1054&gt;=30000000,"Sliver",E1054&lt;30000000,"Bronze")</f>
        <v>Bronze</v>
      </c>
    </row>
    <row r="1055" spans="1:12" x14ac:dyDescent="0.25">
      <c r="A1055">
        <v>1054</v>
      </c>
      <c r="B1055" t="s">
        <v>1075</v>
      </c>
      <c r="C1055" t="s">
        <v>16</v>
      </c>
      <c r="D1055" t="s">
        <v>32</v>
      </c>
      <c r="E1055" s="4">
        <v>33638233</v>
      </c>
      <c r="F1055">
        <v>57.65</v>
      </c>
      <c r="G1055">
        <v>7.41</v>
      </c>
      <c r="H1055">
        <v>444.82</v>
      </c>
      <c r="I1055">
        <v>12.86</v>
      </c>
      <c r="J1055" s="5">
        <v>46060</v>
      </c>
      <c r="K1055">
        <f t="shared" si="16"/>
        <v>27.61</v>
      </c>
      <c r="L1055" t="str" cm="1">
        <f t="array" ref="L1055">_xlfn.IFS(E1055&gt;=52000000,"Platinum",E1055&gt;=37000000,"Gold",E1055&gt;=30000000,"Sliver",E1055&lt;30000000,"Bronze")</f>
        <v>Sliver</v>
      </c>
    </row>
    <row r="1056" spans="1:12" x14ac:dyDescent="0.25">
      <c r="A1056">
        <v>1055</v>
      </c>
      <c r="B1056" t="s">
        <v>1076</v>
      </c>
      <c r="C1056" t="s">
        <v>21</v>
      </c>
      <c r="D1056" t="s">
        <v>17</v>
      </c>
      <c r="E1056" s="4">
        <v>33372197</v>
      </c>
      <c r="F1056">
        <v>39.21</v>
      </c>
      <c r="G1056">
        <v>2.9</v>
      </c>
      <c r="H1056">
        <v>174.21</v>
      </c>
      <c r="I1056">
        <v>7.4</v>
      </c>
      <c r="J1056" s="5">
        <v>46060</v>
      </c>
      <c r="K1056">
        <f t="shared" si="16"/>
        <v>34.1</v>
      </c>
      <c r="L1056" t="str" cm="1">
        <f t="array" ref="L1056">_xlfn.IFS(E1056&gt;=52000000,"Platinum",E1056&gt;=37000000,"Gold",E1056&gt;=30000000,"Sliver",E1056&lt;30000000,"Bronze")</f>
        <v>Sliver</v>
      </c>
    </row>
    <row r="1057" spans="1:12" x14ac:dyDescent="0.25">
      <c r="A1057">
        <v>1056</v>
      </c>
      <c r="B1057" t="s">
        <v>1077</v>
      </c>
      <c r="C1057" t="s">
        <v>16</v>
      </c>
      <c r="D1057" t="s">
        <v>11</v>
      </c>
      <c r="E1057" s="4">
        <v>24701670</v>
      </c>
      <c r="F1057">
        <v>56.22</v>
      </c>
      <c r="G1057">
        <v>4.71</v>
      </c>
      <c r="H1057">
        <v>282.77</v>
      </c>
      <c r="I1057">
        <v>8.3800000000000008</v>
      </c>
      <c r="J1057" s="5">
        <v>46060</v>
      </c>
      <c r="K1057">
        <f t="shared" si="16"/>
        <v>26.08</v>
      </c>
      <c r="L1057" t="str" cm="1">
        <f t="array" ref="L1057">_xlfn.IFS(E1057&gt;=52000000,"Platinum",E1057&gt;=37000000,"Gold",E1057&gt;=30000000,"Sliver",E1057&lt;30000000,"Bronze")</f>
        <v>Bronze</v>
      </c>
    </row>
    <row r="1058" spans="1:12" x14ac:dyDescent="0.25">
      <c r="A1058">
        <v>1057</v>
      </c>
      <c r="B1058" t="s">
        <v>1078</v>
      </c>
      <c r="C1058" t="s">
        <v>29</v>
      </c>
      <c r="D1058" t="s">
        <v>32</v>
      </c>
      <c r="E1058" s="4">
        <v>26960582</v>
      </c>
      <c r="F1058">
        <v>44.3</v>
      </c>
      <c r="G1058">
        <v>2.31</v>
      </c>
      <c r="H1058">
        <v>138.85</v>
      </c>
      <c r="I1058">
        <v>5.22</v>
      </c>
      <c r="J1058" s="5">
        <v>46060</v>
      </c>
      <c r="K1058">
        <f t="shared" si="16"/>
        <v>30.46</v>
      </c>
      <c r="L1058" t="str" cm="1">
        <f t="array" ref="L1058">_xlfn.IFS(E1058&gt;=52000000,"Platinum",E1058&gt;=37000000,"Gold",E1058&gt;=30000000,"Sliver",E1058&lt;30000000,"Bronze")</f>
        <v>Bronze</v>
      </c>
    </row>
    <row r="1059" spans="1:12" x14ac:dyDescent="0.25">
      <c r="A1059">
        <v>1058</v>
      </c>
      <c r="B1059" t="s">
        <v>1079</v>
      </c>
      <c r="C1059" s="1" t="s">
        <v>21</v>
      </c>
      <c r="D1059" t="s">
        <v>32</v>
      </c>
      <c r="E1059" s="4">
        <v>33754829</v>
      </c>
      <c r="F1059">
        <v>46.38</v>
      </c>
      <c r="G1059">
        <v>9</v>
      </c>
      <c r="H1059">
        <v>540.23</v>
      </c>
      <c r="I1059">
        <v>19.41</v>
      </c>
      <c r="J1059" s="5">
        <v>46060</v>
      </c>
      <c r="K1059">
        <f t="shared" si="16"/>
        <v>36.520000000000003</v>
      </c>
      <c r="L1059" t="str" cm="1">
        <f t="array" ref="L1059">_xlfn.IFS(E1059&gt;=52000000,"Platinum",E1059&gt;=37000000,"Gold",E1059&gt;=30000000,"Sliver",E1059&lt;30000000,"Bronze")</f>
        <v>Sliver</v>
      </c>
    </row>
    <row r="1060" spans="1:12" x14ac:dyDescent="0.25">
      <c r="A1060">
        <v>1059</v>
      </c>
      <c r="B1060" t="s">
        <v>1080</v>
      </c>
      <c r="C1060" t="s">
        <v>19</v>
      </c>
      <c r="D1060" t="s">
        <v>22</v>
      </c>
      <c r="E1060" s="4">
        <v>33263529</v>
      </c>
      <c r="F1060">
        <v>38.14</v>
      </c>
      <c r="G1060">
        <v>9.8699999999999992</v>
      </c>
      <c r="H1060">
        <v>592.41</v>
      </c>
      <c r="I1060">
        <v>25.89</v>
      </c>
      <c r="J1060" s="5">
        <v>46060</v>
      </c>
      <c r="K1060">
        <f t="shared" si="16"/>
        <v>43.88</v>
      </c>
      <c r="L1060" t="str" cm="1">
        <f t="array" ref="L1060">_xlfn.IFS(E1060&gt;=52000000,"Platinum",E1060&gt;=37000000,"Gold",E1060&gt;=30000000,"Sliver",E1060&lt;30000000,"Bronze")</f>
        <v>Sliver</v>
      </c>
    </row>
    <row r="1061" spans="1:12" x14ac:dyDescent="0.25">
      <c r="A1061">
        <v>1060</v>
      </c>
      <c r="B1061" t="s">
        <v>1081</v>
      </c>
      <c r="C1061" t="s">
        <v>27</v>
      </c>
      <c r="D1061" t="s">
        <v>32</v>
      </c>
      <c r="E1061" s="4">
        <v>34540751</v>
      </c>
      <c r="F1061">
        <v>16</v>
      </c>
      <c r="G1061">
        <v>17.97</v>
      </c>
      <c r="H1061">
        <v>1078.26</v>
      </c>
      <c r="I1061">
        <v>112.32</v>
      </c>
      <c r="J1061" s="5">
        <v>46060</v>
      </c>
      <c r="K1061">
        <f t="shared" si="16"/>
        <v>98.16</v>
      </c>
      <c r="L1061" t="str" cm="1">
        <f t="array" ref="L1061">_xlfn.IFS(E1061&gt;=52000000,"Platinum",E1061&gt;=37000000,"Gold",E1061&gt;=30000000,"Sliver",E1061&lt;30000000,"Bronze")</f>
        <v>Sliver</v>
      </c>
    </row>
    <row r="1062" spans="1:12" x14ac:dyDescent="0.25">
      <c r="A1062">
        <v>1061</v>
      </c>
      <c r="B1062" t="s">
        <v>1082</v>
      </c>
      <c r="C1062" t="s">
        <v>29</v>
      </c>
      <c r="D1062" t="s">
        <v>25</v>
      </c>
      <c r="E1062" s="4">
        <v>29910260</v>
      </c>
      <c r="F1062">
        <v>51.67</v>
      </c>
      <c r="G1062">
        <v>3.04</v>
      </c>
      <c r="H1062">
        <v>182.15</v>
      </c>
      <c r="I1062">
        <v>5.88</v>
      </c>
      <c r="J1062" s="5">
        <v>46060</v>
      </c>
      <c r="K1062">
        <f t="shared" si="16"/>
        <v>27.11</v>
      </c>
      <c r="L1062" t="str" cm="1">
        <f t="array" ref="L1062">_xlfn.IFS(E1062&gt;=52000000,"Platinum",E1062&gt;=37000000,"Gold",E1062&gt;=30000000,"Sliver",E1062&lt;30000000,"Bronze")</f>
        <v>Bronze</v>
      </c>
    </row>
    <row r="1063" spans="1:12" x14ac:dyDescent="0.25">
      <c r="A1063">
        <v>1062</v>
      </c>
      <c r="B1063" t="s">
        <v>1083</v>
      </c>
      <c r="C1063" t="s">
        <v>27</v>
      </c>
      <c r="D1063" t="s">
        <v>25</v>
      </c>
      <c r="E1063" s="4">
        <v>34533266</v>
      </c>
      <c r="F1063">
        <v>23.57</v>
      </c>
      <c r="G1063">
        <v>22.41</v>
      </c>
      <c r="H1063">
        <v>1344.48</v>
      </c>
      <c r="I1063">
        <v>95.07</v>
      </c>
      <c r="J1063" s="5">
        <v>46060</v>
      </c>
      <c r="K1063">
        <f t="shared" si="16"/>
        <v>85.75</v>
      </c>
      <c r="L1063" t="str" cm="1">
        <f t="array" ref="L1063">_xlfn.IFS(E1063&gt;=52000000,"Platinum",E1063&gt;=37000000,"Gold",E1063&gt;=30000000,"Sliver",E1063&lt;30000000,"Bronze")</f>
        <v>Sliver</v>
      </c>
    </row>
    <row r="1064" spans="1:12" x14ac:dyDescent="0.25">
      <c r="A1064">
        <v>1063</v>
      </c>
      <c r="B1064" t="s">
        <v>1084</v>
      </c>
      <c r="C1064" t="s">
        <v>10</v>
      </c>
      <c r="D1064" t="s">
        <v>32</v>
      </c>
      <c r="E1064" s="4">
        <v>35910806</v>
      </c>
      <c r="F1064">
        <v>39.659999999999997</v>
      </c>
      <c r="G1064">
        <v>5.47</v>
      </c>
      <c r="H1064">
        <v>327.96</v>
      </c>
      <c r="I1064">
        <v>13.78</v>
      </c>
      <c r="J1064" s="5">
        <v>46060</v>
      </c>
      <c r="K1064">
        <f t="shared" si="16"/>
        <v>37.06</v>
      </c>
      <c r="L1064" t="str" cm="1">
        <f t="array" ref="L1064">_xlfn.IFS(E1064&gt;=52000000,"Platinum",E1064&gt;=37000000,"Gold",E1064&gt;=30000000,"Sliver",E1064&lt;30000000,"Bronze")</f>
        <v>Sliver</v>
      </c>
    </row>
    <row r="1065" spans="1:12" x14ac:dyDescent="0.25">
      <c r="A1065">
        <v>1064</v>
      </c>
      <c r="B1065" t="s">
        <v>1085</v>
      </c>
      <c r="C1065" t="s">
        <v>19</v>
      </c>
      <c r="D1065" t="s">
        <v>32</v>
      </c>
      <c r="E1065" s="4">
        <v>28360007</v>
      </c>
      <c r="F1065" s="1">
        <f>CALCULATION!$C$11</f>
        <v>42.81</v>
      </c>
      <c r="G1065" s="1">
        <v>4.4000000000000004</v>
      </c>
      <c r="H1065">
        <v>264.24</v>
      </c>
      <c r="I1065">
        <v>9.52</v>
      </c>
      <c r="J1065" s="5">
        <v>46060</v>
      </c>
      <c r="K1065">
        <f t="shared" si="16"/>
        <v>33.36</v>
      </c>
      <c r="L1065" t="str" cm="1">
        <f t="array" ref="L1065">_xlfn.IFS(E1065&gt;=52000000,"Platinum",E1065&gt;=37000000,"Gold",E1065&gt;=30000000,"Sliver",E1065&lt;30000000,"Bronze")</f>
        <v>Bronze</v>
      </c>
    </row>
    <row r="1066" spans="1:12" x14ac:dyDescent="0.25">
      <c r="A1066">
        <v>1065</v>
      </c>
      <c r="B1066" t="s">
        <v>1086</v>
      </c>
      <c r="C1066" t="s">
        <v>10</v>
      </c>
      <c r="D1066" t="s">
        <v>32</v>
      </c>
      <c r="E1066" s="4">
        <v>31791757</v>
      </c>
      <c r="F1066">
        <v>45.4</v>
      </c>
      <c r="G1066">
        <v>8.33</v>
      </c>
      <c r="H1066">
        <v>499.93</v>
      </c>
      <c r="I1066">
        <v>18.350000000000001</v>
      </c>
      <c r="J1066" s="5">
        <v>46060</v>
      </c>
      <c r="K1066">
        <f t="shared" si="16"/>
        <v>36.479999999999997</v>
      </c>
      <c r="L1066" t="str" cm="1">
        <f t="array" ref="L1066">_xlfn.IFS(E1066&gt;=52000000,"Platinum",E1066&gt;=37000000,"Gold",E1066&gt;=30000000,"Sliver",E1066&lt;30000000,"Bronze")</f>
        <v>Sliver</v>
      </c>
    </row>
    <row r="1067" spans="1:12" x14ac:dyDescent="0.25">
      <c r="A1067">
        <v>1066</v>
      </c>
      <c r="B1067" t="s">
        <v>1087</v>
      </c>
      <c r="C1067" t="s">
        <v>19</v>
      </c>
      <c r="D1067" t="s">
        <v>25</v>
      </c>
      <c r="E1067" s="4">
        <v>28718367</v>
      </c>
      <c r="F1067">
        <v>35.32</v>
      </c>
      <c r="G1067">
        <v>3.59</v>
      </c>
      <c r="H1067">
        <v>215.56</v>
      </c>
      <c r="I1067">
        <v>10.17</v>
      </c>
      <c r="J1067" s="5">
        <v>46060</v>
      </c>
      <c r="K1067">
        <f t="shared" si="16"/>
        <v>37.43</v>
      </c>
      <c r="L1067" t="str" cm="1">
        <f t="array" ref="L1067">_xlfn.IFS(E1067&gt;=52000000,"Platinum",E1067&gt;=37000000,"Gold",E1067&gt;=30000000,"Sliver",E1067&lt;30000000,"Bronze")</f>
        <v>Bronze</v>
      </c>
    </row>
    <row r="1068" spans="1:12" x14ac:dyDescent="0.25">
      <c r="A1068">
        <v>1067</v>
      </c>
      <c r="B1068" t="s">
        <v>1088</v>
      </c>
      <c r="C1068" t="s">
        <v>46</v>
      </c>
      <c r="D1068" t="s">
        <v>11</v>
      </c>
      <c r="E1068" s="4">
        <v>25993813</v>
      </c>
      <c r="F1068">
        <v>51.07</v>
      </c>
      <c r="G1068">
        <v>5.72</v>
      </c>
      <c r="H1068">
        <v>343.36</v>
      </c>
      <c r="I1068">
        <v>11.21</v>
      </c>
      <c r="J1068" s="5">
        <v>46060</v>
      </c>
      <c r="K1068">
        <f t="shared" si="16"/>
        <v>30.07</v>
      </c>
      <c r="L1068" t="str" cm="1">
        <f t="array" ref="L1068">_xlfn.IFS(E1068&gt;=52000000,"Platinum",E1068&gt;=37000000,"Gold",E1068&gt;=30000000,"Sliver",E1068&lt;30000000,"Bronze")</f>
        <v>Bronze</v>
      </c>
    </row>
    <row r="1069" spans="1:12" x14ac:dyDescent="0.25">
      <c r="A1069">
        <v>1068</v>
      </c>
      <c r="B1069" t="s">
        <v>1089</v>
      </c>
      <c r="C1069" t="s">
        <v>16</v>
      </c>
      <c r="D1069" t="s">
        <v>17</v>
      </c>
      <c r="E1069" s="4">
        <v>26239571</v>
      </c>
      <c r="F1069">
        <v>47.01</v>
      </c>
      <c r="G1069">
        <v>6.76</v>
      </c>
      <c r="H1069">
        <v>405.37</v>
      </c>
      <c r="I1069">
        <v>14.37</v>
      </c>
      <c r="J1069" s="5">
        <v>46060</v>
      </c>
      <c r="K1069">
        <f t="shared" si="16"/>
        <v>33.68</v>
      </c>
      <c r="L1069" t="str" cm="1">
        <f t="array" ref="L1069">_xlfn.IFS(E1069&gt;=52000000,"Platinum",E1069&gt;=37000000,"Gold",E1069&gt;=30000000,"Sliver",E1069&lt;30000000,"Bronze")</f>
        <v>Bronze</v>
      </c>
    </row>
    <row r="1070" spans="1:12" x14ac:dyDescent="0.25">
      <c r="A1070">
        <v>1069</v>
      </c>
      <c r="B1070" t="s">
        <v>1090</v>
      </c>
      <c r="C1070" s="1" t="s">
        <v>21</v>
      </c>
      <c r="D1070" t="s">
        <v>32</v>
      </c>
      <c r="E1070" s="4">
        <v>30206194</v>
      </c>
      <c r="F1070">
        <v>50.85</v>
      </c>
      <c r="G1070">
        <v>9.65</v>
      </c>
      <c r="H1070">
        <v>579.21</v>
      </c>
      <c r="I1070">
        <v>18.98</v>
      </c>
      <c r="J1070" s="5">
        <v>46060</v>
      </c>
      <c r="K1070">
        <f t="shared" si="16"/>
        <v>34.07</v>
      </c>
      <c r="L1070" t="str" cm="1">
        <f t="array" ref="L1070">_xlfn.IFS(E1070&gt;=52000000,"Platinum",E1070&gt;=37000000,"Gold",E1070&gt;=30000000,"Sliver",E1070&lt;30000000,"Bronze")</f>
        <v>Sliver</v>
      </c>
    </row>
    <row r="1071" spans="1:12" x14ac:dyDescent="0.25">
      <c r="A1071">
        <v>1070</v>
      </c>
      <c r="B1071" t="s">
        <v>1091</v>
      </c>
      <c r="C1071" t="s">
        <v>27</v>
      </c>
      <c r="D1071" t="s">
        <v>17</v>
      </c>
      <c r="E1071" s="4">
        <v>29044248</v>
      </c>
      <c r="F1071">
        <v>18.72</v>
      </c>
      <c r="G1071">
        <v>36.08</v>
      </c>
      <c r="H1071">
        <v>2164.8000000000002</v>
      </c>
      <c r="I1071">
        <v>192.74</v>
      </c>
      <c r="J1071" s="5">
        <v>46060</v>
      </c>
      <c r="K1071">
        <f t="shared" si="16"/>
        <v>137.01</v>
      </c>
      <c r="L1071" t="str" cm="1">
        <f t="array" ref="L1071">_xlfn.IFS(E1071&gt;=52000000,"Platinum",E1071&gt;=37000000,"Gold",E1071&gt;=30000000,"Sliver",E1071&lt;30000000,"Bronze")</f>
        <v>Bronze</v>
      </c>
    </row>
    <row r="1072" spans="1:12" x14ac:dyDescent="0.25">
      <c r="A1072">
        <v>1071</v>
      </c>
      <c r="B1072" t="s">
        <v>1092</v>
      </c>
      <c r="C1072" t="s">
        <v>19</v>
      </c>
      <c r="D1072" t="s">
        <v>11</v>
      </c>
      <c r="E1072" s="4">
        <v>27417692</v>
      </c>
      <c r="F1072">
        <v>49.13</v>
      </c>
      <c r="G1072">
        <v>9.93</v>
      </c>
      <c r="H1072">
        <v>596.02</v>
      </c>
      <c r="I1072">
        <v>20.22</v>
      </c>
      <c r="J1072" s="5">
        <v>46060</v>
      </c>
      <c r="K1072">
        <f t="shared" si="16"/>
        <v>35.549999999999997</v>
      </c>
      <c r="L1072" t="str" cm="1">
        <f t="array" ref="L1072">_xlfn.IFS(E1072&gt;=52000000,"Platinum",E1072&gt;=37000000,"Gold",E1072&gt;=30000000,"Sliver",E1072&lt;30000000,"Bronze")</f>
        <v>Bronze</v>
      </c>
    </row>
    <row r="1073" spans="1:12" x14ac:dyDescent="0.25">
      <c r="A1073">
        <v>1072</v>
      </c>
      <c r="B1073" t="s">
        <v>1093</v>
      </c>
      <c r="C1073" t="s">
        <v>21</v>
      </c>
      <c r="D1073" t="s">
        <v>25</v>
      </c>
      <c r="E1073" s="4">
        <v>31008450</v>
      </c>
      <c r="F1073">
        <v>39.04</v>
      </c>
      <c r="G1073">
        <v>2.91</v>
      </c>
      <c r="H1073">
        <v>174.4</v>
      </c>
      <c r="I1073">
        <v>7.45</v>
      </c>
      <c r="J1073" s="5">
        <v>46060</v>
      </c>
      <c r="K1073">
        <f t="shared" si="16"/>
        <v>34.21</v>
      </c>
      <c r="L1073" t="str" cm="1">
        <f t="array" ref="L1073">_xlfn.IFS(E1073&gt;=52000000,"Platinum",E1073&gt;=37000000,"Gold",E1073&gt;=30000000,"Sliver",E1073&lt;30000000,"Bronze")</f>
        <v>Sliver</v>
      </c>
    </row>
    <row r="1074" spans="1:12" x14ac:dyDescent="0.25">
      <c r="A1074">
        <v>1073</v>
      </c>
      <c r="B1074" t="s">
        <v>1094</v>
      </c>
      <c r="C1074" t="s">
        <v>29</v>
      </c>
      <c r="D1074" t="s">
        <v>32</v>
      </c>
      <c r="E1074" s="4">
        <v>26327711</v>
      </c>
      <c r="F1074">
        <v>56.2</v>
      </c>
      <c r="G1074">
        <v>9.1999999999999993</v>
      </c>
      <c r="H1074">
        <v>552.12</v>
      </c>
      <c r="I1074">
        <v>16.37</v>
      </c>
      <c r="J1074" s="5">
        <v>46060</v>
      </c>
      <c r="K1074">
        <f t="shared" si="16"/>
        <v>30.09</v>
      </c>
      <c r="L1074" t="str" cm="1">
        <f t="array" ref="L1074">_xlfn.IFS(E1074&gt;=52000000,"Platinum",E1074&gt;=37000000,"Gold",E1074&gt;=30000000,"Sliver",E1074&lt;30000000,"Bronze")</f>
        <v>Bronze</v>
      </c>
    </row>
    <row r="1075" spans="1:12" x14ac:dyDescent="0.25">
      <c r="A1075">
        <v>1074</v>
      </c>
      <c r="B1075" t="s">
        <v>1095</v>
      </c>
      <c r="C1075" t="s">
        <v>21</v>
      </c>
      <c r="D1075" t="s">
        <v>32</v>
      </c>
      <c r="E1075" s="4">
        <v>26436688</v>
      </c>
      <c r="F1075">
        <v>49.61</v>
      </c>
      <c r="G1075">
        <v>2.91</v>
      </c>
      <c r="H1075">
        <v>174.88</v>
      </c>
      <c r="I1075">
        <v>5.88</v>
      </c>
      <c r="J1075" s="5">
        <v>46060</v>
      </c>
      <c r="K1075">
        <f t="shared" si="16"/>
        <v>28.14</v>
      </c>
      <c r="L1075" t="str" cm="1">
        <f t="array" ref="L1075">_xlfn.IFS(E1075&gt;=52000000,"Platinum",E1075&gt;=37000000,"Gold",E1075&gt;=30000000,"Sliver",E1075&lt;30000000,"Bronze")</f>
        <v>Bronze</v>
      </c>
    </row>
    <row r="1076" spans="1:12" x14ac:dyDescent="0.25">
      <c r="A1076">
        <v>1075</v>
      </c>
      <c r="B1076" t="s">
        <v>1096</v>
      </c>
      <c r="C1076" t="s">
        <v>46</v>
      </c>
      <c r="D1076" t="s">
        <v>11</v>
      </c>
      <c r="E1076" s="4">
        <v>29163733</v>
      </c>
      <c r="F1076">
        <v>49.93</v>
      </c>
      <c r="G1076">
        <v>6.61</v>
      </c>
      <c r="H1076">
        <v>396.37</v>
      </c>
      <c r="I1076">
        <v>13.23</v>
      </c>
      <c r="J1076" s="5">
        <v>46060</v>
      </c>
      <c r="K1076">
        <f t="shared" si="16"/>
        <v>31.65</v>
      </c>
      <c r="L1076" t="str" cm="1">
        <f t="array" ref="L1076">_xlfn.IFS(E1076&gt;=52000000,"Platinum",E1076&gt;=37000000,"Gold",E1076&gt;=30000000,"Sliver",E1076&lt;30000000,"Bronze")</f>
        <v>Bronze</v>
      </c>
    </row>
    <row r="1077" spans="1:12" x14ac:dyDescent="0.25">
      <c r="A1077">
        <v>1076</v>
      </c>
      <c r="B1077" t="s">
        <v>1097</v>
      </c>
      <c r="C1077" t="s">
        <v>27</v>
      </c>
      <c r="D1077" t="s">
        <v>13</v>
      </c>
      <c r="E1077" s="4">
        <v>30850878</v>
      </c>
      <c r="F1077">
        <v>15.12</v>
      </c>
      <c r="G1077">
        <v>22.61</v>
      </c>
      <c r="H1077">
        <v>1356.68</v>
      </c>
      <c r="I1077">
        <v>149.55000000000001</v>
      </c>
      <c r="J1077" s="5">
        <v>46060</v>
      </c>
      <c r="K1077">
        <f t="shared" si="16"/>
        <v>117.22</v>
      </c>
      <c r="L1077" t="str" cm="1">
        <f t="array" ref="L1077">_xlfn.IFS(E1077&gt;=52000000,"Platinum",E1077&gt;=37000000,"Gold",E1077&gt;=30000000,"Sliver",E1077&lt;30000000,"Bronze")</f>
        <v>Sliver</v>
      </c>
    </row>
    <row r="1078" spans="1:12" x14ac:dyDescent="0.25">
      <c r="A1078">
        <v>1077</v>
      </c>
      <c r="B1078" t="s">
        <v>1098</v>
      </c>
      <c r="C1078" t="s">
        <v>16</v>
      </c>
      <c r="D1078" t="s">
        <v>32</v>
      </c>
      <c r="E1078" s="4">
        <v>33533703</v>
      </c>
      <c r="F1078">
        <v>40.1</v>
      </c>
      <c r="G1078">
        <v>4.59</v>
      </c>
      <c r="H1078">
        <v>275.62</v>
      </c>
      <c r="I1078">
        <v>11.46</v>
      </c>
      <c r="J1078" s="5">
        <v>46060</v>
      </c>
      <c r="K1078">
        <f t="shared" si="16"/>
        <v>35.68</v>
      </c>
      <c r="L1078" t="str" cm="1">
        <f t="array" ref="L1078">_xlfn.IFS(E1078&gt;=52000000,"Platinum",E1078&gt;=37000000,"Gold",E1078&gt;=30000000,"Sliver",E1078&lt;30000000,"Bronze")</f>
        <v>Sliver</v>
      </c>
    </row>
    <row r="1079" spans="1:12" x14ac:dyDescent="0.25">
      <c r="A1079">
        <v>1078</v>
      </c>
      <c r="B1079" t="s">
        <v>1099</v>
      </c>
      <c r="C1079" t="s">
        <v>10</v>
      </c>
      <c r="D1079" t="s">
        <v>17</v>
      </c>
      <c r="E1079" s="4">
        <v>27348561</v>
      </c>
      <c r="F1079">
        <v>58.59</v>
      </c>
      <c r="G1079">
        <v>8.25</v>
      </c>
      <c r="H1079">
        <v>495.27</v>
      </c>
      <c r="I1079">
        <v>14.09</v>
      </c>
      <c r="J1079" s="5">
        <v>46060</v>
      </c>
      <c r="K1079">
        <f t="shared" si="16"/>
        <v>27.75</v>
      </c>
      <c r="L1079" t="str" cm="1">
        <f t="array" ref="L1079">_xlfn.IFS(E1079&gt;=52000000,"Platinum",E1079&gt;=37000000,"Gold",E1079&gt;=30000000,"Sliver",E1079&lt;30000000,"Bronze")</f>
        <v>Bronze</v>
      </c>
    </row>
    <row r="1080" spans="1:12" x14ac:dyDescent="0.25">
      <c r="A1080">
        <v>1079</v>
      </c>
      <c r="B1080" t="s">
        <v>1100</v>
      </c>
      <c r="C1080" t="s">
        <v>16</v>
      </c>
      <c r="D1080" t="s">
        <v>11</v>
      </c>
      <c r="E1080" s="4">
        <v>33863748</v>
      </c>
      <c r="F1080">
        <v>52.32</v>
      </c>
      <c r="G1080">
        <v>2.89</v>
      </c>
      <c r="H1080">
        <v>173.13</v>
      </c>
      <c r="I1080">
        <v>5.52</v>
      </c>
      <c r="J1080" s="5">
        <v>46060</v>
      </c>
      <c r="K1080">
        <f t="shared" si="16"/>
        <v>26.6</v>
      </c>
      <c r="L1080" t="str" cm="1">
        <f t="array" ref="L1080">_xlfn.IFS(E1080&gt;=52000000,"Platinum",E1080&gt;=37000000,"Gold",E1080&gt;=30000000,"Sliver",E1080&lt;30000000,"Bronze")</f>
        <v>Sliver</v>
      </c>
    </row>
    <row r="1081" spans="1:12" x14ac:dyDescent="0.25">
      <c r="A1081">
        <v>1080</v>
      </c>
      <c r="B1081" t="s">
        <v>1101</v>
      </c>
      <c r="C1081" t="s">
        <v>10</v>
      </c>
      <c r="D1081" t="s">
        <v>17</v>
      </c>
      <c r="E1081" s="4">
        <v>28120286</v>
      </c>
      <c r="F1081">
        <v>34.67</v>
      </c>
      <c r="G1081">
        <v>6.38</v>
      </c>
      <c r="H1081">
        <v>382.91</v>
      </c>
      <c r="I1081">
        <v>18.41</v>
      </c>
      <c r="J1081" s="5">
        <v>46060</v>
      </c>
      <c r="K1081">
        <f t="shared" si="16"/>
        <v>41.87</v>
      </c>
      <c r="L1081" t="str" cm="1">
        <f t="array" ref="L1081">_xlfn.IFS(E1081&gt;=52000000,"Platinum",E1081&gt;=37000000,"Gold",E1081&gt;=30000000,"Sliver",E1081&lt;30000000,"Bronze")</f>
        <v>Bronze</v>
      </c>
    </row>
    <row r="1082" spans="1:12" x14ac:dyDescent="0.25">
      <c r="A1082">
        <v>1081</v>
      </c>
      <c r="B1082" t="s">
        <v>1102</v>
      </c>
      <c r="C1082" t="s">
        <v>27</v>
      </c>
      <c r="D1082" t="s">
        <v>13</v>
      </c>
      <c r="E1082" s="4">
        <v>25990742</v>
      </c>
      <c r="F1082" s="1">
        <f>CALCULATION!$C$11</f>
        <v>42.81</v>
      </c>
      <c r="G1082" s="1">
        <v>31.59</v>
      </c>
      <c r="H1082">
        <v>1895.55</v>
      </c>
      <c r="I1082">
        <v>107.68</v>
      </c>
      <c r="J1082" s="5">
        <v>46060</v>
      </c>
      <c r="K1082">
        <f t="shared" si="16"/>
        <v>82.44</v>
      </c>
      <c r="L1082" t="str" cm="1">
        <f t="array" ref="L1082">_xlfn.IFS(E1082&gt;=52000000,"Platinum",E1082&gt;=37000000,"Gold",E1082&gt;=30000000,"Sliver",E1082&lt;30000000,"Bronze")</f>
        <v>Bronze</v>
      </c>
    </row>
    <row r="1083" spans="1:12" x14ac:dyDescent="0.25">
      <c r="A1083">
        <v>1082</v>
      </c>
      <c r="B1083" t="s">
        <v>1103</v>
      </c>
      <c r="C1083" t="s">
        <v>29</v>
      </c>
      <c r="D1083" t="s">
        <v>17</v>
      </c>
      <c r="E1083" s="4">
        <v>33692621</v>
      </c>
      <c r="F1083">
        <v>43.96</v>
      </c>
      <c r="G1083">
        <v>7.33</v>
      </c>
      <c r="H1083">
        <v>439.82</v>
      </c>
      <c r="I1083">
        <v>16.68</v>
      </c>
      <c r="J1083" s="5">
        <v>46060</v>
      </c>
      <c r="K1083">
        <f t="shared" si="16"/>
        <v>36.36</v>
      </c>
      <c r="L1083" t="str" cm="1">
        <f t="array" ref="L1083">_xlfn.IFS(E1083&gt;=52000000,"Platinum",E1083&gt;=37000000,"Gold",E1083&gt;=30000000,"Sliver",E1083&lt;30000000,"Bronze")</f>
        <v>Sliver</v>
      </c>
    </row>
    <row r="1084" spans="1:12" x14ac:dyDescent="0.25">
      <c r="A1084">
        <v>1083</v>
      </c>
      <c r="B1084" t="s">
        <v>1104</v>
      </c>
      <c r="C1084" t="s">
        <v>16</v>
      </c>
      <c r="D1084" t="s">
        <v>17</v>
      </c>
      <c r="E1084" s="4">
        <v>33275719</v>
      </c>
      <c r="F1084">
        <v>33.49</v>
      </c>
      <c r="G1084">
        <v>7.49</v>
      </c>
      <c r="H1084">
        <v>449.56</v>
      </c>
      <c r="I1084">
        <v>22.37</v>
      </c>
      <c r="J1084" s="5">
        <v>46060</v>
      </c>
      <c r="K1084">
        <f t="shared" si="16"/>
        <v>44.44</v>
      </c>
      <c r="L1084" t="str" cm="1">
        <f t="array" ref="L1084">_xlfn.IFS(E1084&gt;=52000000,"Platinum",E1084&gt;=37000000,"Gold",E1084&gt;=30000000,"Sliver",E1084&lt;30000000,"Bronze")</f>
        <v>Sliver</v>
      </c>
    </row>
    <row r="1085" spans="1:12" x14ac:dyDescent="0.25">
      <c r="A1085">
        <v>1084</v>
      </c>
      <c r="B1085" t="s">
        <v>1105</v>
      </c>
      <c r="C1085" t="s">
        <v>19</v>
      </c>
      <c r="D1085" t="s">
        <v>13</v>
      </c>
      <c r="E1085" s="4">
        <v>30845897</v>
      </c>
      <c r="F1085">
        <v>43.94</v>
      </c>
      <c r="G1085">
        <v>6</v>
      </c>
      <c r="H1085">
        <v>359.99</v>
      </c>
      <c r="I1085">
        <v>13.65</v>
      </c>
      <c r="J1085" s="5">
        <v>46060</v>
      </c>
      <c r="K1085">
        <f t="shared" si="16"/>
        <v>34.86</v>
      </c>
      <c r="L1085" t="str" cm="1">
        <f t="array" ref="L1085">_xlfn.IFS(E1085&gt;=52000000,"Platinum",E1085&gt;=37000000,"Gold",E1085&gt;=30000000,"Sliver",E1085&lt;30000000,"Bronze")</f>
        <v>Sliver</v>
      </c>
    </row>
    <row r="1086" spans="1:12" x14ac:dyDescent="0.25">
      <c r="A1086">
        <v>1085</v>
      </c>
      <c r="B1086" t="s">
        <v>1106</v>
      </c>
      <c r="C1086" t="s">
        <v>27</v>
      </c>
      <c r="D1086" t="s">
        <v>25</v>
      </c>
      <c r="E1086" s="4">
        <v>24607939</v>
      </c>
      <c r="F1086">
        <v>29.15</v>
      </c>
      <c r="G1086">
        <v>29.13</v>
      </c>
      <c r="H1086">
        <v>1747.69</v>
      </c>
      <c r="I1086">
        <v>99.93</v>
      </c>
      <c r="J1086" s="5">
        <v>46060</v>
      </c>
      <c r="K1086">
        <f t="shared" si="16"/>
        <v>85.39</v>
      </c>
      <c r="L1086" t="str" cm="1">
        <f t="array" ref="L1086">_xlfn.IFS(E1086&gt;=52000000,"Platinum",E1086&gt;=37000000,"Gold",E1086&gt;=30000000,"Sliver",E1086&lt;30000000,"Bronze")</f>
        <v>Bronze</v>
      </c>
    </row>
    <row r="1087" spans="1:12" x14ac:dyDescent="0.25">
      <c r="A1087">
        <v>1086</v>
      </c>
      <c r="B1087" t="s">
        <v>1107</v>
      </c>
      <c r="C1087" t="s">
        <v>21</v>
      </c>
      <c r="D1087" t="s">
        <v>22</v>
      </c>
      <c r="E1087" s="4">
        <v>36389470</v>
      </c>
      <c r="F1087" s="1">
        <f>CALCULATION!$C$11</f>
        <v>42.81</v>
      </c>
      <c r="G1087" s="1">
        <v>2.92</v>
      </c>
      <c r="H1087">
        <v>175.03</v>
      </c>
      <c r="I1087">
        <v>7.06</v>
      </c>
      <c r="J1087" s="5">
        <v>46060</v>
      </c>
      <c r="K1087">
        <f t="shared" si="16"/>
        <v>32.130000000000003</v>
      </c>
      <c r="L1087" t="str" cm="1">
        <f t="array" ref="L1087">_xlfn.IFS(E1087&gt;=52000000,"Platinum",E1087&gt;=37000000,"Gold",E1087&gt;=30000000,"Sliver",E1087&lt;30000000,"Bronze")</f>
        <v>Sliver</v>
      </c>
    </row>
    <row r="1088" spans="1:12" x14ac:dyDescent="0.25">
      <c r="A1088">
        <v>1087</v>
      </c>
      <c r="B1088" t="s">
        <v>1108</v>
      </c>
      <c r="C1088" t="s">
        <v>29</v>
      </c>
      <c r="D1088" t="s">
        <v>25</v>
      </c>
      <c r="E1088" s="4">
        <v>30918387</v>
      </c>
      <c r="F1088">
        <v>50.1</v>
      </c>
      <c r="G1088">
        <v>6.01</v>
      </c>
      <c r="H1088">
        <v>360.79</v>
      </c>
      <c r="I1088">
        <v>12</v>
      </c>
      <c r="J1088" s="5">
        <v>46060</v>
      </c>
      <c r="K1088">
        <f t="shared" si="16"/>
        <v>30.95</v>
      </c>
      <c r="L1088" t="str" cm="1">
        <f t="array" ref="L1088">_xlfn.IFS(E1088&gt;=52000000,"Platinum",E1088&gt;=37000000,"Gold",E1088&gt;=30000000,"Sliver",E1088&lt;30000000,"Bronze")</f>
        <v>Sliver</v>
      </c>
    </row>
    <row r="1089" spans="1:12" x14ac:dyDescent="0.25">
      <c r="A1089">
        <v>1088</v>
      </c>
      <c r="B1089" t="s">
        <v>1109</v>
      </c>
      <c r="C1089" t="s">
        <v>46</v>
      </c>
      <c r="D1089" t="s">
        <v>17</v>
      </c>
      <c r="E1089" s="4">
        <v>30410328</v>
      </c>
      <c r="F1089">
        <v>55.45</v>
      </c>
      <c r="G1089">
        <v>3.67</v>
      </c>
      <c r="H1089">
        <v>220.08</v>
      </c>
      <c r="I1089">
        <v>6.61</v>
      </c>
      <c r="J1089" s="5">
        <v>46060</v>
      </c>
      <c r="K1089">
        <f t="shared" si="16"/>
        <v>25.58</v>
      </c>
      <c r="L1089" t="str" cm="1">
        <f t="array" ref="L1089">_xlfn.IFS(E1089&gt;=52000000,"Platinum",E1089&gt;=37000000,"Gold",E1089&gt;=30000000,"Sliver",E1089&lt;30000000,"Bronze")</f>
        <v>Sliver</v>
      </c>
    </row>
    <row r="1090" spans="1:12" x14ac:dyDescent="0.25">
      <c r="A1090">
        <v>1089</v>
      </c>
      <c r="B1090" t="s">
        <v>1110</v>
      </c>
      <c r="C1090" t="s">
        <v>21</v>
      </c>
      <c r="D1090" t="s">
        <v>11</v>
      </c>
      <c r="E1090" s="4">
        <v>28252482</v>
      </c>
      <c r="F1090">
        <v>46.75</v>
      </c>
      <c r="G1090">
        <v>1.98</v>
      </c>
      <c r="H1090">
        <v>118.51</v>
      </c>
      <c r="I1090">
        <v>4.22</v>
      </c>
      <c r="J1090" s="5">
        <v>46060</v>
      </c>
      <c r="K1090">
        <f t="shared" si="16"/>
        <v>28.74</v>
      </c>
      <c r="L1090" t="str" cm="1">
        <f t="array" ref="L1090">_xlfn.IFS(E1090&gt;=52000000,"Platinum",E1090&gt;=37000000,"Gold",E1090&gt;=30000000,"Sliver",E1090&lt;30000000,"Bronze")</f>
        <v>Bronze</v>
      </c>
    </row>
    <row r="1091" spans="1:12" x14ac:dyDescent="0.25">
      <c r="A1091">
        <v>1090</v>
      </c>
      <c r="B1091" t="s">
        <v>1111</v>
      </c>
      <c r="C1091" t="s">
        <v>10</v>
      </c>
      <c r="D1091" t="s">
        <v>17</v>
      </c>
      <c r="E1091" s="4">
        <v>27390803</v>
      </c>
      <c r="F1091">
        <v>32.770000000000003</v>
      </c>
      <c r="G1091">
        <v>3.33</v>
      </c>
      <c r="H1091">
        <v>199.67</v>
      </c>
      <c r="I1091">
        <v>10.16</v>
      </c>
      <c r="J1091" s="5">
        <v>46060</v>
      </c>
      <c r="K1091">
        <f t="shared" ref="K1091:K1154" si="17">ROUND((100-F1091)*0.5 + I1091*0.5,2)</f>
        <v>38.700000000000003</v>
      </c>
      <c r="L1091" t="str" cm="1">
        <f t="array" ref="L1091">_xlfn.IFS(E1091&gt;=52000000,"Platinum",E1091&gt;=37000000,"Gold",E1091&gt;=30000000,"Sliver",E1091&lt;30000000,"Bronze")</f>
        <v>Bronze</v>
      </c>
    </row>
    <row r="1092" spans="1:12" x14ac:dyDescent="0.25">
      <c r="A1092">
        <v>1091</v>
      </c>
      <c r="B1092" t="s">
        <v>1112</v>
      </c>
      <c r="C1092" t="s">
        <v>16</v>
      </c>
      <c r="D1092" t="s">
        <v>25</v>
      </c>
      <c r="E1092" s="4">
        <v>31395321</v>
      </c>
      <c r="F1092">
        <v>49.59</v>
      </c>
      <c r="G1092">
        <v>4.1399999999999997</v>
      </c>
      <c r="H1092">
        <v>248.46</v>
      </c>
      <c r="I1092">
        <v>8.35</v>
      </c>
      <c r="J1092" s="5">
        <v>46060</v>
      </c>
      <c r="K1092">
        <f t="shared" si="17"/>
        <v>29.38</v>
      </c>
      <c r="L1092" t="str" cm="1">
        <f t="array" ref="L1092">_xlfn.IFS(E1092&gt;=52000000,"Platinum",E1092&gt;=37000000,"Gold",E1092&gt;=30000000,"Sliver",E1092&lt;30000000,"Bronze")</f>
        <v>Sliver</v>
      </c>
    </row>
    <row r="1093" spans="1:12" x14ac:dyDescent="0.25">
      <c r="A1093">
        <v>1092</v>
      </c>
      <c r="B1093" t="s">
        <v>1113</v>
      </c>
      <c r="C1093" t="s">
        <v>46</v>
      </c>
      <c r="D1093" t="s">
        <v>22</v>
      </c>
      <c r="E1093" s="4">
        <v>34323764</v>
      </c>
      <c r="F1093">
        <v>54.19</v>
      </c>
      <c r="G1093">
        <v>5.59</v>
      </c>
      <c r="H1093">
        <v>335.57</v>
      </c>
      <c r="I1093">
        <v>10.32</v>
      </c>
      <c r="J1093" s="5">
        <v>46060</v>
      </c>
      <c r="K1093">
        <f t="shared" si="17"/>
        <v>28.07</v>
      </c>
      <c r="L1093" t="str" cm="1">
        <f t="array" ref="L1093">_xlfn.IFS(E1093&gt;=52000000,"Platinum",E1093&gt;=37000000,"Gold",E1093&gt;=30000000,"Sliver",E1093&lt;30000000,"Bronze")</f>
        <v>Sliver</v>
      </c>
    </row>
    <row r="1094" spans="1:12" x14ac:dyDescent="0.25">
      <c r="A1094">
        <v>1093</v>
      </c>
      <c r="B1094" t="s">
        <v>1114</v>
      </c>
      <c r="C1094" t="s">
        <v>29</v>
      </c>
      <c r="D1094" t="s">
        <v>13</v>
      </c>
      <c r="E1094" s="4">
        <v>32018888</v>
      </c>
      <c r="F1094">
        <v>45.95</v>
      </c>
      <c r="G1094">
        <v>5.49</v>
      </c>
      <c r="H1094">
        <v>329.27</v>
      </c>
      <c r="I1094">
        <v>11.94</v>
      </c>
      <c r="J1094" s="5">
        <v>46060</v>
      </c>
      <c r="K1094">
        <f t="shared" si="17"/>
        <v>33</v>
      </c>
      <c r="L1094" t="str" cm="1">
        <f t="array" ref="L1094">_xlfn.IFS(E1094&gt;=52000000,"Platinum",E1094&gt;=37000000,"Gold",E1094&gt;=30000000,"Sliver",E1094&lt;30000000,"Bronze")</f>
        <v>Sliver</v>
      </c>
    </row>
    <row r="1095" spans="1:12" x14ac:dyDescent="0.25">
      <c r="A1095">
        <v>1094</v>
      </c>
      <c r="B1095" t="s">
        <v>1115</v>
      </c>
      <c r="C1095" t="s">
        <v>46</v>
      </c>
      <c r="D1095" t="s">
        <v>22</v>
      </c>
      <c r="E1095" s="4">
        <v>36276234</v>
      </c>
      <c r="F1095">
        <v>44.45</v>
      </c>
      <c r="G1095">
        <v>3.16</v>
      </c>
      <c r="H1095">
        <v>189.59</v>
      </c>
      <c r="I1095">
        <v>7.11</v>
      </c>
      <c r="J1095" s="5">
        <v>46060</v>
      </c>
      <c r="K1095">
        <f t="shared" si="17"/>
        <v>31.33</v>
      </c>
      <c r="L1095" t="str" cm="1">
        <f t="array" ref="L1095">_xlfn.IFS(E1095&gt;=52000000,"Platinum",E1095&gt;=37000000,"Gold",E1095&gt;=30000000,"Sliver",E1095&lt;30000000,"Bronze")</f>
        <v>Sliver</v>
      </c>
    </row>
    <row r="1096" spans="1:12" x14ac:dyDescent="0.25">
      <c r="A1096">
        <v>1095</v>
      </c>
      <c r="B1096" t="s">
        <v>1116</v>
      </c>
      <c r="C1096" t="s">
        <v>19</v>
      </c>
      <c r="D1096" t="s">
        <v>11</v>
      </c>
      <c r="E1096" s="4">
        <v>30511644</v>
      </c>
      <c r="F1096">
        <v>37.03</v>
      </c>
      <c r="G1096">
        <v>8.64</v>
      </c>
      <c r="H1096">
        <v>518.59</v>
      </c>
      <c r="I1096">
        <v>23.34</v>
      </c>
      <c r="J1096" s="5">
        <v>46060</v>
      </c>
      <c r="K1096">
        <f t="shared" si="17"/>
        <v>43.16</v>
      </c>
      <c r="L1096" t="str" cm="1">
        <f t="array" ref="L1096">_xlfn.IFS(E1096&gt;=52000000,"Platinum",E1096&gt;=37000000,"Gold",E1096&gt;=30000000,"Sliver",E1096&lt;30000000,"Bronze")</f>
        <v>Sliver</v>
      </c>
    </row>
    <row r="1097" spans="1:12" x14ac:dyDescent="0.25">
      <c r="A1097">
        <v>1096</v>
      </c>
      <c r="B1097" t="s">
        <v>1117</v>
      </c>
      <c r="C1097" s="1" t="s">
        <v>21</v>
      </c>
      <c r="D1097" t="s">
        <v>25</v>
      </c>
      <c r="E1097" s="4">
        <v>33255377</v>
      </c>
      <c r="F1097">
        <v>36.89</v>
      </c>
      <c r="G1097">
        <v>9.86</v>
      </c>
      <c r="H1097">
        <v>591.72</v>
      </c>
      <c r="I1097">
        <v>26.73</v>
      </c>
      <c r="J1097" s="5">
        <v>46060</v>
      </c>
      <c r="K1097">
        <f t="shared" si="17"/>
        <v>44.92</v>
      </c>
      <c r="L1097" t="str" cm="1">
        <f t="array" ref="L1097">_xlfn.IFS(E1097&gt;=52000000,"Platinum",E1097&gt;=37000000,"Gold",E1097&gt;=30000000,"Sliver",E1097&lt;30000000,"Bronze")</f>
        <v>Sliver</v>
      </c>
    </row>
    <row r="1098" spans="1:12" x14ac:dyDescent="0.25">
      <c r="A1098">
        <v>1097</v>
      </c>
      <c r="B1098" t="s">
        <v>1118</v>
      </c>
      <c r="C1098" t="s">
        <v>16</v>
      </c>
      <c r="D1098" t="s">
        <v>25</v>
      </c>
      <c r="E1098" s="4">
        <v>26814800</v>
      </c>
      <c r="F1098" s="1">
        <f>CALCULATION!$C$11</f>
        <v>42.81</v>
      </c>
      <c r="G1098" s="1">
        <v>8.65</v>
      </c>
      <c r="H1098">
        <v>518.74</v>
      </c>
      <c r="I1098">
        <v>26.46</v>
      </c>
      <c r="J1098" s="5">
        <v>46060</v>
      </c>
      <c r="K1098">
        <f t="shared" si="17"/>
        <v>41.83</v>
      </c>
      <c r="L1098" t="str" cm="1">
        <f t="array" ref="L1098">_xlfn.IFS(E1098&gt;=52000000,"Platinum",E1098&gt;=37000000,"Gold",E1098&gt;=30000000,"Sliver",E1098&lt;30000000,"Bronze")</f>
        <v>Bronze</v>
      </c>
    </row>
    <row r="1099" spans="1:12" x14ac:dyDescent="0.25">
      <c r="A1099">
        <v>1098</v>
      </c>
      <c r="B1099" t="s">
        <v>1119</v>
      </c>
      <c r="C1099" t="s">
        <v>19</v>
      </c>
      <c r="D1099" t="s">
        <v>25</v>
      </c>
      <c r="E1099" s="4">
        <v>24375113</v>
      </c>
      <c r="F1099">
        <v>43.06</v>
      </c>
      <c r="G1099">
        <v>6.15</v>
      </c>
      <c r="H1099">
        <v>369.07</v>
      </c>
      <c r="I1099">
        <v>14.29</v>
      </c>
      <c r="J1099" s="5">
        <v>46060</v>
      </c>
      <c r="K1099">
        <f t="shared" si="17"/>
        <v>35.619999999999997</v>
      </c>
      <c r="L1099" t="str" cm="1">
        <f t="array" ref="L1099">_xlfn.IFS(E1099&gt;=52000000,"Platinum",E1099&gt;=37000000,"Gold",E1099&gt;=30000000,"Sliver",E1099&lt;30000000,"Bronze")</f>
        <v>Bronze</v>
      </c>
    </row>
    <row r="1100" spans="1:12" x14ac:dyDescent="0.25">
      <c r="A1100">
        <v>1099</v>
      </c>
      <c r="B1100" t="s">
        <v>1120</v>
      </c>
      <c r="C1100" t="s">
        <v>46</v>
      </c>
      <c r="D1100" t="s">
        <v>13</v>
      </c>
      <c r="E1100" s="4">
        <v>34962202</v>
      </c>
      <c r="F1100">
        <v>51.31</v>
      </c>
      <c r="G1100">
        <v>5.66</v>
      </c>
      <c r="H1100">
        <v>339.71</v>
      </c>
      <c r="I1100">
        <v>11.03</v>
      </c>
      <c r="J1100" s="5">
        <v>46060</v>
      </c>
      <c r="K1100">
        <f t="shared" si="17"/>
        <v>29.86</v>
      </c>
      <c r="L1100" t="str" cm="1">
        <f t="array" ref="L1100">_xlfn.IFS(E1100&gt;=52000000,"Platinum",E1100&gt;=37000000,"Gold",E1100&gt;=30000000,"Sliver",E1100&lt;30000000,"Bronze")</f>
        <v>Sliver</v>
      </c>
    </row>
    <row r="1101" spans="1:12" x14ac:dyDescent="0.25">
      <c r="A1101">
        <v>1100</v>
      </c>
      <c r="B1101" t="s">
        <v>1121</v>
      </c>
      <c r="C1101" t="s">
        <v>16</v>
      </c>
      <c r="D1101" t="s">
        <v>17</v>
      </c>
      <c r="E1101" s="4">
        <v>26328996</v>
      </c>
      <c r="F1101">
        <v>57.95</v>
      </c>
      <c r="G1101">
        <v>5.17</v>
      </c>
      <c r="H1101">
        <v>310.01</v>
      </c>
      <c r="I1101">
        <v>8.92</v>
      </c>
      <c r="J1101" s="5">
        <v>46060</v>
      </c>
      <c r="K1101">
        <f t="shared" si="17"/>
        <v>25.49</v>
      </c>
      <c r="L1101" t="str" cm="1">
        <f t="array" ref="L1101">_xlfn.IFS(E1101&gt;=52000000,"Platinum",E1101&gt;=37000000,"Gold",E1101&gt;=30000000,"Sliver",E1101&lt;30000000,"Bronze")</f>
        <v>Bronze</v>
      </c>
    </row>
    <row r="1102" spans="1:12" x14ac:dyDescent="0.25">
      <c r="A1102">
        <v>1101</v>
      </c>
      <c r="B1102" t="s">
        <v>1122</v>
      </c>
      <c r="C1102" t="s">
        <v>19</v>
      </c>
      <c r="D1102" t="s">
        <v>22</v>
      </c>
      <c r="E1102" s="4">
        <v>33635731</v>
      </c>
      <c r="F1102">
        <v>30.6</v>
      </c>
      <c r="G1102">
        <v>7.27</v>
      </c>
      <c r="H1102">
        <v>436.49</v>
      </c>
      <c r="I1102">
        <v>23.77</v>
      </c>
      <c r="J1102" s="5">
        <v>46060</v>
      </c>
      <c r="K1102">
        <f t="shared" si="17"/>
        <v>46.59</v>
      </c>
      <c r="L1102" t="str" cm="1">
        <f t="array" ref="L1102">_xlfn.IFS(E1102&gt;=52000000,"Platinum",E1102&gt;=37000000,"Gold",E1102&gt;=30000000,"Sliver",E1102&lt;30000000,"Bronze")</f>
        <v>Sliver</v>
      </c>
    </row>
    <row r="1103" spans="1:12" x14ac:dyDescent="0.25">
      <c r="A1103">
        <v>1102</v>
      </c>
      <c r="B1103" t="s">
        <v>1123</v>
      </c>
      <c r="C1103" t="s">
        <v>27</v>
      </c>
      <c r="D1103" t="s">
        <v>17</v>
      </c>
      <c r="E1103" s="4">
        <v>30390224</v>
      </c>
      <c r="F1103">
        <v>25.95</v>
      </c>
      <c r="G1103">
        <v>37.590000000000003</v>
      </c>
      <c r="H1103">
        <v>2255.3200000000002</v>
      </c>
      <c r="I1103">
        <v>144.85</v>
      </c>
      <c r="J1103" s="5">
        <v>46060</v>
      </c>
      <c r="K1103">
        <f t="shared" si="17"/>
        <v>109.45</v>
      </c>
      <c r="L1103" t="str" cm="1">
        <f t="array" ref="L1103">_xlfn.IFS(E1103&gt;=52000000,"Platinum",E1103&gt;=37000000,"Gold",E1103&gt;=30000000,"Sliver",E1103&lt;30000000,"Bronze")</f>
        <v>Sliver</v>
      </c>
    </row>
    <row r="1104" spans="1:12" x14ac:dyDescent="0.25">
      <c r="A1104">
        <v>1103</v>
      </c>
      <c r="B1104" t="s">
        <v>1124</v>
      </c>
      <c r="C1104" t="s">
        <v>27</v>
      </c>
      <c r="D1104" t="s">
        <v>13</v>
      </c>
      <c r="E1104" s="4">
        <v>35553235</v>
      </c>
      <c r="F1104">
        <v>22.29</v>
      </c>
      <c r="G1104">
        <v>26.69</v>
      </c>
      <c r="H1104">
        <v>1601.5</v>
      </c>
      <c r="I1104">
        <v>119.75</v>
      </c>
      <c r="J1104" s="5">
        <v>46060</v>
      </c>
      <c r="K1104">
        <f t="shared" si="17"/>
        <v>98.73</v>
      </c>
      <c r="L1104" t="str" cm="1">
        <f t="array" ref="L1104">_xlfn.IFS(E1104&gt;=52000000,"Platinum",E1104&gt;=37000000,"Gold",E1104&gt;=30000000,"Sliver",E1104&lt;30000000,"Bronze")</f>
        <v>Sliver</v>
      </c>
    </row>
    <row r="1105" spans="1:12" x14ac:dyDescent="0.25">
      <c r="A1105">
        <v>1104</v>
      </c>
      <c r="B1105" t="s">
        <v>1125</v>
      </c>
      <c r="C1105" t="s">
        <v>16</v>
      </c>
      <c r="D1105" t="s">
        <v>11</v>
      </c>
      <c r="E1105" s="4">
        <v>32529988</v>
      </c>
      <c r="F1105">
        <v>30.34</v>
      </c>
      <c r="G1105">
        <v>6.86</v>
      </c>
      <c r="H1105">
        <v>411.67</v>
      </c>
      <c r="I1105">
        <v>22.61</v>
      </c>
      <c r="J1105" s="5">
        <v>46060</v>
      </c>
      <c r="K1105">
        <f t="shared" si="17"/>
        <v>46.14</v>
      </c>
      <c r="L1105" t="str" cm="1">
        <f t="array" ref="L1105">_xlfn.IFS(E1105&gt;=52000000,"Platinum",E1105&gt;=37000000,"Gold",E1105&gt;=30000000,"Sliver",E1105&lt;30000000,"Bronze")</f>
        <v>Sliver</v>
      </c>
    </row>
    <row r="1106" spans="1:12" x14ac:dyDescent="0.25">
      <c r="A1106">
        <v>1105</v>
      </c>
      <c r="B1106" t="s">
        <v>1126</v>
      </c>
      <c r="C1106" t="s">
        <v>29</v>
      </c>
      <c r="D1106" t="s">
        <v>25</v>
      </c>
      <c r="E1106" s="4">
        <v>28685293</v>
      </c>
      <c r="F1106">
        <v>31.65</v>
      </c>
      <c r="G1106">
        <v>8.6300000000000008</v>
      </c>
      <c r="H1106">
        <v>517.79</v>
      </c>
      <c r="I1106">
        <v>27.27</v>
      </c>
      <c r="J1106" s="5">
        <v>46060</v>
      </c>
      <c r="K1106">
        <f t="shared" si="17"/>
        <v>47.81</v>
      </c>
      <c r="L1106" t="str" cm="1">
        <f t="array" ref="L1106">_xlfn.IFS(E1106&gt;=52000000,"Platinum",E1106&gt;=37000000,"Gold",E1106&gt;=30000000,"Sliver",E1106&lt;30000000,"Bronze")</f>
        <v>Bronze</v>
      </c>
    </row>
    <row r="1107" spans="1:12" x14ac:dyDescent="0.25">
      <c r="A1107">
        <v>1106</v>
      </c>
      <c r="B1107" t="s">
        <v>1127</v>
      </c>
      <c r="C1107" t="s">
        <v>27</v>
      </c>
      <c r="D1107" t="s">
        <v>25</v>
      </c>
      <c r="E1107" s="4">
        <v>28703311</v>
      </c>
      <c r="F1107" s="1">
        <f>CALCULATION!$C$11</f>
        <v>42.81</v>
      </c>
      <c r="G1107" s="1">
        <v>11.54</v>
      </c>
      <c r="H1107">
        <v>692.56</v>
      </c>
      <c r="I1107">
        <v>40.96</v>
      </c>
      <c r="J1107" s="5">
        <v>46060</v>
      </c>
      <c r="K1107">
        <f t="shared" si="17"/>
        <v>49.08</v>
      </c>
      <c r="L1107" t="str" cm="1">
        <f t="array" ref="L1107">_xlfn.IFS(E1107&gt;=52000000,"Platinum",E1107&gt;=37000000,"Gold",E1107&gt;=30000000,"Sliver",E1107&lt;30000000,"Bronze")</f>
        <v>Bronze</v>
      </c>
    </row>
    <row r="1108" spans="1:12" x14ac:dyDescent="0.25">
      <c r="A1108">
        <v>1107</v>
      </c>
      <c r="B1108" t="s">
        <v>1128</v>
      </c>
      <c r="C1108" t="s">
        <v>16</v>
      </c>
      <c r="D1108" t="s">
        <v>25</v>
      </c>
      <c r="E1108" s="4">
        <v>33584881</v>
      </c>
      <c r="F1108">
        <v>50.31</v>
      </c>
      <c r="G1108">
        <v>2.65</v>
      </c>
      <c r="H1108">
        <v>159.02000000000001</v>
      </c>
      <c r="I1108">
        <v>5.27</v>
      </c>
      <c r="J1108" s="5">
        <v>46060</v>
      </c>
      <c r="K1108">
        <f t="shared" si="17"/>
        <v>27.48</v>
      </c>
      <c r="L1108" t="str" cm="1">
        <f t="array" ref="L1108">_xlfn.IFS(E1108&gt;=52000000,"Platinum",E1108&gt;=37000000,"Gold",E1108&gt;=30000000,"Sliver",E1108&lt;30000000,"Bronze")</f>
        <v>Sliver</v>
      </c>
    </row>
    <row r="1109" spans="1:12" x14ac:dyDescent="0.25">
      <c r="A1109">
        <v>1108</v>
      </c>
      <c r="B1109" t="s">
        <v>1129</v>
      </c>
      <c r="C1109" t="s">
        <v>10</v>
      </c>
      <c r="D1109" t="s">
        <v>22</v>
      </c>
      <c r="E1109" s="4">
        <v>26006172</v>
      </c>
      <c r="F1109">
        <v>56.51</v>
      </c>
      <c r="G1109">
        <v>6.14</v>
      </c>
      <c r="H1109">
        <v>368.26</v>
      </c>
      <c r="I1109">
        <v>10.86</v>
      </c>
      <c r="J1109" s="5">
        <v>46060</v>
      </c>
      <c r="K1109">
        <f t="shared" si="17"/>
        <v>27.18</v>
      </c>
      <c r="L1109" t="str" cm="1">
        <f t="array" ref="L1109">_xlfn.IFS(E1109&gt;=52000000,"Platinum",E1109&gt;=37000000,"Gold",E1109&gt;=30000000,"Sliver",E1109&lt;30000000,"Bronze")</f>
        <v>Bronze</v>
      </c>
    </row>
    <row r="1110" spans="1:12" x14ac:dyDescent="0.25">
      <c r="A1110">
        <v>1109</v>
      </c>
      <c r="B1110" t="s">
        <v>1130</v>
      </c>
      <c r="C1110" t="s">
        <v>21</v>
      </c>
      <c r="D1110" t="s">
        <v>22</v>
      </c>
      <c r="E1110" s="4">
        <v>28703884</v>
      </c>
      <c r="F1110">
        <v>37.409999999999997</v>
      </c>
      <c r="G1110">
        <v>2.4500000000000002</v>
      </c>
      <c r="H1110">
        <v>146.94999999999999</v>
      </c>
      <c r="I1110">
        <v>6.55</v>
      </c>
      <c r="J1110" s="5">
        <v>46060</v>
      </c>
      <c r="K1110">
        <f t="shared" si="17"/>
        <v>34.57</v>
      </c>
      <c r="L1110" t="str" cm="1">
        <f t="array" ref="L1110">_xlfn.IFS(E1110&gt;=52000000,"Platinum",E1110&gt;=37000000,"Gold",E1110&gt;=30000000,"Sliver",E1110&lt;30000000,"Bronze")</f>
        <v>Bronze</v>
      </c>
    </row>
    <row r="1111" spans="1:12" x14ac:dyDescent="0.25">
      <c r="A1111">
        <v>1110</v>
      </c>
      <c r="B1111" t="s">
        <v>1131</v>
      </c>
      <c r="C1111" t="s">
        <v>16</v>
      </c>
      <c r="D1111" t="s">
        <v>22</v>
      </c>
      <c r="E1111" s="4">
        <v>25238551</v>
      </c>
      <c r="F1111">
        <v>54.22</v>
      </c>
      <c r="G1111">
        <v>2.17</v>
      </c>
      <c r="H1111">
        <v>130.04</v>
      </c>
      <c r="I1111">
        <v>4</v>
      </c>
      <c r="J1111" s="5">
        <v>46060</v>
      </c>
      <c r="K1111">
        <f t="shared" si="17"/>
        <v>24.89</v>
      </c>
      <c r="L1111" t="str" cm="1">
        <f t="array" ref="L1111">_xlfn.IFS(E1111&gt;=52000000,"Platinum",E1111&gt;=37000000,"Gold",E1111&gt;=30000000,"Sliver",E1111&lt;30000000,"Bronze")</f>
        <v>Bronze</v>
      </c>
    </row>
    <row r="1112" spans="1:12" x14ac:dyDescent="0.25">
      <c r="A1112">
        <v>1111</v>
      </c>
      <c r="B1112" t="s">
        <v>1132</v>
      </c>
      <c r="C1112" t="s">
        <v>10</v>
      </c>
      <c r="D1112" t="s">
        <v>13</v>
      </c>
      <c r="E1112" s="4">
        <v>24228391</v>
      </c>
      <c r="F1112">
        <v>43</v>
      </c>
      <c r="G1112">
        <v>9.2899999999999991</v>
      </c>
      <c r="H1112">
        <v>557.35</v>
      </c>
      <c r="I1112">
        <v>21.6</v>
      </c>
      <c r="J1112" s="5">
        <v>46060</v>
      </c>
      <c r="K1112">
        <f t="shared" si="17"/>
        <v>39.299999999999997</v>
      </c>
      <c r="L1112" t="str" cm="1">
        <f t="array" ref="L1112">_xlfn.IFS(E1112&gt;=52000000,"Platinum",E1112&gt;=37000000,"Gold",E1112&gt;=30000000,"Sliver",E1112&lt;30000000,"Bronze")</f>
        <v>Bronze</v>
      </c>
    </row>
    <row r="1113" spans="1:12" x14ac:dyDescent="0.25">
      <c r="A1113">
        <v>1112</v>
      </c>
      <c r="B1113" t="s">
        <v>1133</v>
      </c>
      <c r="C1113" t="s">
        <v>19</v>
      </c>
      <c r="D1113" t="s">
        <v>25</v>
      </c>
      <c r="E1113" s="4">
        <v>25368849</v>
      </c>
      <c r="F1113">
        <v>36.81</v>
      </c>
      <c r="G1113">
        <v>9.07</v>
      </c>
      <c r="H1113">
        <v>544.1</v>
      </c>
      <c r="I1113">
        <v>24.64</v>
      </c>
      <c r="J1113" s="5">
        <v>46060</v>
      </c>
      <c r="K1113">
        <f t="shared" si="17"/>
        <v>43.92</v>
      </c>
      <c r="L1113" t="str" cm="1">
        <f t="array" ref="L1113">_xlfn.IFS(E1113&gt;=52000000,"Platinum",E1113&gt;=37000000,"Gold",E1113&gt;=30000000,"Sliver",E1113&lt;30000000,"Bronze")</f>
        <v>Bronze</v>
      </c>
    </row>
    <row r="1114" spans="1:12" x14ac:dyDescent="0.25">
      <c r="A1114">
        <v>1113</v>
      </c>
      <c r="B1114" t="s">
        <v>1134</v>
      </c>
      <c r="C1114" t="s">
        <v>46</v>
      </c>
      <c r="D1114" t="s">
        <v>32</v>
      </c>
      <c r="E1114" s="4">
        <v>26349206</v>
      </c>
      <c r="F1114">
        <v>50.26</v>
      </c>
      <c r="G1114">
        <v>8.17</v>
      </c>
      <c r="H1114">
        <v>490.26</v>
      </c>
      <c r="I1114">
        <v>16.260000000000002</v>
      </c>
      <c r="J1114" s="5">
        <v>46060</v>
      </c>
      <c r="K1114">
        <f t="shared" si="17"/>
        <v>33</v>
      </c>
      <c r="L1114" t="str" cm="1">
        <f t="array" ref="L1114">_xlfn.IFS(E1114&gt;=52000000,"Platinum",E1114&gt;=37000000,"Gold",E1114&gt;=30000000,"Sliver",E1114&lt;30000000,"Bronze")</f>
        <v>Bronze</v>
      </c>
    </row>
    <row r="1115" spans="1:12" x14ac:dyDescent="0.25">
      <c r="A1115">
        <v>1114</v>
      </c>
      <c r="B1115" t="s">
        <v>1135</v>
      </c>
      <c r="C1115" t="s">
        <v>29</v>
      </c>
      <c r="D1115" t="s">
        <v>32</v>
      </c>
      <c r="E1115" s="4">
        <v>35120573</v>
      </c>
      <c r="F1115">
        <v>30.33</v>
      </c>
      <c r="G1115">
        <v>6.79</v>
      </c>
      <c r="H1115">
        <v>407.16</v>
      </c>
      <c r="I1115">
        <v>22.37</v>
      </c>
      <c r="J1115" s="5">
        <v>46060</v>
      </c>
      <c r="K1115">
        <f t="shared" si="17"/>
        <v>46.02</v>
      </c>
      <c r="L1115" t="str" cm="1">
        <f t="array" ref="L1115">_xlfn.IFS(E1115&gt;=52000000,"Platinum",E1115&gt;=37000000,"Gold",E1115&gt;=30000000,"Sliver",E1115&lt;30000000,"Bronze")</f>
        <v>Sliver</v>
      </c>
    </row>
    <row r="1116" spans="1:12" x14ac:dyDescent="0.25">
      <c r="A1116">
        <v>1115</v>
      </c>
      <c r="B1116" t="s">
        <v>1136</v>
      </c>
      <c r="C1116" t="s">
        <v>19</v>
      </c>
      <c r="D1116" t="s">
        <v>25</v>
      </c>
      <c r="E1116" s="4">
        <v>33670944</v>
      </c>
      <c r="F1116">
        <v>43.16</v>
      </c>
      <c r="G1116">
        <v>4.8099999999999996</v>
      </c>
      <c r="H1116">
        <v>288.47000000000003</v>
      </c>
      <c r="I1116">
        <v>11.14</v>
      </c>
      <c r="J1116" s="5">
        <v>46060</v>
      </c>
      <c r="K1116">
        <f t="shared" si="17"/>
        <v>33.99</v>
      </c>
      <c r="L1116" t="str" cm="1">
        <f t="array" ref="L1116">_xlfn.IFS(E1116&gt;=52000000,"Platinum",E1116&gt;=37000000,"Gold",E1116&gt;=30000000,"Sliver",E1116&lt;30000000,"Bronze")</f>
        <v>Sliver</v>
      </c>
    </row>
    <row r="1117" spans="1:12" x14ac:dyDescent="0.25">
      <c r="A1117">
        <v>1116</v>
      </c>
      <c r="B1117" t="s">
        <v>1137</v>
      </c>
      <c r="C1117" t="s">
        <v>21</v>
      </c>
      <c r="D1117" t="s">
        <v>32</v>
      </c>
      <c r="E1117" s="4">
        <v>26705823</v>
      </c>
      <c r="F1117">
        <v>36.85</v>
      </c>
      <c r="G1117">
        <v>1.31</v>
      </c>
      <c r="H1117">
        <v>78.650000000000006</v>
      </c>
      <c r="I1117">
        <v>3.56</v>
      </c>
      <c r="J1117" s="5">
        <v>46060</v>
      </c>
      <c r="K1117">
        <f t="shared" si="17"/>
        <v>33.36</v>
      </c>
      <c r="L1117" t="str" cm="1">
        <f t="array" ref="L1117">_xlfn.IFS(E1117&gt;=52000000,"Platinum",E1117&gt;=37000000,"Gold",E1117&gt;=30000000,"Sliver",E1117&lt;30000000,"Bronze")</f>
        <v>Bronze</v>
      </c>
    </row>
    <row r="1118" spans="1:12" x14ac:dyDescent="0.25">
      <c r="A1118">
        <v>1117</v>
      </c>
      <c r="B1118" t="s">
        <v>1138</v>
      </c>
      <c r="C1118" t="s">
        <v>10</v>
      </c>
      <c r="D1118" t="s">
        <v>11</v>
      </c>
      <c r="E1118" s="4">
        <v>31311782</v>
      </c>
      <c r="F1118" s="1">
        <f>CALCULATION!$C$11</f>
        <v>42.81</v>
      </c>
      <c r="G1118" s="1">
        <v>8.6999999999999993</v>
      </c>
      <c r="H1118">
        <v>521.91999999999996</v>
      </c>
      <c r="I1118">
        <v>24.6</v>
      </c>
      <c r="J1118" s="5">
        <v>46060</v>
      </c>
      <c r="K1118">
        <f t="shared" si="17"/>
        <v>40.9</v>
      </c>
      <c r="L1118" t="str" cm="1">
        <f t="array" ref="L1118">_xlfn.IFS(E1118&gt;=52000000,"Platinum",E1118&gt;=37000000,"Gold",E1118&gt;=30000000,"Sliver",E1118&lt;30000000,"Bronze")</f>
        <v>Sliver</v>
      </c>
    </row>
    <row r="1119" spans="1:12" x14ac:dyDescent="0.25">
      <c r="A1119">
        <v>1118</v>
      </c>
      <c r="B1119" t="s">
        <v>1139</v>
      </c>
      <c r="C1119" s="1" t="s">
        <v>21</v>
      </c>
      <c r="D1119" t="s">
        <v>17</v>
      </c>
      <c r="E1119" s="4">
        <v>30934468</v>
      </c>
      <c r="F1119">
        <v>52.34</v>
      </c>
      <c r="G1119">
        <v>4.2</v>
      </c>
      <c r="H1119">
        <v>252.03</v>
      </c>
      <c r="I1119">
        <v>8.0299999999999994</v>
      </c>
      <c r="J1119" s="5">
        <v>46060</v>
      </c>
      <c r="K1119">
        <f t="shared" si="17"/>
        <v>27.85</v>
      </c>
      <c r="L1119" t="str" cm="1">
        <f t="array" ref="L1119">_xlfn.IFS(E1119&gt;=52000000,"Platinum",E1119&gt;=37000000,"Gold",E1119&gt;=30000000,"Sliver",E1119&lt;30000000,"Bronze")</f>
        <v>Sliver</v>
      </c>
    </row>
    <row r="1120" spans="1:12" x14ac:dyDescent="0.25">
      <c r="A1120">
        <v>1119</v>
      </c>
      <c r="B1120" t="s">
        <v>1140</v>
      </c>
      <c r="C1120" t="s">
        <v>10</v>
      </c>
      <c r="D1120" t="s">
        <v>32</v>
      </c>
      <c r="E1120" s="4">
        <v>31992200</v>
      </c>
      <c r="F1120">
        <v>37.06</v>
      </c>
      <c r="G1120">
        <v>6.11</v>
      </c>
      <c r="H1120">
        <v>366.78</v>
      </c>
      <c r="I1120">
        <v>16.489999999999998</v>
      </c>
      <c r="J1120" s="5">
        <v>46060</v>
      </c>
      <c r="K1120">
        <f t="shared" si="17"/>
        <v>39.72</v>
      </c>
      <c r="L1120" t="str" cm="1">
        <f t="array" ref="L1120">_xlfn.IFS(E1120&gt;=52000000,"Platinum",E1120&gt;=37000000,"Gold",E1120&gt;=30000000,"Sliver",E1120&lt;30000000,"Bronze")</f>
        <v>Sliver</v>
      </c>
    </row>
    <row r="1121" spans="1:12" x14ac:dyDescent="0.25">
      <c r="A1121">
        <v>1120</v>
      </c>
      <c r="B1121" t="s">
        <v>1141</v>
      </c>
      <c r="C1121" t="s">
        <v>21</v>
      </c>
      <c r="D1121" t="s">
        <v>25</v>
      </c>
      <c r="E1121" s="4">
        <v>26227271</v>
      </c>
      <c r="F1121">
        <v>40.17</v>
      </c>
      <c r="G1121">
        <v>2.57</v>
      </c>
      <c r="H1121">
        <v>154.1</v>
      </c>
      <c r="I1121">
        <v>6.39</v>
      </c>
      <c r="J1121" s="5">
        <v>46060</v>
      </c>
      <c r="K1121">
        <f t="shared" si="17"/>
        <v>33.11</v>
      </c>
      <c r="L1121" t="str" cm="1">
        <f t="array" ref="L1121">_xlfn.IFS(E1121&gt;=52000000,"Platinum",E1121&gt;=37000000,"Gold",E1121&gt;=30000000,"Sliver",E1121&lt;30000000,"Bronze")</f>
        <v>Bronze</v>
      </c>
    </row>
    <row r="1122" spans="1:12" x14ac:dyDescent="0.25">
      <c r="A1122">
        <v>1121</v>
      </c>
      <c r="B1122" t="s">
        <v>1142</v>
      </c>
      <c r="C1122" t="s">
        <v>29</v>
      </c>
      <c r="D1122" t="s">
        <v>32</v>
      </c>
      <c r="E1122" s="4">
        <v>25658358</v>
      </c>
      <c r="F1122">
        <v>57.42</v>
      </c>
      <c r="G1122">
        <v>9.65</v>
      </c>
      <c r="H1122">
        <v>579.12</v>
      </c>
      <c r="I1122">
        <v>16.809999999999999</v>
      </c>
      <c r="J1122" s="5">
        <v>46060</v>
      </c>
      <c r="K1122">
        <f t="shared" si="17"/>
        <v>29.7</v>
      </c>
      <c r="L1122" t="str" cm="1">
        <f t="array" ref="L1122">_xlfn.IFS(E1122&gt;=52000000,"Platinum",E1122&gt;=37000000,"Gold",E1122&gt;=30000000,"Sliver",E1122&lt;30000000,"Bronze")</f>
        <v>Bronze</v>
      </c>
    </row>
    <row r="1123" spans="1:12" x14ac:dyDescent="0.25">
      <c r="A1123">
        <v>1122</v>
      </c>
      <c r="B1123" t="s">
        <v>1143</v>
      </c>
      <c r="C1123" t="s">
        <v>16</v>
      </c>
      <c r="D1123" t="s">
        <v>25</v>
      </c>
      <c r="E1123" s="4">
        <v>26799219</v>
      </c>
      <c r="F1123">
        <v>49.21</v>
      </c>
      <c r="G1123">
        <v>3.19</v>
      </c>
      <c r="H1123">
        <v>191.28</v>
      </c>
      <c r="I1123">
        <v>6.48</v>
      </c>
      <c r="J1123" s="5">
        <v>46060</v>
      </c>
      <c r="K1123">
        <f t="shared" si="17"/>
        <v>28.64</v>
      </c>
      <c r="L1123" t="str" cm="1">
        <f t="array" ref="L1123">_xlfn.IFS(E1123&gt;=52000000,"Platinum",E1123&gt;=37000000,"Gold",E1123&gt;=30000000,"Sliver",E1123&lt;30000000,"Bronze")</f>
        <v>Bronze</v>
      </c>
    </row>
    <row r="1124" spans="1:12" x14ac:dyDescent="0.25">
      <c r="A1124">
        <v>1123</v>
      </c>
      <c r="B1124" t="s">
        <v>1144</v>
      </c>
      <c r="C1124" t="s">
        <v>19</v>
      </c>
      <c r="D1124" t="s">
        <v>13</v>
      </c>
      <c r="E1124" s="4">
        <v>24748341</v>
      </c>
      <c r="F1124">
        <v>58.09</v>
      </c>
      <c r="G1124">
        <v>2.16</v>
      </c>
      <c r="H1124">
        <v>129.63</v>
      </c>
      <c r="I1124">
        <v>3.72</v>
      </c>
      <c r="J1124" s="5">
        <v>46060</v>
      </c>
      <c r="K1124">
        <f t="shared" si="17"/>
        <v>22.82</v>
      </c>
      <c r="L1124" t="str" cm="1">
        <f t="array" ref="L1124">_xlfn.IFS(E1124&gt;=52000000,"Platinum",E1124&gt;=37000000,"Gold",E1124&gt;=30000000,"Sliver",E1124&lt;30000000,"Bronze")</f>
        <v>Bronze</v>
      </c>
    </row>
    <row r="1125" spans="1:12" x14ac:dyDescent="0.25">
      <c r="A1125">
        <v>1124</v>
      </c>
      <c r="B1125" t="s">
        <v>1145</v>
      </c>
      <c r="C1125" t="s">
        <v>19</v>
      </c>
      <c r="D1125" t="s">
        <v>22</v>
      </c>
      <c r="E1125" s="4">
        <v>34427966</v>
      </c>
      <c r="F1125">
        <v>36.07</v>
      </c>
      <c r="G1125">
        <v>5.72</v>
      </c>
      <c r="H1125" s="1">
        <f>CALCULATION!$D$11</f>
        <v>343.315</v>
      </c>
      <c r="I1125">
        <v>18.57</v>
      </c>
      <c r="J1125" s="5">
        <v>46060</v>
      </c>
      <c r="K1125">
        <f t="shared" si="17"/>
        <v>41.25</v>
      </c>
      <c r="L1125" t="str" cm="1">
        <f t="array" ref="L1125">_xlfn.IFS(E1125&gt;=52000000,"Platinum",E1125&gt;=37000000,"Gold",E1125&gt;=30000000,"Sliver",E1125&lt;30000000,"Bronze")</f>
        <v>Sliver</v>
      </c>
    </row>
    <row r="1126" spans="1:12" x14ac:dyDescent="0.25">
      <c r="A1126">
        <v>1125</v>
      </c>
      <c r="B1126" t="s">
        <v>1146</v>
      </c>
      <c r="C1126" t="s">
        <v>21</v>
      </c>
      <c r="D1126" t="s">
        <v>22</v>
      </c>
      <c r="E1126" s="4">
        <v>26126071</v>
      </c>
      <c r="F1126">
        <v>35.020000000000003</v>
      </c>
      <c r="G1126">
        <v>1.64</v>
      </c>
      <c r="H1126">
        <v>98.67</v>
      </c>
      <c r="I1126">
        <v>4.7</v>
      </c>
      <c r="J1126" s="5">
        <v>46060</v>
      </c>
      <c r="K1126">
        <f t="shared" si="17"/>
        <v>34.840000000000003</v>
      </c>
      <c r="L1126" t="str" cm="1">
        <f t="array" ref="L1126">_xlfn.IFS(E1126&gt;=52000000,"Platinum",E1126&gt;=37000000,"Gold",E1126&gt;=30000000,"Sliver",E1126&lt;30000000,"Bronze")</f>
        <v>Bronze</v>
      </c>
    </row>
    <row r="1127" spans="1:12" x14ac:dyDescent="0.25">
      <c r="A1127">
        <v>1126</v>
      </c>
      <c r="B1127" t="s">
        <v>1147</v>
      </c>
      <c r="C1127" t="s">
        <v>19</v>
      </c>
      <c r="D1127" t="s">
        <v>22</v>
      </c>
      <c r="E1127" s="4">
        <v>25133212</v>
      </c>
      <c r="F1127">
        <v>46.66</v>
      </c>
      <c r="G1127">
        <v>9.5</v>
      </c>
      <c r="H1127">
        <v>570.08000000000004</v>
      </c>
      <c r="I1127">
        <v>20.36</v>
      </c>
      <c r="J1127" s="5">
        <v>46060</v>
      </c>
      <c r="K1127">
        <f t="shared" si="17"/>
        <v>36.85</v>
      </c>
      <c r="L1127" t="str" cm="1">
        <f t="array" ref="L1127">_xlfn.IFS(E1127&gt;=52000000,"Platinum",E1127&gt;=37000000,"Gold",E1127&gt;=30000000,"Sliver",E1127&lt;30000000,"Bronze")</f>
        <v>Bronze</v>
      </c>
    </row>
    <row r="1128" spans="1:12" x14ac:dyDescent="0.25">
      <c r="A1128">
        <v>1127</v>
      </c>
      <c r="B1128" t="s">
        <v>1148</v>
      </c>
      <c r="C1128" t="s">
        <v>21</v>
      </c>
      <c r="D1128" t="s">
        <v>13</v>
      </c>
      <c r="E1128" s="4">
        <v>29436785</v>
      </c>
      <c r="F1128">
        <v>45.36</v>
      </c>
      <c r="G1128">
        <v>1.26</v>
      </c>
      <c r="H1128">
        <v>75.3</v>
      </c>
      <c r="I1128">
        <v>2.77</v>
      </c>
      <c r="J1128" s="5">
        <v>46060</v>
      </c>
      <c r="K1128">
        <f t="shared" si="17"/>
        <v>28.71</v>
      </c>
      <c r="L1128" t="str" cm="1">
        <f t="array" ref="L1128">_xlfn.IFS(E1128&gt;=52000000,"Platinum",E1128&gt;=37000000,"Gold",E1128&gt;=30000000,"Sliver",E1128&lt;30000000,"Bronze")</f>
        <v>Bronze</v>
      </c>
    </row>
    <row r="1129" spans="1:12" x14ac:dyDescent="0.25">
      <c r="A1129">
        <v>1128</v>
      </c>
      <c r="B1129" t="s">
        <v>1149</v>
      </c>
      <c r="C1129" t="s">
        <v>21</v>
      </c>
      <c r="D1129" t="s">
        <v>32</v>
      </c>
      <c r="E1129" s="4">
        <v>24793278</v>
      </c>
      <c r="F1129">
        <v>47.77</v>
      </c>
      <c r="G1129">
        <v>2.65</v>
      </c>
      <c r="H1129">
        <v>159.25</v>
      </c>
      <c r="I1129">
        <v>5.56</v>
      </c>
      <c r="J1129" s="5">
        <v>46060</v>
      </c>
      <c r="K1129">
        <f t="shared" si="17"/>
        <v>28.9</v>
      </c>
      <c r="L1129" t="str" cm="1">
        <f t="array" ref="L1129">_xlfn.IFS(E1129&gt;=52000000,"Platinum",E1129&gt;=37000000,"Gold",E1129&gt;=30000000,"Sliver",E1129&lt;30000000,"Bronze")</f>
        <v>Bronze</v>
      </c>
    </row>
    <row r="1130" spans="1:12" x14ac:dyDescent="0.25">
      <c r="A1130">
        <v>1129</v>
      </c>
      <c r="B1130" t="s">
        <v>1150</v>
      </c>
      <c r="C1130" t="s">
        <v>19</v>
      </c>
      <c r="D1130" t="s">
        <v>32</v>
      </c>
      <c r="E1130" s="4">
        <v>33374067</v>
      </c>
      <c r="F1130" s="1">
        <f>CALCULATION!$C$11</f>
        <v>42.81</v>
      </c>
      <c r="G1130" s="1">
        <v>4.76</v>
      </c>
      <c r="H1130">
        <v>285.82</v>
      </c>
      <c r="I1130">
        <v>8.48</v>
      </c>
      <c r="J1130" s="5">
        <v>46060</v>
      </c>
      <c r="K1130">
        <f t="shared" si="17"/>
        <v>32.840000000000003</v>
      </c>
      <c r="L1130" t="str" cm="1">
        <f t="array" ref="L1130">_xlfn.IFS(E1130&gt;=52000000,"Platinum",E1130&gt;=37000000,"Gold",E1130&gt;=30000000,"Sliver",E1130&lt;30000000,"Bronze")</f>
        <v>Sliver</v>
      </c>
    </row>
    <row r="1131" spans="1:12" x14ac:dyDescent="0.25">
      <c r="A1131">
        <v>1130</v>
      </c>
      <c r="B1131" t="s">
        <v>1151</v>
      </c>
      <c r="C1131" t="s">
        <v>10</v>
      </c>
      <c r="D1131" t="s">
        <v>13</v>
      </c>
      <c r="E1131" s="4">
        <v>34134704</v>
      </c>
      <c r="F1131">
        <v>45.73</v>
      </c>
      <c r="G1131">
        <v>3.43</v>
      </c>
      <c r="H1131">
        <v>205.82</v>
      </c>
      <c r="I1131">
        <v>7.5</v>
      </c>
      <c r="J1131" s="5">
        <v>46060</v>
      </c>
      <c r="K1131">
        <f t="shared" si="17"/>
        <v>30.89</v>
      </c>
      <c r="L1131" t="str" cm="1">
        <f t="array" ref="L1131">_xlfn.IFS(E1131&gt;=52000000,"Platinum",E1131&gt;=37000000,"Gold",E1131&gt;=30000000,"Sliver",E1131&lt;30000000,"Bronze")</f>
        <v>Sliver</v>
      </c>
    </row>
    <row r="1132" spans="1:12" x14ac:dyDescent="0.25">
      <c r="A1132">
        <v>1131</v>
      </c>
      <c r="B1132" t="s">
        <v>1152</v>
      </c>
      <c r="C1132" t="s">
        <v>29</v>
      </c>
      <c r="D1132" t="s">
        <v>25</v>
      </c>
      <c r="E1132" s="4">
        <v>26863215</v>
      </c>
      <c r="F1132">
        <v>33.64</v>
      </c>
      <c r="G1132">
        <v>9.09</v>
      </c>
      <c r="H1132">
        <v>545.17999999999995</v>
      </c>
      <c r="I1132">
        <v>27.01</v>
      </c>
      <c r="J1132" s="5">
        <v>46060</v>
      </c>
      <c r="K1132">
        <f t="shared" si="17"/>
        <v>46.69</v>
      </c>
      <c r="L1132" t="str" cm="1">
        <f t="array" ref="L1132">_xlfn.IFS(E1132&gt;=52000000,"Platinum",E1132&gt;=37000000,"Gold",E1132&gt;=30000000,"Sliver",E1132&lt;30000000,"Bronze")</f>
        <v>Bronze</v>
      </c>
    </row>
    <row r="1133" spans="1:12" x14ac:dyDescent="0.25">
      <c r="A1133">
        <v>1132</v>
      </c>
      <c r="B1133" t="s">
        <v>1153</v>
      </c>
      <c r="C1133" t="s">
        <v>10</v>
      </c>
      <c r="D1133" t="s">
        <v>22</v>
      </c>
      <c r="E1133" s="4">
        <v>27181670</v>
      </c>
      <c r="F1133">
        <v>52.16</v>
      </c>
      <c r="G1133">
        <v>5.72</v>
      </c>
      <c r="H1133">
        <v>343.35</v>
      </c>
      <c r="I1133">
        <v>10.97</v>
      </c>
      <c r="J1133" s="5">
        <v>46060</v>
      </c>
      <c r="K1133">
        <f t="shared" si="17"/>
        <v>29.41</v>
      </c>
      <c r="L1133" t="str" cm="1">
        <f t="array" ref="L1133">_xlfn.IFS(E1133&gt;=52000000,"Platinum",E1133&gt;=37000000,"Gold",E1133&gt;=30000000,"Sliver",E1133&lt;30000000,"Bronze")</f>
        <v>Bronze</v>
      </c>
    </row>
    <row r="1134" spans="1:12" x14ac:dyDescent="0.25">
      <c r="A1134">
        <v>1133</v>
      </c>
      <c r="B1134" t="s">
        <v>1154</v>
      </c>
      <c r="C1134" t="s">
        <v>46</v>
      </c>
      <c r="D1134" t="s">
        <v>22</v>
      </c>
      <c r="E1134" s="4">
        <v>27348230</v>
      </c>
      <c r="F1134">
        <v>48.29</v>
      </c>
      <c r="G1134">
        <v>2.57</v>
      </c>
      <c r="H1134">
        <v>154</v>
      </c>
      <c r="I1134">
        <v>5.32</v>
      </c>
      <c r="J1134" s="5">
        <v>46060</v>
      </c>
      <c r="K1134">
        <f t="shared" si="17"/>
        <v>28.52</v>
      </c>
      <c r="L1134" t="str" cm="1">
        <f t="array" ref="L1134">_xlfn.IFS(E1134&gt;=52000000,"Platinum",E1134&gt;=37000000,"Gold",E1134&gt;=30000000,"Sliver",E1134&lt;30000000,"Bronze")</f>
        <v>Bronze</v>
      </c>
    </row>
    <row r="1135" spans="1:12" x14ac:dyDescent="0.25">
      <c r="A1135">
        <v>1134</v>
      </c>
      <c r="B1135" t="s">
        <v>1155</v>
      </c>
      <c r="C1135" t="s">
        <v>29</v>
      </c>
      <c r="D1135" t="s">
        <v>25</v>
      </c>
      <c r="E1135" s="4">
        <v>27579537</v>
      </c>
      <c r="F1135">
        <v>55.63</v>
      </c>
      <c r="G1135">
        <v>6.12</v>
      </c>
      <c r="H1135">
        <v>367.25</v>
      </c>
      <c r="I1135">
        <v>11</v>
      </c>
      <c r="J1135" s="5">
        <v>46060</v>
      </c>
      <c r="K1135">
        <f t="shared" si="17"/>
        <v>27.69</v>
      </c>
      <c r="L1135" t="str" cm="1">
        <f t="array" ref="L1135">_xlfn.IFS(E1135&gt;=52000000,"Platinum",E1135&gt;=37000000,"Gold",E1135&gt;=30000000,"Sliver",E1135&lt;30000000,"Bronze")</f>
        <v>Bronze</v>
      </c>
    </row>
    <row r="1136" spans="1:12" x14ac:dyDescent="0.25">
      <c r="A1136">
        <v>1135</v>
      </c>
      <c r="B1136" t="s">
        <v>1156</v>
      </c>
      <c r="C1136" t="s">
        <v>19</v>
      </c>
      <c r="D1136" t="s">
        <v>17</v>
      </c>
      <c r="E1136" s="4">
        <v>29724288</v>
      </c>
      <c r="F1136">
        <v>31.88</v>
      </c>
      <c r="G1136">
        <v>2.12</v>
      </c>
      <c r="H1136">
        <v>127.39</v>
      </c>
      <c r="I1136">
        <v>6.66</v>
      </c>
      <c r="J1136" s="5">
        <v>46060</v>
      </c>
      <c r="K1136">
        <f t="shared" si="17"/>
        <v>37.39</v>
      </c>
      <c r="L1136" t="str" cm="1">
        <f t="array" ref="L1136">_xlfn.IFS(E1136&gt;=52000000,"Platinum",E1136&gt;=37000000,"Gold",E1136&gt;=30000000,"Sliver",E1136&lt;30000000,"Bronze")</f>
        <v>Bronze</v>
      </c>
    </row>
    <row r="1137" spans="1:12" x14ac:dyDescent="0.25">
      <c r="A1137">
        <v>1136</v>
      </c>
      <c r="B1137" t="s">
        <v>1157</v>
      </c>
      <c r="C1137" t="s">
        <v>10</v>
      </c>
      <c r="D1137" t="s">
        <v>17</v>
      </c>
      <c r="E1137" s="4">
        <v>34284415</v>
      </c>
      <c r="F1137">
        <v>39.36</v>
      </c>
      <c r="G1137">
        <v>2.96</v>
      </c>
      <c r="H1137">
        <v>177.35</v>
      </c>
      <c r="I1137">
        <v>7.51</v>
      </c>
      <c r="J1137" s="5">
        <v>46060</v>
      </c>
      <c r="K1137">
        <f t="shared" si="17"/>
        <v>34.08</v>
      </c>
      <c r="L1137" t="str" cm="1">
        <f t="array" ref="L1137">_xlfn.IFS(E1137&gt;=52000000,"Platinum",E1137&gt;=37000000,"Gold",E1137&gt;=30000000,"Sliver",E1137&lt;30000000,"Bronze")</f>
        <v>Sliver</v>
      </c>
    </row>
    <row r="1138" spans="1:12" x14ac:dyDescent="0.25">
      <c r="A1138">
        <v>1137</v>
      </c>
      <c r="B1138" t="s">
        <v>1158</v>
      </c>
      <c r="C1138" t="s">
        <v>29</v>
      </c>
      <c r="D1138" t="s">
        <v>25</v>
      </c>
      <c r="E1138" s="4">
        <v>33182353</v>
      </c>
      <c r="F1138">
        <v>35.35</v>
      </c>
      <c r="G1138">
        <v>3.62</v>
      </c>
      <c r="H1138">
        <v>217.3</v>
      </c>
      <c r="I1138">
        <v>10.25</v>
      </c>
      <c r="J1138" s="5">
        <v>46060</v>
      </c>
      <c r="K1138">
        <f t="shared" si="17"/>
        <v>37.450000000000003</v>
      </c>
      <c r="L1138" t="str" cm="1">
        <f t="array" ref="L1138">_xlfn.IFS(E1138&gt;=52000000,"Platinum",E1138&gt;=37000000,"Gold",E1138&gt;=30000000,"Sliver",E1138&lt;30000000,"Bronze")</f>
        <v>Sliver</v>
      </c>
    </row>
    <row r="1139" spans="1:12" x14ac:dyDescent="0.25">
      <c r="A1139">
        <v>1138</v>
      </c>
      <c r="B1139" t="s">
        <v>1159</v>
      </c>
      <c r="C1139" t="s">
        <v>29</v>
      </c>
      <c r="D1139" t="s">
        <v>32</v>
      </c>
      <c r="E1139" s="4">
        <v>28330622</v>
      </c>
      <c r="F1139">
        <v>58.22</v>
      </c>
      <c r="G1139">
        <v>8.7899999999999991</v>
      </c>
      <c r="H1139">
        <v>527.45000000000005</v>
      </c>
      <c r="I1139">
        <v>15.1</v>
      </c>
      <c r="J1139" s="5">
        <v>46060</v>
      </c>
      <c r="K1139">
        <f t="shared" si="17"/>
        <v>28.44</v>
      </c>
      <c r="L1139" t="str" cm="1">
        <f t="array" ref="L1139">_xlfn.IFS(E1139&gt;=52000000,"Platinum",E1139&gt;=37000000,"Gold",E1139&gt;=30000000,"Sliver",E1139&lt;30000000,"Bronze")</f>
        <v>Bronze</v>
      </c>
    </row>
    <row r="1140" spans="1:12" x14ac:dyDescent="0.25">
      <c r="A1140">
        <v>1139</v>
      </c>
      <c r="B1140" t="s">
        <v>1160</v>
      </c>
      <c r="C1140" t="s">
        <v>46</v>
      </c>
      <c r="D1140" t="s">
        <v>32</v>
      </c>
      <c r="E1140" s="4">
        <v>34610696</v>
      </c>
      <c r="F1140">
        <v>56.13</v>
      </c>
      <c r="G1140">
        <v>3.35</v>
      </c>
      <c r="H1140">
        <v>201.21</v>
      </c>
      <c r="I1140">
        <v>5.97</v>
      </c>
      <c r="J1140" s="5">
        <v>46060</v>
      </c>
      <c r="K1140">
        <f t="shared" si="17"/>
        <v>24.92</v>
      </c>
      <c r="L1140" t="str" cm="1">
        <f t="array" ref="L1140">_xlfn.IFS(E1140&gt;=52000000,"Platinum",E1140&gt;=37000000,"Gold",E1140&gt;=30000000,"Sliver",E1140&lt;30000000,"Bronze")</f>
        <v>Sliver</v>
      </c>
    </row>
    <row r="1141" spans="1:12" x14ac:dyDescent="0.25">
      <c r="A1141">
        <v>1140</v>
      </c>
      <c r="B1141" t="s">
        <v>1161</v>
      </c>
      <c r="C1141" t="s">
        <v>10</v>
      </c>
      <c r="D1141" t="s">
        <v>25</v>
      </c>
      <c r="E1141" s="4">
        <v>34255865</v>
      </c>
      <c r="F1141">
        <v>52.86</v>
      </c>
      <c r="G1141">
        <v>3.2</v>
      </c>
      <c r="H1141">
        <v>191.74</v>
      </c>
      <c r="I1141">
        <v>6.05</v>
      </c>
      <c r="J1141" s="5">
        <v>46060</v>
      </c>
      <c r="K1141">
        <f t="shared" si="17"/>
        <v>26.6</v>
      </c>
      <c r="L1141" t="str" cm="1">
        <f t="array" ref="L1141">_xlfn.IFS(E1141&gt;=52000000,"Platinum",E1141&gt;=37000000,"Gold",E1141&gt;=30000000,"Sliver",E1141&lt;30000000,"Bronze")</f>
        <v>Sliver</v>
      </c>
    </row>
    <row r="1142" spans="1:12" x14ac:dyDescent="0.25">
      <c r="A1142">
        <v>1141</v>
      </c>
      <c r="B1142" t="s">
        <v>1162</v>
      </c>
      <c r="C1142" t="s">
        <v>16</v>
      </c>
      <c r="D1142" t="s">
        <v>25</v>
      </c>
      <c r="E1142" s="4">
        <v>31792188</v>
      </c>
      <c r="F1142" s="1">
        <f>CALCULATION!$C$11</f>
        <v>42.81</v>
      </c>
      <c r="G1142" s="1">
        <v>7.41</v>
      </c>
      <c r="H1142">
        <v>444.72</v>
      </c>
      <c r="I1142">
        <v>24.66</v>
      </c>
      <c r="J1142" s="5">
        <v>46060</v>
      </c>
      <c r="K1142">
        <f t="shared" si="17"/>
        <v>40.93</v>
      </c>
      <c r="L1142" t="str" cm="1">
        <f t="array" ref="L1142">_xlfn.IFS(E1142&gt;=52000000,"Platinum",E1142&gt;=37000000,"Gold",E1142&gt;=30000000,"Sliver",E1142&lt;30000000,"Bronze")</f>
        <v>Sliver</v>
      </c>
    </row>
    <row r="1143" spans="1:12" x14ac:dyDescent="0.25">
      <c r="A1143">
        <v>1142</v>
      </c>
      <c r="B1143" t="s">
        <v>1163</v>
      </c>
      <c r="C1143" t="s">
        <v>21</v>
      </c>
      <c r="D1143" t="s">
        <v>22</v>
      </c>
      <c r="E1143" s="4">
        <v>34932208</v>
      </c>
      <c r="F1143">
        <v>38.57</v>
      </c>
      <c r="G1143">
        <v>1.91</v>
      </c>
      <c r="H1143">
        <v>114.32</v>
      </c>
      <c r="I1143">
        <v>4.9400000000000004</v>
      </c>
      <c r="J1143" s="5">
        <v>46060</v>
      </c>
      <c r="K1143">
        <f t="shared" si="17"/>
        <v>33.19</v>
      </c>
      <c r="L1143" t="str" cm="1">
        <f t="array" ref="L1143">_xlfn.IFS(E1143&gt;=52000000,"Platinum",E1143&gt;=37000000,"Gold",E1143&gt;=30000000,"Sliver",E1143&lt;30000000,"Bronze")</f>
        <v>Sliver</v>
      </c>
    </row>
    <row r="1144" spans="1:12" x14ac:dyDescent="0.25">
      <c r="A1144">
        <v>1143</v>
      </c>
      <c r="B1144" t="s">
        <v>1164</v>
      </c>
      <c r="C1144" t="s">
        <v>19</v>
      </c>
      <c r="D1144" t="s">
        <v>22</v>
      </c>
      <c r="E1144" s="4">
        <v>28468124</v>
      </c>
      <c r="F1144">
        <v>37.07</v>
      </c>
      <c r="G1144">
        <v>5.78</v>
      </c>
      <c r="H1144">
        <v>346.9</v>
      </c>
      <c r="I1144">
        <v>15.6</v>
      </c>
      <c r="J1144" s="5">
        <v>46060</v>
      </c>
      <c r="K1144">
        <f t="shared" si="17"/>
        <v>39.270000000000003</v>
      </c>
      <c r="L1144" t="str" cm="1">
        <f t="array" ref="L1144">_xlfn.IFS(E1144&gt;=52000000,"Platinum",E1144&gt;=37000000,"Gold",E1144&gt;=30000000,"Sliver",E1144&lt;30000000,"Bronze")</f>
        <v>Bronze</v>
      </c>
    </row>
    <row r="1145" spans="1:12" x14ac:dyDescent="0.25">
      <c r="A1145">
        <v>1144</v>
      </c>
      <c r="B1145" t="s">
        <v>1165</v>
      </c>
      <c r="C1145" t="s">
        <v>29</v>
      </c>
      <c r="D1145" t="s">
        <v>22</v>
      </c>
      <c r="E1145" s="4">
        <v>35333489</v>
      </c>
      <c r="F1145">
        <v>35.68</v>
      </c>
      <c r="G1145">
        <v>6.48</v>
      </c>
      <c r="H1145">
        <v>388.97</v>
      </c>
      <c r="I1145">
        <v>18.170000000000002</v>
      </c>
      <c r="J1145" s="5">
        <v>46060</v>
      </c>
      <c r="K1145">
        <f t="shared" si="17"/>
        <v>41.25</v>
      </c>
      <c r="L1145" t="str" cm="1">
        <f t="array" ref="L1145">_xlfn.IFS(E1145&gt;=52000000,"Platinum",E1145&gt;=37000000,"Gold",E1145&gt;=30000000,"Sliver",E1145&lt;30000000,"Bronze")</f>
        <v>Sliver</v>
      </c>
    </row>
    <row r="1146" spans="1:12" x14ac:dyDescent="0.25">
      <c r="A1146">
        <v>1145</v>
      </c>
      <c r="B1146" t="s">
        <v>1166</v>
      </c>
      <c r="C1146" t="s">
        <v>16</v>
      </c>
      <c r="D1146" s="1" t="s">
        <v>32</v>
      </c>
      <c r="E1146" s="4">
        <v>25944191</v>
      </c>
      <c r="F1146">
        <v>52.65</v>
      </c>
      <c r="G1146">
        <v>6.09</v>
      </c>
      <c r="H1146">
        <v>365.41</v>
      </c>
      <c r="I1146">
        <v>11.57</v>
      </c>
      <c r="J1146" s="5">
        <v>46060</v>
      </c>
      <c r="K1146">
        <f t="shared" si="17"/>
        <v>29.46</v>
      </c>
      <c r="L1146" t="str" cm="1">
        <f t="array" ref="L1146">_xlfn.IFS(E1146&gt;=52000000,"Platinum",E1146&gt;=37000000,"Gold",E1146&gt;=30000000,"Sliver",E1146&lt;30000000,"Bronze")</f>
        <v>Bronze</v>
      </c>
    </row>
    <row r="1147" spans="1:12" x14ac:dyDescent="0.25">
      <c r="A1147">
        <v>1146</v>
      </c>
      <c r="B1147" t="s">
        <v>1167</v>
      </c>
      <c r="C1147" t="s">
        <v>27</v>
      </c>
      <c r="D1147" t="s">
        <v>11</v>
      </c>
      <c r="E1147" s="4">
        <v>29413102</v>
      </c>
      <c r="F1147">
        <v>19.98</v>
      </c>
      <c r="G1147">
        <v>14.66</v>
      </c>
      <c r="H1147">
        <v>879.45</v>
      </c>
      <c r="I1147">
        <v>73.36</v>
      </c>
      <c r="J1147" s="5">
        <v>46060</v>
      </c>
      <c r="K1147">
        <f t="shared" si="17"/>
        <v>76.69</v>
      </c>
      <c r="L1147" t="str" cm="1">
        <f t="array" ref="L1147">_xlfn.IFS(E1147&gt;=52000000,"Platinum",E1147&gt;=37000000,"Gold",E1147&gt;=30000000,"Sliver",E1147&lt;30000000,"Bronze")</f>
        <v>Bronze</v>
      </c>
    </row>
    <row r="1148" spans="1:12" x14ac:dyDescent="0.25">
      <c r="A1148">
        <v>1147</v>
      </c>
      <c r="B1148" t="s">
        <v>1168</v>
      </c>
      <c r="C1148" t="s">
        <v>29</v>
      </c>
      <c r="D1148" t="s">
        <v>17</v>
      </c>
      <c r="E1148" s="4">
        <v>29858632</v>
      </c>
      <c r="F1148">
        <v>50.37</v>
      </c>
      <c r="G1148">
        <v>8.14</v>
      </c>
      <c r="H1148">
        <v>488.3</v>
      </c>
      <c r="I1148">
        <v>16.16</v>
      </c>
      <c r="J1148" s="5">
        <v>46060</v>
      </c>
      <c r="K1148">
        <f t="shared" si="17"/>
        <v>32.9</v>
      </c>
      <c r="L1148" t="str" cm="1">
        <f t="array" ref="L1148">_xlfn.IFS(E1148&gt;=52000000,"Platinum",E1148&gt;=37000000,"Gold",E1148&gt;=30000000,"Sliver",E1148&lt;30000000,"Bronze")</f>
        <v>Bronze</v>
      </c>
    </row>
    <row r="1149" spans="1:12" x14ac:dyDescent="0.25">
      <c r="A1149">
        <v>1148</v>
      </c>
      <c r="B1149" t="s">
        <v>1169</v>
      </c>
      <c r="C1149" t="s">
        <v>19</v>
      </c>
      <c r="D1149" t="s">
        <v>22</v>
      </c>
      <c r="E1149" s="4">
        <v>28640454</v>
      </c>
      <c r="F1149">
        <v>57.07</v>
      </c>
      <c r="G1149">
        <v>3.07</v>
      </c>
      <c r="H1149">
        <v>184.31</v>
      </c>
      <c r="I1149">
        <v>5.38</v>
      </c>
      <c r="J1149" s="5">
        <v>46060</v>
      </c>
      <c r="K1149">
        <f t="shared" si="17"/>
        <v>24.16</v>
      </c>
      <c r="L1149" t="str" cm="1">
        <f t="array" ref="L1149">_xlfn.IFS(E1149&gt;=52000000,"Platinum",E1149&gt;=37000000,"Gold",E1149&gt;=30000000,"Sliver",E1149&lt;30000000,"Bronze")</f>
        <v>Bronze</v>
      </c>
    </row>
    <row r="1150" spans="1:12" x14ac:dyDescent="0.25">
      <c r="A1150">
        <v>1149</v>
      </c>
      <c r="B1150" t="s">
        <v>1170</v>
      </c>
      <c r="C1150" t="s">
        <v>46</v>
      </c>
      <c r="D1150" t="s">
        <v>11</v>
      </c>
      <c r="E1150" s="4">
        <v>34998689</v>
      </c>
      <c r="F1150">
        <v>52.39</v>
      </c>
      <c r="G1150">
        <v>2.65</v>
      </c>
      <c r="H1150">
        <v>158.93</v>
      </c>
      <c r="I1150">
        <v>5.0599999999999996</v>
      </c>
      <c r="J1150" s="5">
        <v>46060</v>
      </c>
      <c r="K1150">
        <f t="shared" si="17"/>
        <v>26.34</v>
      </c>
      <c r="L1150" t="str" cm="1">
        <f t="array" ref="L1150">_xlfn.IFS(E1150&gt;=52000000,"Platinum",E1150&gt;=37000000,"Gold",E1150&gt;=30000000,"Sliver",E1150&lt;30000000,"Bronze")</f>
        <v>Sliver</v>
      </c>
    </row>
    <row r="1151" spans="1:12" x14ac:dyDescent="0.25">
      <c r="A1151">
        <v>1150</v>
      </c>
      <c r="B1151" t="s">
        <v>1171</v>
      </c>
      <c r="C1151" t="s">
        <v>29</v>
      </c>
      <c r="D1151" t="s">
        <v>32</v>
      </c>
      <c r="E1151" s="4">
        <v>33017220</v>
      </c>
      <c r="F1151">
        <v>52.06</v>
      </c>
      <c r="G1151">
        <v>5.08</v>
      </c>
      <c r="H1151">
        <v>304.62</v>
      </c>
      <c r="I1151">
        <v>9.75</v>
      </c>
      <c r="J1151" s="5">
        <v>46060</v>
      </c>
      <c r="K1151">
        <f t="shared" si="17"/>
        <v>28.85</v>
      </c>
      <c r="L1151" t="str" cm="1">
        <f t="array" ref="L1151">_xlfn.IFS(E1151&gt;=52000000,"Platinum",E1151&gt;=37000000,"Gold",E1151&gt;=30000000,"Sliver",E1151&lt;30000000,"Bronze")</f>
        <v>Sliver</v>
      </c>
    </row>
    <row r="1152" spans="1:12" x14ac:dyDescent="0.25">
      <c r="A1152">
        <v>1151</v>
      </c>
      <c r="B1152" t="s">
        <v>1172</v>
      </c>
      <c r="C1152" t="s">
        <v>27</v>
      </c>
      <c r="D1152" t="s">
        <v>17</v>
      </c>
      <c r="E1152" s="4">
        <v>27110380</v>
      </c>
      <c r="F1152">
        <v>15.46</v>
      </c>
      <c r="G1152">
        <v>19.41</v>
      </c>
      <c r="H1152">
        <v>1164.52</v>
      </c>
      <c r="I1152">
        <v>125.54</v>
      </c>
      <c r="J1152" s="5">
        <v>46060</v>
      </c>
      <c r="K1152">
        <f t="shared" si="17"/>
        <v>105.04</v>
      </c>
      <c r="L1152" t="str" cm="1">
        <f t="array" ref="L1152">_xlfn.IFS(E1152&gt;=52000000,"Platinum",E1152&gt;=37000000,"Gold",E1152&gt;=30000000,"Sliver",E1152&lt;30000000,"Bronze")</f>
        <v>Bronze</v>
      </c>
    </row>
    <row r="1153" spans="1:12" x14ac:dyDescent="0.25">
      <c r="A1153">
        <v>1152</v>
      </c>
      <c r="B1153" t="s">
        <v>1173</v>
      </c>
      <c r="C1153" t="s">
        <v>29</v>
      </c>
      <c r="D1153" t="s">
        <v>22</v>
      </c>
      <c r="E1153" s="4">
        <v>29570097</v>
      </c>
      <c r="F1153">
        <v>30.06</v>
      </c>
      <c r="G1153">
        <v>8.19</v>
      </c>
      <c r="H1153">
        <v>491.32</v>
      </c>
      <c r="I1153">
        <v>27.24</v>
      </c>
      <c r="J1153" s="5">
        <v>46060</v>
      </c>
      <c r="K1153">
        <f t="shared" si="17"/>
        <v>48.59</v>
      </c>
      <c r="L1153" t="str" cm="1">
        <f t="array" ref="L1153">_xlfn.IFS(E1153&gt;=52000000,"Platinum",E1153&gt;=37000000,"Gold",E1153&gt;=30000000,"Sliver",E1153&lt;30000000,"Bronze")</f>
        <v>Bronze</v>
      </c>
    </row>
    <row r="1154" spans="1:12" x14ac:dyDescent="0.25">
      <c r="A1154">
        <v>1153</v>
      </c>
      <c r="B1154" t="s">
        <v>1174</v>
      </c>
      <c r="C1154" t="s">
        <v>27</v>
      </c>
      <c r="D1154" t="s">
        <v>32</v>
      </c>
      <c r="E1154" s="4">
        <v>23724616</v>
      </c>
      <c r="F1154">
        <v>21.25</v>
      </c>
      <c r="G1154">
        <v>13.13</v>
      </c>
      <c r="H1154">
        <v>787.62</v>
      </c>
      <c r="I1154">
        <v>61.77</v>
      </c>
      <c r="J1154" s="5">
        <v>46060</v>
      </c>
      <c r="K1154">
        <f t="shared" si="17"/>
        <v>70.260000000000005</v>
      </c>
      <c r="L1154" t="str" cm="1">
        <f t="array" ref="L1154">_xlfn.IFS(E1154&gt;=52000000,"Platinum",E1154&gt;=37000000,"Gold",E1154&gt;=30000000,"Sliver",E1154&lt;30000000,"Bronze")</f>
        <v>Bronze</v>
      </c>
    </row>
    <row r="1155" spans="1:12" x14ac:dyDescent="0.25">
      <c r="A1155">
        <v>1154</v>
      </c>
      <c r="B1155" t="s">
        <v>1175</v>
      </c>
      <c r="C1155" t="s">
        <v>16</v>
      </c>
      <c r="D1155" t="s">
        <v>25</v>
      </c>
      <c r="E1155" s="4">
        <v>25875274</v>
      </c>
      <c r="F1155">
        <v>35.82</v>
      </c>
      <c r="G1155">
        <v>3.26</v>
      </c>
      <c r="H1155">
        <v>195.37</v>
      </c>
      <c r="I1155">
        <v>9.09</v>
      </c>
      <c r="J1155" s="5">
        <v>46060</v>
      </c>
      <c r="K1155">
        <f t="shared" ref="K1155:K1218" si="18">ROUND((100-F1155)*0.5 + I1155*0.5,2)</f>
        <v>36.64</v>
      </c>
      <c r="L1155" t="str" cm="1">
        <f t="array" ref="L1155">_xlfn.IFS(E1155&gt;=52000000,"Platinum",E1155&gt;=37000000,"Gold",E1155&gt;=30000000,"Sliver",E1155&lt;30000000,"Bronze")</f>
        <v>Bronze</v>
      </c>
    </row>
    <row r="1156" spans="1:12" x14ac:dyDescent="0.25">
      <c r="A1156">
        <v>1155</v>
      </c>
      <c r="B1156" t="s">
        <v>1176</v>
      </c>
      <c r="C1156" t="s">
        <v>21</v>
      </c>
      <c r="D1156" t="s">
        <v>25</v>
      </c>
      <c r="E1156" s="4">
        <v>32657825</v>
      </c>
      <c r="F1156">
        <v>43.38</v>
      </c>
      <c r="G1156">
        <v>2.59</v>
      </c>
      <c r="H1156">
        <v>155.59</v>
      </c>
      <c r="I1156">
        <v>5.98</v>
      </c>
      <c r="J1156" s="5">
        <v>46060</v>
      </c>
      <c r="K1156">
        <f t="shared" si="18"/>
        <v>31.3</v>
      </c>
      <c r="L1156" t="str" cm="1">
        <f t="array" ref="L1156">_xlfn.IFS(E1156&gt;=52000000,"Platinum",E1156&gt;=37000000,"Gold",E1156&gt;=30000000,"Sliver",E1156&lt;30000000,"Bronze")</f>
        <v>Sliver</v>
      </c>
    </row>
    <row r="1157" spans="1:12" x14ac:dyDescent="0.25">
      <c r="A1157">
        <v>1156</v>
      </c>
      <c r="B1157" t="s">
        <v>1177</v>
      </c>
      <c r="C1157" t="s">
        <v>29</v>
      </c>
      <c r="D1157" t="s">
        <v>32</v>
      </c>
      <c r="E1157" s="4">
        <v>28465448</v>
      </c>
      <c r="F1157">
        <v>35.29</v>
      </c>
      <c r="G1157">
        <v>4.51</v>
      </c>
      <c r="H1157">
        <v>270.60000000000002</v>
      </c>
      <c r="I1157">
        <v>12.78</v>
      </c>
      <c r="J1157" s="5">
        <v>46060</v>
      </c>
      <c r="K1157">
        <f t="shared" si="18"/>
        <v>38.75</v>
      </c>
      <c r="L1157" t="str" cm="1">
        <f t="array" ref="L1157">_xlfn.IFS(E1157&gt;=52000000,"Platinum",E1157&gt;=37000000,"Gold",E1157&gt;=30000000,"Sliver",E1157&lt;30000000,"Bronze")</f>
        <v>Bronze</v>
      </c>
    </row>
    <row r="1158" spans="1:12" x14ac:dyDescent="0.25">
      <c r="A1158">
        <v>1157</v>
      </c>
      <c r="B1158" t="s">
        <v>1178</v>
      </c>
      <c r="C1158" t="s">
        <v>10</v>
      </c>
      <c r="D1158" t="s">
        <v>32</v>
      </c>
      <c r="E1158" s="4">
        <v>31112707</v>
      </c>
      <c r="F1158">
        <v>43.32</v>
      </c>
      <c r="G1158">
        <v>3.54</v>
      </c>
      <c r="H1158">
        <v>212.59</v>
      </c>
      <c r="I1158">
        <v>8.18</v>
      </c>
      <c r="J1158" s="5">
        <v>46060</v>
      </c>
      <c r="K1158">
        <f t="shared" si="18"/>
        <v>32.43</v>
      </c>
      <c r="L1158" t="str" cm="1">
        <f t="array" ref="L1158">_xlfn.IFS(E1158&gt;=52000000,"Platinum",E1158&gt;=37000000,"Gold",E1158&gt;=30000000,"Sliver",E1158&lt;30000000,"Bronze")</f>
        <v>Sliver</v>
      </c>
    </row>
    <row r="1159" spans="1:12" x14ac:dyDescent="0.25">
      <c r="A1159">
        <v>1158</v>
      </c>
      <c r="B1159" t="s">
        <v>1179</v>
      </c>
      <c r="C1159" t="s">
        <v>29</v>
      </c>
      <c r="D1159" t="s">
        <v>17</v>
      </c>
      <c r="E1159" s="4">
        <v>30513594</v>
      </c>
      <c r="F1159">
        <v>58.16</v>
      </c>
      <c r="G1159">
        <v>8.1999999999999993</v>
      </c>
      <c r="H1159">
        <v>492.1</v>
      </c>
      <c r="I1159">
        <v>14.1</v>
      </c>
      <c r="J1159" s="5">
        <v>46060</v>
      </c>
      <c r="K1159">
        <f t="shared" si="18"/>
        <v>27.97</v>
      </c>
      <c r="L1159" t="str" cm="1">
        <f t="array" ref="L1159">_xlfn.IFS(E1159&gt;=52000000,"Platinum",E1159&gt;=37000000,"Gold",E1159&gt;=30000000,"Sliver",E1159&lt;30000000,"Bronze")</f>
        <v>Sliver</v>
      </c>
    </row>
    <row r="1160" spans="1:12" x14ac:dyDescent="0.25">
      <c r="A1160">
        <v>1159</v>
      </c>
      <c r="B1160" t="s">
        <v>1180</v>
      </c>
      <c r="C1160" t="s">
        <v>16</v>
      </c>
      <c r="D1160" t="s">
        <v>25</v>
      </c>
      <c r="E1160" s="4">
        <v>30828731</v>
      </c>
      <c r="F1160">
        <v>31.72</v>
      </c>
      <c r="G1160">
        <v>3.77</v>
      </c>
      <c r="H1160">
        <v>226.33</v>
      </c>
      <c r="I1160">
        <v>11.89</v>
      </c>
      <c r="J1160" s="5">
        <v>46060</v>
      </c>
      <c r="K1160">
        <f t="shared" si="18"/>
        <v>40.090000000000003</v>
      </c>
      <c r="L1160" t="str" cm="1">
        <f t="array" ref="L1160">_xlfn.IFS(E1160&gt;=52000000,"Platinum",E1160&gt;=37000000,"Gold",E1160&gt;=30000000,"Sliver",E1160&lt;30000000,"Bronze")</f>
        <v>Sliver</v>
      </c>
    </row>
    <row r="1161" spans="1:12" x14ac:dyDescent="0.25">
      <c r="A1161">
        <v>1160</v>
      </c>
      <c r="B1161" t="s">
        <v>1181</v>
      </c>
      <c r="C1161" t="s">
        <v>29</v>
      </c>
      <c r="D1161" t="s">
        <v>32</v>
      </c>
      <c r="E1161" s="4">
        <v>27721011</v>
      </c>
      <c r="F1161">
        <v>36.39</v>
      </c>
      <c r="G1161">
        <v>5.0199999999999996</v>
      </c>
      <c r="H1161">
        <v>301.33999999999997</v>
      </c>
      <c r="I1161">
        <v>13.8</v>
      </c>
      <c r="J1161" s="5">
        <v>46060</v>
      </c>
      <c r="K1161">
        <f t="shared" si="18"/>
        <v>38.71</v>
      </c>
      <c r="L1161" t="str" cm="1">
        <f t="array" ref="L1161">_xlfn.IFS(E1161&gt;=52000000,"Platinum",E1161&gt;=37000000,"Gold",E1161&gt;=30000000,"Sliver",E1161&lt;30000000,"Bronze")</f>
        <v>Bronze</v>
      </c>
    </row>
    <row r="1162" spans="1:12" x14ac:dyDescent="0.25">
      <c r="A1162">
        <v>1161</v>
      </c>
      <c r="B1162" t="s">
        <v>1182</v>
      </c>
      <c r="C1162" t="s">
        <v>10</v>
      </c>
      <c r="D1162" t="s">
        <v>32</v>
      </c>
      <c r="E1162" s="4">
        <v>25094799</v>
      </c>
      <c r="F1162">
        <v>51.24</v>
      </c>
      <c r="G1162">
        <v>2.58</v>
      </c>
      <c r="H1162">
        <v>155.01</v>
      </c>
      <c r="I1162">
        <v>5.04</v>
      </c>
      <c r="J1162" s="5">
        <v>46060</v>
      </c>
      <c r="K1162">
        <f t="shared" si="18"/>
        <v>26.9</v>
      </c>
      <c r="L1162" t="str" cm="1">
        <f t="array" ref="L1162">_xlfn.IFS(E1162&gt;=52000000,"Platinum",E1162&gt;=37000000,"Gold",E1162&gt;=30000000,"Sliver",E1162&lt;30000000,"Bronze")</f>
        <v>Bronze</v>
      </c>
    </row>
    <row r="1163" spans="1:12" x14ac:dyDescent="0.25">
      <c r="A1163">
        <v>1162</v>
      </c>
      <c r="B1163" t="s">
        <v>1183</v>
      </c>
      <c r="C1163" t="s">
        <v>19</v>
      </c>
      <c r="D1163" t="s">
        <v>25</v>
      </c>
      <c r="E1163" s="4">
        <v>31172287</v>
      </c>
      <c r="F1163">
        <v>34.380000000000003</v>
      </c>
      <c r="G1163">
        <v>3.42</v>
      </c>
      <c r="H1163">
        <v>205.13</v>
      </c>
      <c r="I1163">
        <v>9.94</v>
      </c>
      <c r="J1163" s="5">
        <v>46060</v>
      </c>
      <c r="K1163">
        <f t="shared" si="18"/>
        <v>37.78</v>
      </c>
      <c r="L1163" t="str" cm="1">
        <f t="array" ref="L1163">_xlfn.IFS(E1163&gt;=52000000,"Platinum",E1163&gt;=37000000,"Gold",E1163&gt;=30000000,"Sliver",E1163&lt;30000000,"Bronze")</f>
        <v>Sliver</v>
      </c>
    </row>
    <row r="1164" spans="1:12" x14ac:dyDescent="0.25">
      <c r="A1164">
        <v>1163</v>
      </c>
      <c r="B1164" t="s">
        <v>1184</v>
      </c>
      <c r="C1164" t="s">
        <v>29</v>
      </c>
      <c r="D1164" t="s">
        <v>32</v>
      </c>
      <c r="E1164" s="4">
        <v>34939803</v>
      </c>
      <c r="F1164">
        <v>43.28</v>
      </c>
      <c r="G1164">
        <v>6.33</v>
      </c>
      <c r="H1164">
        <v>379.89</v>
      </c>
      <c r="I1164">
        <v>14.63</v>
      </c>
      <c r="J1164" s="5">
        <v>46060</v>
      </c>
      <c r="K1164">
        <f t="shared" si="18"/>
        <v>35.68</v>
      </c>
      <c r="L1164" t="str" cm="1">
        <f t="array" ref="L1164">_xlfn.IFS(E1164&gt;=52000000,"Platinum",E1164&gt;=37000000,"Gold",E1164&gt;=30000000,"Sliver",E1164&lt;30000000,"Bronze")</f>
        <v>Sliver</v>
      </c>
    </row>
    <row r="1165" spans="1:12" x14ac:dyDescent="0.25">
      <c r="A1165">
        <v>1164</v>
      </c>
      <c r="B1165" t="s">
        <v>1185</v>
      </c>
      <c r="C1165" t="s">
        <v>27</v>
      </c>
      <c r="D1165" t="s">
        <v>17</v>
      </c>
      <c r="E1165" s="4">
        <v>30122717</v>
      </c>
      <c r="F1165">
        <v>20.67</v>
      </c>
      <c r="G1165">
        <v>35.92</v>
      </c>
      <c r="H1165">
        <v>2155.4</v>
      </c>
      <c r="I1165">
        <v>173.79</v>
      </c>
      <c r="J1165" s="5">
        <v>46060</v>
      </c>
      <c r="K1165">
        <f t="shared" si="18"/>
        <v>126.56</v>
      </c>
      <c r="L1165" t="str" cm="1">
        <f t="array" ref="L1165">_xlfn.IFS(E1165&gt;=52000000,"Platinum",E1165&gt;=37000000,"Gold",E1165&gt;=30000000,"Sliver",E1165&lt;30000000,"Bronze")</f>
        <v>Sliver</v>
      </c>
    </row>
    <row r="1166" spans="1:12" x14ac:dyDescent="0.25">
      <c r="A1166">
        <v>1165</v>
      </c>
      <c r="B1166" t="s">
        <v>1186</v>
      </c>
      <c r="C1166" s="1" t="s">
        <v>21</v>
      </c>
      <c r="D1166" t="s">
        <v>25</v>
      </c>
      <c r="E1166" s="4">
        <v>23652739</v>
      </c>
      <c r="F1166">
        <v>55.01</v>
      </c>
      <c r="G1166">
        <v>9.11</v>
      </c>
      <c r="H1166">
        <v>546.72</v>
      </c>
      <c r="I1166">
        <v>16.559999999999999</v>
      </c>
      <c r="J1166" s="5">
        <v>46060</v>
      </c>
      <c r="K1166">
        <f t="shared" si="18"/>
        <v>30.78</v>
      </c>
      <c r="L1166" t="str" cm="1">
        <f t="array" ref="L1166">_xlfn.IFS(E1166&gt;=52000000,"Platinum",E1166&gt;=37000000,"Gold",E1166&gt;=30000000,"Sliver",E1166&lt;30000000,"Bronze")</f>
        <v>Bronze</v>
      </c>
    </row>
    <row r="1167" spans="1:12" x14ac:dyDescent="0.25">
      <c r="A1167">
        <v>1166</v>
      </c>
      <c r="B1167" t="s">
        <v>1187</v>
      </c>
      <c r="C1167" s="1" t="s">
        <v>21</v>
      </c>
      <c r="D1167" t="s">
        <v>22</v>
      </c>
      <c r="E1167" s="4">
        <v>31825005</v>
      </c>
      <c r="F1167">
        <v>19.68</v>
      </c>
      <c r="G1167">
        <v>19.920000000000002</v>
      </c>
      <c r="H1167">
        <v>1195.01</v>
      </c>
      <c r="I1167">
        <v>101.2</v>
      </c>
      <c r="J1167" s="5">
        <v>46060</v>
      </c>
      <c r="K1167">
        <f t="shared" si="18"/>
        <v>90.76</v>
      </c>
      <c r="L1167" t="str" cm="1">
        <f t="array" ref="L1167">_xlfn.IFS(E1167&gt;=52000000,"Platinum",E1167&gt;=37000000,"Gold",E1167&gt;=30000000,"Sliver",E1167&lt;30000000,"Bronze")</f>
        <v>Sliver</v>
      </c>
    </row>
    <row r="1168" spans="1:12" x14ac:dyDescent="0.25">
      <c r="A1168">
        <v>1167</v>
      </c>
      <c r="B1168" t="s">
        <v>1188</v>
      </c>
      <c r="C1168" t="s">
        <v>19</v>
      </c>
      <c r="D1168" t="s">
        <v>22</v>
      </c>
      <c r="E1168" s="4">
        <v>25663359</v>
      </c>
      <c r="F1168">
        <v>40.43</v>
      </c>
      <c r="G1168">
        <v>3.7</v>
      </c>
      <c r="H1168">
        <v>222.1</v>
      </c>
      <c r="I1168">
        <v>9.16</v>
      </c>
      <c r="J1168" s="5">
        <v>46060</v>
      </c>
      <c r="K1168">
        <f t="shared" si="18"/>
        <v>34.369999999999997</v>
      </c>
      <c r="L1168" t="str" cm="1">
        <f t="array" ref="L1168">_xlfn.IFS(E1168&gt;=52000000,"Platinum",E1168&gt;=37000000,"Gold",E1168&gt;=30000000,"Sliver",E1168&lt;30000000,"Bronze")</f>
        <v>Bronze</v>
      </c>
    </row>
    <row r="1169" spans="1:12" x14ac:dyDescent="0.25">
      <c r="A1169">
        <v>1168</v>
      </c>
      <c r="B1169" t="s">
        <v>1189</v>
      </c>
      <c r="C1169" t="s">
        <v>19</v>
      </c>
      <c r="D1169" t="s">
        <v>32</v>
      </c>
      <c r="E1169" s="4">
        <v>33068481</v>
      </c>
      <c r="F1169">
        <v>50.15</v>
      </c>
      <c r="G1169">
        <v>3.89</v>
      </c>
      <c r="H1169">
        <v>233.34</v>
      </c>
      <c r="I1169">
        <v>7.75</v>
      </c>
      <c r="J1169" s="5">
        <v>46060</v>
      </c>
      <c r="K1169">
        <f t="shared" si="18"/>
        <v>28.8</v>
      </c>
      <c r="L1169" t="str" cm="1">
        <f t="array" ref="L1169">_xlfn.IFS(E1169&gt;=52000000,"Platinum",E1169&gt;=37000000,"Gold",E1169&gt;=30000000,"Sliver",E1169&lt;30000000,"Bronze")</f>
        <v>Sliver</v>
      </c>
    </row>
    <row r="1170" spans="1:12" x14ac:dyDescent="0.25">
      <c r="A1170">
        <v>1169</v>
      </c>
      <c r="B1170" t="s">
        <v>1190</v>
      </c>
      <c r="C1170" t="s">
        <v>10</v>
      </c>
      <c r="D1170" t="s">
        <v>11</v>
      </c>
      <c r="E1170" s="4">
        <v>34296425</v>
      </c>
      <c r="F1170">
        <v>50.33</v>
      </c>
      <c r="G1170">
        <v>4.3099999999999996</v>
      </c>
      <c r="H1170">
        <v>258.73</v>
      </c>
      <c r="I1170">
        <v>8.57</v>
      </c>
      <c r="J1170" s="5">
        <v>46060</v>
      </c>
      <c r="K1170">
        <f t="shared" si="18"/>
        <v>29.12</v>
      </c>
      <c r="L1170" t="str" cm="1">
        <f t="array" ref="L1170">_xlfn.IFS(E1170&gt;=52000000,"Platinum",E1170&gt;=37000000,"Gold",E1170&gt;=30000000,"Sliver",E1170&lt;30000000,"Bronze")</f>
        <v>Sliver</v>
      </c>
    </row>
    <row r="1171" spans="1:12" x14ac:dyDescent="0.25">
      <c r="A1171">
        <v>1170</v>
      </c>
      <c r="B1171" t="s">
        <v>1191</v>
      </c>
      <c r="C1171" t="s">
        <v>46</v>
      </c>
      <c r="D1171" t="s">
        <v>22</v>
      </c>
      <c r="E1171" s="4">
        <v>23408609</v>
      </c>
      <c r="F1171">
        <v>37.82</v>
      </c>
      <c r="G1171">
        <v>4.7</v>
      </c>
      <c r="H1171">
        <v>282.08</v>
      </c>
      <c r="I1171">
        <v>12.43</v>
      </c>
      <c r="J1171" s="5">
        <v>46060</v>
      </c>
      <c r="K1171">
        <f t="shared" si="18"/>
        <v>37.31</v>
      </c>
      <c r="L1171" t="str" cm="1">
        <f t="array" ref="L1171">_xlfn.IFS(E1171&gt;=52000000,"Platinum",E1171&gt;=37000000,"Gold",E1171&gt;=30000000,"Sliver",E1171&lt;30000000,"Bronze")</f>
        <v>Bronze</v>
      </c>
    </row>
    <row r="1172" spans="1:12" x14ac:dyDescent="0.25">
      <c r="A1172">
        <v>1171</v>
      </c>
      <c r="B1172" t="s">
        <v>1192</v>
      </c>
      <c r="C1172" t="s">
        <v>27</v>
      </c>
      <c r="D1172" t="s">
        <v>17</v>
      </c>
      <c r="E1172" s="4">
        <v>28665924</v>
      </c>
      <c r="F1172">
        <v>23.84</v>
      </c>
      <c r="G1172">
        <v>20.53</v>
      </c>
      <c r="H1172">
        <v>1231.56</v>
      </c>
      <c r="I1172">
        <v>86.1</v>
      </c>
      <c r="J1172" s="5">
        <v>46060</v>
      </c>
      <c r="K1172">
        <f t="shared" si="18"/>
        <v>81.13</v>
      </c>
      <c r="L1172" t="str" cm="1">
        <f t="array" ref="L1172">_xlfn.IFS(E1172&gt;=52000000,"Platinum",E1172&gt;=37000000,"Gold",E1172&gt;=30000000,"Sliver",E1172&lt;30000000,"Bronze")</f>
        <v>Bronze</v>
      </c>
    </row>
    <row r="1173" spans="1:12" x14ac:dyDescent="0.25">
      <c r="A1173">
        <v>1172</v>
      </c>
      <c r="B1173" t="s">
        <v>1193</v>
      </c>
      <c r="C1173" t="s">
        <v>46</v>
      </c>
      <c r="D1173" t="s">
        <v>25</v>
      </c>
      <c r="E1173" s="4">
        <v>31564881</v>
      </c>
      <c r="F1173">
        <v>53.61</v>
      </c>
      <c r="G1173">
        <v>6.36</v>
      </c>
      <c r="H1173">
        <v>381.71</v>
      </c>
      <c r="I1173">
        <v>11.87</v>
      </c>
      <c r="J1173" s="5">
        <v>46060</v>
      </c>
      <c r="K1173">
        <f t="shared" si="18"/>
        <v>29.13</v>
      </c>
      <c r="L1173" t="str" cm="1">
        <f t="array" ref="L1173">_xlfn.IFS(E1173&gt;=52000000,"Platinum",E1173&gt;=37000000,"Gold",E1173&gt;=30000000,"Sliver",E1173&lt;30000000,"Bronze")</f>
        <v>Sliver</v>
      </c>
    </row>
    <row r="1174" spans="1:12" x14ac:dyDescent="0.25">
      <c r="A1174">
        <v>1173</v>
      </c>
      <c r="B1174" t="s">
        <v>1194</v>
      </c>
      <c r="C1174" t="s">
        <v>21</v>
      </c>
      <c r="D1174" t="s">
        <v>17</v>
      </c>
      <c r="E1174" s="4">
        <v>31487830</v>
      </c>
      <c r="F1174">
        <v>36.85</v>
      </c>
      <c r="G1174">
        <v>2.2200000000000002</v>
      </c>
      <c r="H1174">
        <v>133.05000000000001</v>
      </c>
      <c r="I1174">
        <v>6.02</v>
      </c>
      <c r="J1174" s="5">
        <v>46060</v>
      </c>
      <c r="K1174">
        <f t="shared" si="18"/>
        <v>34.590000000000003</v>
      </c>
      <c r="L1174" t="str" cm="1">
        <f t="array" ref="L1174">_xlfn.IFS(E1174&gt;=52000000,"Platinum",E1174&gt;=37000000,"Gold",E1174&gt;=30000000,"Sliver",E1174&lt;30000000,"Bronze")</f>
        <v>Sliver</v>
      </c>
    </row>
    <row r="1175" spans="1:12" x14ac:dyDescent="0.25">
      <c r="A1175">
        <v>1174</v>
      </c>
      <c r="B1175" t="s">
        <v>1195</v>
      </c>
      <c r="C1175" t="s">
        <v>10</v>
      </c>
      <c r="D1175" t="s">
        <v>13</v>
      </c>
      <c r="E1175" s="4">
        <v>33876727</v>
      </c>
      <c r="F1175">
        <v>40.36</v>
      </c>
      <c r="G1175">
        <v>5.71</v>
      </c>
      <c r="H1175">
        <v>342.71</v>
      </c>
      <c r="I1175">
        <v>14.15</v>
      </c>
      <c r="J1175" s="5">
        <v>46060</v>
      </c>
      <c r="K1175">
        <f t="shared" si="18"/>
        <v>36.9</v>
      </c>
      <c r="L1175" t="str" cm="1">
        <f t="array" ref="L1175">_xlfn.IFS(E1175&gt;=52000000,"Platinum",E1175&gt;=37000000,"Gold",E1175&gt;=30000000,"Sliver",E1175&lt;30000000,"Bronze")</f>
        <v>Sliver</v>
      </c>
    </row>
    <row r="1176" spans="1:12" x14ac:dyDescent="0.25">
      <c r="A1176">
        <v>1175</v>
      </c>
      <c r="B1176" t="s">
        <v>1196</v>
      </c>
      <c r="C1176" t="s">
        <v>19</v>
      </c>
      <c r="D1176" t="s">
        <v>32</v>
      </c>
      <c r="E1176" s="4">
        <v>32259671</v>
      </c>
      <c r="F1176">
        <v>53.6</v>
      </c>
      <c r="G1176">
        <v>5.64</v>
      </c>
      <c r="H1176">
        <v>338.39</v>
      </c>
      <c r="I1176">
        <v>10.52</v>
      </c>
      <c r="J1176" s="5">
        <v>46060</v>
      </c>
      <c r="K1176">
        <f t="shared" si="18"/>
        <v>28.46</v>
      </c>
      <c r="L1176" t="str" cm="1">
        <f t="array" ref="L1176">_xlfn.IFS(E1176&gt;=52000000,"Platinum",E1176&gt;=37000000,"Gold",E1176&gt;=30000000,"Sliver",E1176&lt;30000000,"Bronze")</f>
        <v>Sliver</v>
      </c>
    </row>
    <row r="1177" spans="1:12" x14ac:dyDescent="0.25">
      <c r="A1177">
        <v>1176</v>
      </c>
      <c r="B1177" t="s">
        <v>1197</v>
      </c>
      <c r="C1177" t="s">
        <v>16</v>
      </c>
      <c r="D1177" t="s">
        <v>11</v>
      </c>
      <c r="E1177" s="4">
        <v>29564537</v>
      </c>
      <c r="F1177">
        <v>56.18</v>
      </c>
      <c r="G1177">
        <v>5.46</v>
      </c>
      <c r="H1177">
        <v>327.72</v>
      </c>
      <c r="I1177">
        <v>9.7200000000000006</v>
      </c>
      <c r="J1177" s="5">
        <v>46060</v>
      </c>
      <c r="K1177">
        <f t="shared" si="18"/>
        <v>26.77</v>
      </c>
      <c r="L1177" t="str" cm="1">
        <f t="array" ref="L1177">_xlfn.IFS(E1177&gt;=52000000,"Platinum",E1177&gt;=37000000,"Gold",E1177&gt;=30000000,"Sliver",E1177&lt;30000000,"Bronze")</f>
        <v>Bronze</v>
      </c>
    </row>
    <row r="1178" spans="1:12" x14ac:dyDescent="0.25">
      <c r="A1178">
        <v>1177</v>
      </c>
      <c r="B1178" t="s">
        <v>1198</v>
      </c>
      <c r="C1178" t="s">
        <v>16</v>
      </c>
      <c r="D1178" t="s">
        <v>13</v>
      </c>
      <c r="E1178" s="4">
        <v>24810588</v>
      </c>
      <c r="F1178">
        <v>30.75</v>
      </c>
      <c r="G1178">
        <v>3.51</v>
      </c>
      <c r="H1178">
        <v>210.52</v>
      </c>
      <c r="I1178">
        <v>11.41</v>
      </c>
      <c r="J1178" s="5">
        <v>46060</v>
      </c>
      <c r="K1178">
        <f t="shared" si="18"/>
        <v>40.33</v>
      </c>
      <c r="L1178" t="str" cm="1">
        <f t="array" ref="L1178">_xlfn.IFS(E1178&gt;=52000000,"Platinum",E1178&gt;=37000000,"Gold",E1178&gt;=30000000,"Sliver",E1178&lt;30000000,"Bronze")</f>
        <v>Bronze</v>
      </c>
    </row>
    <row r="1179" spans="1:12" x14ac:dyDescent="0.25">
      <c r="A1179">
        <v>1178</v>
      </c>
      <c r="B1179" t="s">
        <v>1199</v>
      </c>
      <c r="C1179" t="s">
        <v>27</v>
      </c>
      <c r="D1179" t="s">
        <v>25</v>
      </c>
      <c r="E1179" s="4">
        <v>33790775</v>
      </c>
      <c r="F1179">
        <v>23.23</v>
      </c>
      <c r="G1179">
        <v>12.52</v>
      </c>
      <c r="H1179">
        <v>751.37</v>
      </c>
      <c r="I1179">
        <v>53.91</v>
      </c>
      <c r="J1179" s="5">
        <v>46060</v>
      </c>
      <c r="K1179">
        <f t="shared" si="18"/>
        <v>65.34</v>
      </c>
      <c r="L1179" t="str" cm="1">
        <f t="array" ref="L1179">_xlfn.IFS(E1179&gt;=52000000,"Platinum",E1179&gt;=37000000,"Gold",E1179&gt;=30000000,"Sliver",E1179&lt;30000000,"Bronze")</f>
        <v>Sliver</v>
      </c>
    </row>
    <row r="1180" spans="1:12" x14ac:dyDescent="0.25">
      <c r="A1180">
        <v>1179</v>
      </c>
      <c r="B1180" t="s">
        <v>1200</v>
      </c>
      <c r="C1180" t="s">
        <v>29</v>
      </c>
      <c r="D1180" t="s">
        <v>13</v>
      </c>
      <c r="E1180" s="4">
        <v>23320548</v>
      </c>
      <c r="F1180">
        <v>46.24</v>
      </c>
      <c r="G1180">
        <v>8.9600000000000009</v>
      </c>
      <c r="H1180">
        <v>537.79999999999995</v>
      </c>
      <c r="I1180">
        <v>19.38</v>
      </c>
      <c r="J1180" s="5">
        <v>46060</v>
      </c>
      <c r="K1180">
        <f t="shared" si="18"/>
        <v>36.57</v>
      </c>
      <c r="L1180" t="str" cm="1">
        <f t="array" ref="L1180">_xlfn.IFS(E1180&gt;=52000000,"Platinum",E1180&gt;=37000000,"Gold",E1180&gt;=30000000,"Sliver",E1180&lt;30000000,"Bronze")</f>
        <v>Bronze</v>
      </c>
    </row>
    <row r="1181" spans="1:12" x14ac:dyDescent="0.25">
      <c r="A1181">
        <v>1180</v>
      </c>
      <c r="B1181" t="s">
        <v>1201</v>
      </c>
      <c r="C1181" t="s">
        <v>19</v>
      </c>
      <c r="D1181" t="s">
        <v>11</v>
      </c>
      <c r="E1181" s="4">
        <v>26368018</v>
      </c>
      <c r="F1181">
        <v>38.35</v>
      </c>
      <c r="G1181">
        <v>9.17</v>
      </c>
      <c r="H1181">
        <v>550.48</v>
      </c>
      <c r="I1181">
        <v>23.92</v>
      </c>
      <c r="J1181" s="5">
        <v>46060</v>
      </c>
      <c r="K1181">
        <f t="shared" si="18"/>
        <v>42.79</v>
      </c>
      <c r="L1181" t="str" cm="1">
        <f t="array" ref="L1181">_xlfn.IFS(E1181&gt;=52000000,"Platinum",E1181&gt;=37000000,"Gold",E1181&gt;=30000000,"Sliver",E1181&lt;30000000,"Bronze")</f>
        <v>Bronze</v>
      </c>
    </row>
    <row r="1182" spans="1:12" x14ac:dyDescent="0.25">
      <c r="A1182">
        <v>1181</v>
      </c>
      <c r="B1182" t="s">
        <v>1202</v>
      </c>
      <c r="C1182" t="s">
        <v>29</v>
      </c>
      <c r="D1182" t="s">
        <v>11</v>
      </c>
      <c r="E1182" s="4">
        <v>23304015</v>
      </c>
      <c r="F1182">
        <v>47.75</v>
      </c>
      <c r="G1182">
        <v>8.76</v>
      </c>
      <c r="H1182">
        <v>525.4</v>
      </c>
      <c r="I1182">
        <v>18.34</v>
      </c>
      <c r="J1182" s="5">
        <v>46060</v>
      </c>
      <c r="K1182">
        <f t="shared" si="18"/>
        <v>35.299999999999997</v>
      </c>
      <c r="L1182" t="str" cm="1">
        <f t="array" ref="L1182">_xlfn.IFS(E1182&gt;=52000000,"Platinum",E1182&gt;=37000000,"Gold",E1182&gt;=30000000,"Sliver",E1182&lt;30000000,"Bronze")</f>
        <v>Bronze</v>
      </c>
    </row>
    <row r="1183" spans="1:12" x14ac:dyDescent="0.25">
      <c r="A1183">
        <v>1182</v>
      </c>
      <c r="B1183" t="s">
        <v>1203</v>
      </c>
      <c r="C1183" t="s">
        <v>29</v>
      </c>
      <c r="D1183" t="s">
        <v>25</v>
      </c>
      <c r="E1183" s="4">
        <v>30803572</v>
      </c>
      <c r="F1183">
        <v>56.92</v>
      </c>
      <c r="G1183">
        <v>5.93</v>
      </c>
      <c r="H1183">
        <v>356</v>
      </c>
      <c r="I1183">
        <v>10.42</v>
      </c>
      <c r="J1183" s="5">
        <v>46060</v>
      </c>
      <c r="K1183">
        <f t="shared" si="18"/>
        <v>26.75</v>
      </c>
      <c r="L1183" t="str" cm="1">
        <f t="array" ref="L1183">_xlfn.IFS(E1183&gt;=52000000,"Platinum",E1183&gt;=37000000,"Gold",E1183&gt;=30000000,"Sliver",E1183&lt;30000000,"Bronze")</f>
        <v>Sliver</v>
      </c>
    </row>
    <row r="1184" spans="1:12" x14ac:dyDescent="0.25">
      <c r="A1184">
        <v>1183</v>
      </c>
      <c r="B1184" t="s">
        <v>1204</v>
      </c>
      <c r="C1184" t="s">
        <v>10</v>
      </c>
      <c r="D1184" t="s">
        <v>17</v>
      </c>
      <c r="E1184" s="4">
        <v>30985006</v>
      </c>
      <c r="F1184">
        <v>53.57</v>
      </c>
      <c r="G1184">
        <v>2.46</v>
      </c>
      <c r="H1184">
        <v>147.52000000000001</v>
      </c>
      <c r="I1184">
        <v>4.59</v>
      </c>
      <c r="J1184" s="5">
        <v>46060</v>
      </c>
      <c r="K1184">
        <f t="shared" si="18"/>
        <v>25.51</v>
      </c>
      <c r="L1184" t="str" cm="1">
        <f t="array" ref="L1184">_xlfn.IFS(E1184&gt;=52000000,"Platinum",E1184&gt;=37000000,"Gold",E1184&gt;=30000000,"Sliver",E1184&lt;30000000,"Bronze")</f>
        <v>Sliver</v>
      </c>
    </row>
    <row r="1185" spans="1:12" x14ac:dyDescent="0.25">
      <c r="A1185">
        <v>1184</v>
      </c>
      <c r="B1185" t="s">
        <v>1205</v>
      </c>
      <c r="C1185" t="s">
        <v>46</v>
      </c>
      <c r="D1185" t="s">
        <v>32</v>
      </c>
      <c r="E1185" s="4">
        <v>32804978</v>
      </c>
      <c r="F1185">
        <v>50.01</v>
      </c>
      <c r="G1185">
        <v>2.75</v>
      </c>
      <c r="H1185">
        <v>165.08</v>
      </c>
      <c r="I1185">
        <v>5.5</v>
      </c>
      <c r="J1185" s="5">
        <v>46060</v>
      </c>
      <c r="K1185">
        <f t="shared" si="18"/>
        <v>27.75</v>
      </c>
      <c r="L1185" t="str" cm="1">
        <f t="array" ref="L1185">_xlfn.IFS(E1185&gt;=52000000,"Platinum",E1185&gt;=37000000,"Gold",E1185&gt;=30000000,"Sliver",E1185&lt;30000000,"Bronze")</f>
        <v>Sliver</v>
      </c>
    </row>
    <row r="1186" spans="1:12" x14ac:dyDescent="0.25">
      <c r="A1186">
        <v>1185</v>
      </c>
      <c r="B1186" t="s">
        <v>1206</v>
      </c>
      <c r="C1186" t="s">
        <v>19</v>
      </c>
      <c r="D1186" t="s">
        <v>32</v>
      </c>
      <c r="E1186" s="4">
        <v>23810916</v>
      </c>
      <c r="F1186">
        <v>42.13</v>
      </c>
      <c r="G1186">
        <v>6.85</v>
      </c>
      <c r="H1186">
        <v>411.09</v>
      </c>
      <c r="I1186">
        <v>16.260000000000002</v>
      </c>
      <c r="J1186" s="5">
        <v>46060</v>
      </c>
      <c r="K1186">
        <f t="shared" si="18"/>
        <v>37.07</v>
      </c>
      <c r="L1186" t="str" cm="1">
        <f t="array" ref="L1186">_xlfn.IFS(E1186&gt;=52000000,"Platinum",E1186&gt;=37000000,"Gold",E1186&gt;=30000000,"Sliver",E1186&lt;30000000,"Bronze")</f>
        <v>Bronze</v>
      </c>
    </row>
    <row r="1187" spans="1:12" x14ac:dyDescent="0.25">
      <c r="A1187">
        <v>1186</v>
      </c>
      <c r="B1187" t="s">
        <v>1207</v>
      </c>
      <c r="C1187" t="s">
        <v>29</v>
      </c>
      <c r="D1187" t="s">
        <v>13</v>
      </c>
      <c r="E1187" s="4">
        <v>26878316</v>
      </c>
      <c r="F1187">
        <v>31.65</v>
      </c>
      <c r="G1187">
        <v>6.22</v>
      </c>
      <c r="H1187">
        <v>372.98</v>
      </c>
      <c r="I1187">
        <v>19.64</v>
      </c>
      <c r="J1187" s="5">
        <v>46060</v>
      </c>
      <c r="K1187">
        <f t="shared" si="18"/>
        <v>44</v>
      </c>
      <c r="L1187" t="str" cm="1">
        <f t="array" ref="L1187">_xlfn.IFS(E1187&gt;=52000000,"Platinum",E1187&gt;=37000000,"Gold",E1187&gt;=30000000,"Sliver",E1187&lt;30000000,"Bronze")</f>
        <v>Bronze</v>
      </c>
    </row>
    <row r="1188" spans="1:12" x14ac:dyDescent="0.25">
      <c r="A1188">
        <v>1187</v>
      </c>
      <c r="B1188" t="s">
        <v>1208</v>
      </c>
      <c r="C1188" t="s">
        <v>27</v>
      </c>
      <c r="D1188" t="s">
        <v>25</v>
      </c>
      <c r="E1188" s="4">
        <v>24552015</v>
      </c>
      <c r="F1188">
        <v>28.64</v>
      </c>
      <c r="G1188">
        <v>20.73</v>
      </c>
      <c r="H1188">
        <v>1243.73</v>
      </c>
      <c r="I1188">
        <v>72.38</v>
      </c>
      <c r="J1188" s="5">
        <v>46060</v>
      </c>
      <c r="K1188">
        <f t="shared" si="18"/>
        <v>71.87</v>
      </c>
      <c r="L1188" t="str" cm="1">
        <f t="array" ref="L1188">_xlfn.IFS(E1188&gt;=52000000,"Platinum",E1188&gt;=37000000,"Gold",E1188&gt;=30000000,"Sliver",E1188&lt;30000000,"Bronze")</f>
        <v>Bronze</v>
      </c>
    </row>
    <row r="1189" spans="1:12" x14ac:dyDescent="0.25">
      <c r="A1189">
        <v>1188</v>
      </c>
      <c r="B1189" t="s">
        <v>1209</v>
      </c>
      <c r="C1189" t="s">
        <v>21</v>
      </c>
      <c r="D1189" t="s">
        <v>11</v>
      </c>
      <c r="E1189" s="4">
        <v>34190496</v>
      </c>
      <c r="F1189">
        <v>43.41</v>
      </c>
      <c r="G1189">
        <v>2.96</v>
      </c>
      <c r="H1189">
        <v>177.69</v>
      </c>
      <c r="I1189">
        <v>6.82</v>
      </c>
      <c r="J1189" s="5">
        <v>46060</v>
      </c>
      <c r="K1189">
        <f t="shared" si="18"/>
        <v>31.71</v>
      </c>
      <c r="L1189" t="str" cm="1">
        <f t="array" ref="L1189">_xlfn.IFS(E1189&gt;=52000000,"Platinum",E1189&gt;=37000000,"Gold",E1189&gt;=30000000,"Sliver",E1189&lt;30000000,"Bronze")</f>
        <v>Sliver</v>
      </c>
    </row>
    <row r="1190" spans="1:12" x14ac:dyDescent="0.25">
      <c r="A1190">
        <v>1189</v>
      </c>
      <c r="B1190" t="s">
        <v>1210</v>
      </c>
      <c r="C1190" t="s">
        <v>46</v>
      </c>
      <c r="D1190" t="s">
        <v>25</v>
      </c>
      <c r="E1190" s="4">
        <v>26385587</v>
      </c>
      <c r="F1190">
        <v>30.59</v>
      </c>
      <c r="G1190">
        <v>5.33</v>
      </c>
      <c r="H1190">
        <v>319.67</v>
      </c>
      <c r="I1190">
        <v>17.420000000000002</v>
      </c>
      <c r="J1190" s="5">
        <v>46060</v>
      </c>
      <c r="K1190">
        <f t="shared" si="18"/>
        <v>43.42</v>
      </c>
      <c r="L1190" t="str" cm="1">
        <f t="array" ref="L1190">_xlfn.IFS(E1190&gt;=52000000,"Platinum",E1190&gt;=37000000,"Gold",E1190&gt;=30000000,"Sliver",E1190&lt;30000000,"Bronze")</f>
        <v>Bronze</v>
      </c>
    </row>
    <row r="1191" spans="1:12" x14ac:dyDescent="0.25">
      <c r="A1191">
        <v>1190</v>
      </c>
      <c r="B1191" t="s">
        <v>1211</v>
      </c>
      <c r="C1191" s="1" t="s">
        <v>21</v>
      </c>
      <c r="D1191" t="s">
        <v>17</v>
      </c>
      <c r="E1191" s="4">
        <v>24216135</v>
      </c>
      <c r="F1191">
        <v>34.93</v>
      </c>
      <c r="G1191">
        <v>2.71</v>
      </c>
      <c r="H1191">
        <v>162.72999999999999</v>
      </c>
      <c r="I1191">
        <v>7.76</v>
      </c>
      <c r="J1191" s="5">
        <v>46060</v>
      </c>
      <c r="K1191">
        <f t="shared" si="18"/>
        <v>36.42</v>
      </c>
      <c r="L1191" t="str" cm="1">
        <f t="array" ref="L1191">_xlfn.IFS(E1191&gt;=52000000,"Platinum",E1191&gt;=37000000,"Gold",E1191&gt;=30000000,"Sliver",E1191&lt;30000000,"Bronze")</f>
        <v>Bronze</v>
      </c>
    </row>
    <row r="1192" spans="1:12" x14ac:dyDescent="0.25">
      <c r="A1192">
        <v>1191</v>
      </c>
      <c r="B1192" t="s">
        <v>1212</v>
      </c>
      <c r="C1192" t="s">
        <v>27</v>
      </c>
      <c r="D1192" t="s">
        <v>17</v>
      </c>
      <c r="E1192" s="4">
        <v>33702606</v>
      </c>
      <c r="F1192" s="1">
        <f>CALCULATION!$C$11</f>
        <v>42.81</v>
      </c>
      <c r="G1192" s="1">
        <v>32.450000000000003</v>
      </c>
      <c r="H1192">
        <v>1947.28</v>
      </c>
      <c r="I1192">
        <v>125.31</v>
      </c>
      <c r="J1192" s="5">
        <v>46060</v>
      </c>
      <c r="K1192">
        <f t="shared" si="18"/>
        <v>91.25</v>
      </c>
      <c r="L1192" t="str" cm="1">
        <f t="array" ref="L1192">_xlfn.IFS(E1192&gt;=52000000,"Platinum",E1192&gt;=37000000,"Gold",E1192&gt;=30000000,"Sliver",E1192&lt;30000000,"Bronze")</f>
        <v>Sliver</v>
      </c>
    </row>
    <row r="1193" spans="1:12" x14ac:dyDescent="0.25">
      <c r="A1193">
        <v>1192</v>
      </c>
      <c r="B1193" t="s">
        <v>1213</v>
      </c>
      <c r="C1193" t="s">
        <v>21</v>
      </c>
      <c r="D1193" t="s">
        <v>11</v>
      </c>
      <c r="E1193" s="4">
        <v>29028615</v>
      </c>
      <c r="F1193">
        <v>43.03</v>
      </c>
      <c r="G1193">
        <v>1.85</v>
      </c>
      <c r="H1193">
        <v>111.13</v>
      </c>
      <c r="I1193">
        <v>4.3</v>
      </c>
      <c r="J1193" s="5">
        <v>46060</v>
      </c>
      <c r="K1193">
        <f t="shared" si="18"/>
        <v>30.64</v>
      </c>
      <c r="L1193" t="str" cm="1">
        <f t="array" ref="L1193">_xlfn.IFS(E1193&gt;=52000000,"Platinum",E1193&gt;=37000000,"Gold",E1193&gt;=30000000,"Sliver",E1193&lt;30000000,"Bronze")</f>
        <v>Bronze</v>
      </c>
    </row>
    <row r="1194" spans="1:12" x14ac:dyDescent="0.25">
      <c r="A1194">
        <v>1193</v>
      </c>
      <c r="B1194" t="s">
        <v>1214</v>
      </c>
      <c r="C1194" t="s">
        <v>16</v>
      </c>
      <c r="D1194" t="s">
        <v>11</v>
      </c>
      <c r="E1194" s="4">
        <v>25769928</v>
      </c>
      <c r="F1194">
        <v>40.82</v>
      </c>
      <c r="G1194">
        <v>5.52</v>
      </c>
      <c r="H1194">
        <v>331.49</v>
      </c>
      <c r="I1194">
        <v>13.53</v>
      </c>
      <c r="J1194" s="5">
        <v>46060</v>
      </c>
      <c r="K1194">
        <f t="shared" si="18"/>
        <v>36.36</v>
      </c>
      <c r="L1194" t="str" cm="1">
        <f t="array" ref="L1194">_xlfn.IFS(E1194&gt;=52000000,"Platinum",E1194&gt;=37000000,"Gold",E1194&gt;=30000000,"Sliver",E1194&lt;30000000,"Bronze")</f>
        <v>Bronze</v>
      </c>
    </row>
    <row r="1195" spans="1:12" x14ac:dyDescent="0.25">
      <c r="A1195">
        <v>1194</v>
      </c>
      <c r="B1195" t="s">
        <v>1215</v>
      </c>
      <c r="C1195" t="s">
        <v>10</v>
      </c>
      <c r="D1195" t="s">
        <v>17</v>
      </c>
      <c r="E1195" s="4">
        <v>30542957</v>
      </c>
      <c r="F1195">
        <v>34.729999999999997</v>
      </c>
      <c r="G1195">
        <v>9.36</v>
      </c>
      <c r="H1195">
        <v>561.73</v>
      </c>
      <c r="I1195">
        <v>26.96</v>
      </c>
      <c r="J1195" s="5">
        <v>46060</v>
      </c>
      <c r="K1195">
        <f t="shared" si="18"/>
        <v>46.12</v>
      </c>
      <c r="L1195" t="str" cm="1">
        <f t="array" ref="L1195">_xlfn.IFS(E1195&gt;=52000000,"Platinum",E1195&gt;=37000000,"Gold",E1195&gt;=30000000,"Sliver",E1195&lt;30000000,"Bronze")</f>
        <v>Sliver</v>
      </c>
    </row>
    <row r="1196" spans="1:12" x14ac:dyDescent="0.25">
      <c r="A1196">
        <v>1195</v>
      </c>
      <c r="B1196" t="s">
        <v>1216</v>
      </c>
      <c r="C1196" t="s">
        <v>46</v>
      </c>
      <c r="D1196" t="s">
        <v>25</v>
      </c>
      <c r="E1196" s="4">
        <v>32638168</v>
      </c>
      <c r="F1196">
        <v>42.87</v>
      </c>
      <c r="G1196">
        <v>4.2699999999999996</v>
      </c>
      <c r="H1196">
        <v>256.14</v>
      </c>
      <c r="I1196">
        <v>9.9600000000000009</v>
      </c>
      <c r="J1196" s="5">
        <v>46060</v>
      </c>
      <c r="K1196">
        <f t="shared" si="18"/>
        <v>33.549999999999997</v>
      </c>
      <c r="L1196" t="str" cm="1">
        <f t="array" ref="L1196">_xlfn.IFS(E1196&gt;=52000000,"Platinum",E1196&gt;=37000000,"Gold",E1196&gt;=30000000,"Sliver",E1196&lt;30000000,"Bronze")</f>
        <v>Sliver</v>
      </c>
    </row>
    <row r="1197" spans="1:12" x14ac:dyDescent="0.25">
      <c r="A1197">
        <v>1196</v>
      </c>
      <c r="B1197" t="s">
        <v>1217</v>
      </c>
      <c r="C1197" t="s">
        <v>16</v>
      </c>
      <c r="D1197" t="s">
        <v>13</v>
      </c>
      <c r="E1197" s="4">
        <v>31537192</v>
      </c>
      <c r="F1197">
        <v>41.43</v>
      </c>
      <c r="G1197">
        <v>5.59</v>
      </c>
      <c r="H1197">
        <v>335.44</v>
      </c>
      <c r="I1197">
        <v>13.49</v>
      </c>
      <c r="J1197" s="5">
        <v>46060</v>
      </c>
      <c r="K1197">
        <f t="shared" si="18"/>
        <v>36.03</v>
      </c>
      <c r="L1197" t="str" cm="1">
        <f t="array" ref="L1197">_xlfn.IFS(E1197&gt;=52000000,"Platinum",E1197&gt;=37000000,"Gold",E1197&gt;=30000000,"Sliver",E1197&lt;30000000,"Bronze")</f>
        <v>Sliver</v>
      </c>
    </row>
    <row r="1198" spans="1:12" x14ac:dyDescent="0.25">
      <c r="A1198">
        <v>1197</v>
      </c>
      <c r="B1198" t="s">
        <v>1218</v>
      </c>
      <c r="C1198" t="s">
        <v>46</v>
      </c>
      <c r="D1198" t="s">
        <v>11</v>
      </c>
      <c r="E1198" s="4">
        <v>24267540</v>
      </c>
      <c r="F1198">
        <v>54.76</v>
      </c>
      <c r="G1198">
        <v>4.47</v>
      </c>
      <c r="H1198">
        <v>268.41000000000003</v>
      </c>
      <c r="I1198">
        <v>8.17</v>
      </c>
      <c r="J1198" s="5">
        <v>46060</v>
      </c>
      <c r="K1198">
        <f t="shared" si="18"/>
        <v>26.71</v>
      </c>
      <c r="L1198" t="str" cm="1">
        <f t="array" ref="L1198">_xlfn.IFS(E1198&gt;=52000000,"Platinum",E1198&gt;=37000000,"Gold",E1198&gt;=30000000,"Sliver",E1198&lt;30000000,"Bronze")</f>
        <v>Bronze</v>
      </c>
    </row>
    <row r="1199" spans="1:12" x14ac:dyDescent="0.25">
      <c r="A1199">
        <v>1198</v>
      </c>
      <c r="B1199" t="s">
        <v>1219</v>
      </c>
      <c r="C1199" t="s">
        <v>27</v>
      </c>
      <c r="D1199" t="s">
        <v>17</v>
      </c>
      <c r="E1199" s="4">
        <v>32262318</v>
      </c>
      <c r="F1199">
        <v>22.13</v>
      </c>
      <c r="G1199">
        <v>15.59</v>
      </c>
      <c r="H1199">
        <v>935.65</v>
      </c>
      <c r="I1199">
        <v>70.47</v>
      </c>
      <c r="J1199" s="5">
        <v>46060</v>
      </c>
      <c r="K1199">
        <f t="shared" si="18"/>
        <v>74.17</v>
      </c>
      <c r="L1199" t="str" cm="1">
        <f t="array" ref="L1199">_xlfn.IFS(E1199&gt;=52000000,"Platinum",E1199&gt;=37000000,"Gold",E1199&gt;=30000000,"Sliver",E1199&lt;30000000,"Bronze")</f>
        <v>Sliver</v>
      </c>
    </row>
    <row r="1200" spans="1:12" x14ac:dyDescent="0.25">
      <c r="A1200">
        <v>1199</v>
      </c>
      <c r="B1200" t="s">
        <v>1220</v>
      </c>
      <c r="C1200" t="s">
        <v>19</v>
      </c>
      <c r="D1200" t="s">
        <v>11</v>
      </c>
      <c r="E1200" s="4">
        <v>32039534</v>
      </c>
      <c r="F1200">
        <v>41.7</v>
      </c>
      <c r="G1200">
        <v>4.04</v>
      </c>
      <c r="H1200">
        <v>242.24</v>
      </c>
      <c r="I1200">
        <v>9.68</v>
      </c>
      <c r="J1200" s="5">
        <v>46060</v>
      </c>
      <c r="K1200">
        <f t="shared" si="18"/>
        <v>33.99</v>
      </c>
      <c r="L1200" t="str" cm="1">
        <f t="array" ref="L1200">_xlfn.IFS(E1200&gt;=52000000,"Platinum",E1200&gt;=37000000,"Gold",E1200&gt;=30000000,"Sliver",E1200&lt;30000000,"Bronze")</f>
        <v>Sliver</v>
      </c>
    </row>
    <row r="1201" spans="1:12" x14ac:dyDescent="0.25">
      <c r="A1201">
        <v>1200</v>
      </c>
      <c r="B1201" t="s">
        <v>1221</v>
      </c>
      <c r="C1201" t="s">
        <v>29</v>
      </c>
      <c r="D1201" t="s">
        <v>11</v>
      </c>
      <c r="E1201" s="4">
        <v>24337029</v>
      </c>
      <c r="F1201" s="1">
        <f>CALCULATION!$C$11</f>
        <v>42.81</v>
      </c>
      <c r="G1201" s="1">
        <v>2.2000000000000002</v>
      </c>
      <c r="H1201">
        <v>132.1</v>
      </c>
      <c r="I1201">
        <v>7.23</v>
      </c>
      <c r="J1201" s="5">
        <v>46060</v>
      </c>
      <c r="K1201">
        <f t="shared" si="18"/>
        <v>32.21</v>
      </c>
      <c r="L1201" t="str" cm="1">
        <f t="array" ref="L1201">_xlfn.IFS(E1201&gt;=52000000,"Platinum",E1201&gt;=37000000,"Gold",E1201&gt;=30000000,"Sliver",E1201&lt;30000000,"Bronze")</f>
        <v>Bronze</v>
      </c>
    </row>
    <row r="1202" spans="1:12" x14ac:dyDescent="0.25">
      <c r="A1202">
        <v>1201</v>
      </c>
      <c r="B1202" t="s">
        <v>1222</v>
      </c>
      <c r="C1202" t="s">
        <v>19</v>
      </c>
      <c r="D1202" t="s">
        <v>17</v>
      </c>
      <c r="E1202" s="4">
        <v>26906092</v>
      </c>
      <c r="F1202">
        <v>50.39</v>
      </c>
      <c r="G1202">
        <v>5.6</v>
      </c>
      <c r="H1202">
        <v>335.8</v>
      </c>
      <c r="I1202">
        <v>11.11</v>
      </c>
      <c r="J1202" s="5">
        <v>46060</v>
      </c>
      <c r="K1202">
        <f t="shared" si="18"/>
        <v>30.36</v>
      </c>
      <c r="L1202" t="str" cm="1">
        <f t="array" ref="L1202">_xlfn.IFS(E1202&gt;=52000000,"Platinum",E1202&gt;=37000000,"Gold",E1202&gt;=30000000,"Sliver",E1202&lt;30000000,"Bronze")</f>
        <v>Bronze</v>
      </c>
    </row>
    <row r="1203" spans="1:12" x14ac:dyDescent="0.25">
      <c r="A1203">
        <v>1202</v>
      </c>
      <c r="B1203" t="s">
        <v>1223</v>
      </c>
      <c r="C1203" t="s">
        <v>10</v>
      </c>
      <c r="D1203" t="s">
        <v>25</v>
      </c>
      <c r="E1203" s="4">
        <v>29794861</v>
      </c>
      <c r="F1203">
        <v>51.23</v>
      </c>
      <c r="G1203">
        <v>3.01</v>
      </c>
      <c r="H1203">
        <v>180.61</v>
      </c>
      <c r="I1203">
        <v>5.88</v>
      </c>
      <c r="J1203" s="5">
        <v>46060</v>
      </c>
      <c r="K1203">
        <f t="shared" si="18"/>
        <v>27.33</v>
      </c>
      <c r="L1203" t="str" cm="1">
        <f t="array" ref="L1203">_xlfn.IFS(E1203&gt;=52000000,"Platinum",E1203&gt;=37000000,"Gold",E1203&gt;=30000000,"Sliver",E1203&lt;30000000,"Bronze")</f>
        <v>Bronze</v>
      </c>
    </row>
    <row r="1204" spans="1:12" x14ac:dyDescent="0.25">
      <c r="A1204">
        <v>1203</v>
      </c>
      <c r="B1204" t="s">
        <v>1224</v>
      </c>
      <c r="C1204" t="s">
        <v>10</v>
      </c>
      <c r="D1204" t="s">
        <v>32</v>
      </c>
      <c r="E1204" s="4">
        <v>24154744</v>
      </c>
      <c r="F1204">
        <v>40.159999999999997</v>
      </c>
      <c r="G1204">
        <v>6.65</v>
      </c>
      <c r="H1204">
        <v>399.02</v>
      </c>
      <c r="I1204">
        <v>16.559999999999999</v>
      </c>
      <c r="J1204" s="5">
        <v>46060</v>
      </c>
      <c r="K1204">
        <f t="shared" si="18"/>
        <v>38.200000000000003</v>
      </c>
      <c r="L1204" t="str" cm="1">
        <f t="array" ref="L1204">_xlfn.IFS(E1204&gt;=52000000,"Platinum",E1204&gt;=37000000,"Gold",E1204&gt;=30000000,"Sliver",E1204&lt;30000000,"Bronze")</f>
        <v>Bronze</v>
      </c>
    </row>
    <row r="1205" spans="1:12" x14ac:dyDescent="0.25">
      <c r="A1205">
        <v>1204</v>
      </c>
      <c r="B1205" t="s">
        <v>1225</v>
      </c>
      <c r="C1205" t="s">
        <v>16</v>
      </c>
      <c r="D1205" t="s">
        <v>13</v>
      </c>
      <c r="E1205" s="4">
        <v>33271414</v>
      </c>
      <c r="F1205">
        <v>43.71</v>
      </c>
      <c r="G1205">
        <v>2.58</v>
      </c>
      <c r="H1205">
        <v>154.69999999999999</v>
      </c>
      <c r="I1205">
        <v>5.9</v>
      </c>
      <c r="J1205" s="5">
        <v>46060</v>
      </c>
      <c r="K1205">
        <f t="shared" si="18"/>
        <v>31.1</v>
      </c>
      <c r="L1205" t="str" cm="1">
        <f t="array" ref="L1205">_xlfn.IFS(E1205&gt;=52000000,"Platinum",E1205&gt;=37000000,"Gold",E1205&gt;=30000000,"Sliver",E1205&lt;30000000,"Bronze")</f>
        <v>Sliver</v>
      </c>
    </row>
    <row r="1206" spans="1:12" x14ac:dyDescent="0.25">
      <c r="A1206">
        <v>1205</v>
      </c>
      <c r="B1206" t="s">
        <v>1226</v>
      </c>
      <c r="C1206" t="s">
        <v>10</v>
      </c>
      <c r="D1206" t="s">
        <v>11</v>
      </c>
      <c r="E1206" s="4">
        <v>32997551</v>
      </c>
      <c r="F1206">
        <v>56.93</v>
      </c>
      <c r="G1206">
        <v>9.07</v>
      </c>
      <c r="H1206">
        <v>544.12</v>
      </c>
      <c r="I1206">
        <v>15.93</v>
      </c>
      <c r="J1206" s="5">
        <v>46060</v>
      </c>
      <c r="K1206">
        <f t="shared" si="18"/>
        <v>29.5</v>
      </c>
      <c r="L1206" t="str" cm="1">
        <f t="array" ref="L1206">_xlfn.IFS(E1206&gt;=52000000,"Platinum",E1206&gt;=37000000,"Gold",E1206&gt;=30000000,"Sliver",E1206&lt;30000000,"Bronze")</f>
        <v>Sliver</v>
      </c>
    </row>
    <row r="1207" spans="1:12" x14ac:dyDescent="0.25">
      <c r="A1207">
        <v>1206</v>
      </c>
      <c r="B1207" t="s">
        <v>1227</v>
      </c>
      <c r="C1207" t="s">
        <v>21</v>
      </c>
      <c r="D1207" t="s">
        <v>25</v>
      </c>
      <c r="E1207" s="4">
        <v>26344413</v>
      </c>
      <c r="F1207">
        <v>45.18</v>
      </c>
      <c r="G1207">
        <v>2.0299999999999998</v>
      </c>
      <c r="H1207">
        <v>121.92</v>
      </c>
      <c r="I1207">
        <v>4.5</v>
      </c>
      <c r="J1207" s="5">
        <v>46060</v>
      </c>
      <c r="K1207">
        <f t="shared" si="18"/>
        <v>29.66</v>
      </c>
      <c r="L1207" t="str" cm="1">
        <f t="array" ref="L1207">_xlfn.IFS(E1207&gt;=52000000,"Platinum",E1207&gt;=37000000,"Gold",E1207&gt;=30000000,"Sliver",E1207&lt;30000000,"Bronze")</f>
        <v>Bronze</v>
      </c>
    </row>
    <row r="1208" spans="1:12" x14ac:dyDescent="0.25">
      <c r="A1208">
        <v>1207</v>
      </c>
      <c r="B1208" t="s">
        <v>1228</v>
      </c>
      <c r="C1208" t="s">
        <v>21</v>
      </c>
      <c r="D1208" t="s">
        <v>11</v>
      </c>
      <c r="E1208" s="4">
        <v>33865770</v>
      </c>
      <c r="F1208">
        <v>36.85</v>
      </c>
      <c r="G1208">
        <v>5.72</v>
      </c>
      <c r="H1208" s="1">
        <f>CALCULATION!$D$11</f>
        <v>343.315</v>
      </c>
      <c r="I1208">
        <v>7.22</v>
      </c>
      <c r="J1208" s="5">
        <v>46060</v>
      </c>
      <c r="K1208">
        <f t="shared" si="18"/>
        <v>35.19</v>
      </c>
      <c r="L1208" t="str" cm="1">
        <f t="array" ref="L1208">_xlfn.IFS(E1208&gt;=52000000,"Platinum",E1208&gt;=37000000,"Gold",E1208&gt;=30000000,"Sliver",E1208&lt;30000000,"Bronze")</f>
        <v>Sliver</v>
      </c>
    </row>
    <row r="1209" spans="1:12" x14ac:dyDescent="0.25">
      <c r="A1209">
        <v>1208</v>
      </c>
      <c r="B1209" t="s">
        <v>1229</v>
      </c>
      <c r="C1209" t="s">
        <v>29</v>
      </c>
      <c r="D1209" t="s">
        <v>25</v>
      </c>
      <c r="E1209" s="4">
        <v>30973777</v>
      </c>
      <c r="F1209">
        <v>32.96</v>
      </c>
      <c r="G1209">
        <v>3.06</v>
      </c>
      <c r="H1209">
        <v>183.36</v>
      </c>
      <c r="I1209">
        <v>9.27</v>
      </c>
      <c r="J1209" s="5">
        <v>46060</v>
      </c>
      <c r="K1209">
        <f t="shared" si="18"/>
        <v>38.159999999999997</v>
      </c>
      <c r="L1209" t="str" cm="1">
        <f t="array" ref="L1209">_xlfn.IFS(E1209&gt;=52000000,"Platinum",E1209&gt;=37000000,"Gold",E1209&gt;=30000000,"Sliver",E1209&lt;30000000,"Bronze")</f>
        <v>Sliver</v>
      </c>
    </row>
    <row r="1210" spans="1:12" x14ac:dyDescent="0.25">
      <c r="A1210">
        <v>1209</v>
      </c>
      <c r="B1210" t="s">
        <v>1230</v>
      </c>
      <c r="C1210" t="s">
        <v>21</v>
      </c>
      <c r="D1210" t="s">
        <v>11</v>
      </c>
      <c r="E1210" s="4">
        <v>32125651</v>
      </c>
      <c r="F1210">
        <v>38.020000000000003</v>
      </c>
      <c r="G1210">
        <v>1.41</v>
      </c>
      <c r="H1210">
        <v>84.68</v>
      </c>
      <c r="I1210">
        <v>3.71</v>
      </c>
      <c r="J1210" s="5">
        <v>46060</v>
      </c>
      <c r="K1210">
        <f t="shared" si="18"/>
        <v>32.85</v>
      </c>
      <c r="L1210" t="str" cm="1">
        <f t="array" ref="L1210">_xlfn.IFS(E1210&gt;=52000000,"Platinum",E1210&gt;=37000000,"Gold",E1210&gt;=30000000,"Sliver",E1210&lt;30000000,"Bronze")</f>
        <v>Sliver</v>
      </c>
    </row>
    <row r="1211" spans="1:12" x14ac:dyDescent="0.25">
      <c r="A1211">
        <v>1210</v>
      </c>
      <c r="B1211" t="s">
        <v>1231</v>
      </c>
      <c r="C1211" t="s">
        <v>21</v>
      </c>
      <c r="D1211" t="s">
        <v>13</v>
      </c>
      <c r="E1211" s="4">
        <v>27427399</v>
      </c>
      <c r="F1211">
        <v>36.9</v>
      </c>
      <c r="G1211">
        <v>2.34</v>
      </c>
      <c r="H1211">
        <v>140.24</v>
      </c>
      <c r="I1211">
        <v>6.33</v>
      </c>
      <c r="J1211" s="5">
        <v>46060</v>
      </c>
      <c r="K1211">
        <f t="shared" si="18"/>
        <v>34.72</v>
      </c>
      <c r="L1211" t="str" cm="1">
        <f t="array" ref="L1211">_xlfn.IFS(E1211&gt;=52000000,"Platinum",E1211&gt;=37000000,"Gold",E1211&gt;=30000000,"Sliver",E1211&lt;30000000,"Bronze")</f>
        <v>Bronze</v>
      </c>
    </row>
    <row r="1212" spans="1:12" x14ac:dyDescent="0.25">
      <c r="A1212">
        <v>1211</v>
      </c>
      <c r="B1212" t="s">
        <v>1232</v>
      </c>
      <c r="C1212" t="s">
        <v>16</v>
      </c>
      <c r="D1212" t="s">
        <v>17</v>
      </c>
      <c r="E1212" s="4">
        <v>26993293</v>
      </c>
      <c r="F1212">
        <v>52.85</v>
      </c>
      <c r="G1212">
        <v>5.1100000000000003</v>
      </c>
      <c r="H1212">
        <v>306.58999999999997</v>
      </c>
      <c r="I1212">
        <v>9.67</v>
      </c>
      <c r="J1212" s="5">
        <v>46060</v>
      </c>
      <c r="K1212">
        <f t="shared" si="18"/>
        <v>28.41</v>
      </c>
      <c r="L1212" t="str" cm="1">
        <f t="array" ref="L1212">_xlfn.IFS(E1212&gt;=52000000,"Platinum",E1212&gt;=37000000,"Gold",E1212&gt;=30000000,"Sliver",E1212&lt;30000000,"Bronze")</f>
        <v>Bronze</v>
      </c>
    </row>
    <row r="1213" spans="1:12" x14ac:dyDescent="0.25">
      <c r="A1213">
        <v>1212</v>
      </c>
      <c r="B1213" t="s">
        <v>1233</v>
      </c>
      <c r="C1213" t="s">
        <v>10</v>
      </c>
      <c r="D1213" t="s">
        <v>25</v>
      </c>
      <c r="E1213" s="4">
        <v>30545577</v>
      </c>
      <c r="F1213">
        <v>31.82</v>
      </c>
      <c r="G1213">
        <v>4.53</v>
      </c>
      <c r="H1213">
        <v>272</v>
      </c>
      <c r="I1213">
        <v>14.25</v>
      </c>
      <c r="J1213" s="5">
        <v>46060</v>
      </c>
      <c r="K1213">
        <f t="shared" si="18"/>
        <v>41.22</v>
      </c>
      <c r="L1213" t="str" cm="1">
        <f t="array" ref="L1213">_xlfn.IFS(E1213&gt;=52000000,"Platinum",E1213&gt;=37000000,"Gold",E1213&gt;=30000000,"Sliver",E1213&lt;30000000,"Bronze")</f>
        <v>Sliver</v>
      </c>
    </row>
    <row r="1214" spans="1:12" x14ac:dyDescent="0.25">
      <c r="A1214">
        <v>1213</v>
      </c>
      <c r="B1214" t="s">
        <v>1234</v>
      </c>
      <c r="C1214" t="s">
        <v>46</v>
      </c>
      <c r="D1214" t="s">
        <v>13</v>
      </c>
      <c r="E1214" s="4">
        <v>27945281</v>
      </c>
      <c r="F1214">
        <v>44.1</v>
      </c>
      <c r="G1214">
        <v>3.26</v>
      </c>
      <c r="H1214">
        <v>195.76</v>
      </c>
      <c r="I1214">
        <v>7.4</v>
      </c>
      <c r="J1214" s="5">
        <v>46060</v>
      </c>
      <c r="K1214">
        <f t="shared" si="18"/>
        <v>31.65</v>
      </c>
      <c r="L1214" t="str" cm="1">
        <f t="array" ref="L1214">_xlfn.IFS(E1214&gt;=52000000,"Platinum",E1214&gt;=37000000,"Gold",E1214&gt;=30000000,"Sliver",E1214&lt;30000000,"Bronze")</f>
        <v>Bronze</v>
      </c>
    </row>
    <row r="1215" spans="1:12" x14ac:dyDescent="0.25">
      <c r="A1215">
        <v>1214</v>
      </c>
      <c r="B1215" t="s">
        <v>1235</v>
      </c>
      <c r="C1215" t="s">
        <v>16</v>
      </c>
      <c r="D1215" t="s">
        <v>17</v>
      </c>
      <c r="E1215" s="4">
        <v>23359104</v>
      </c>
      <c r="F1215">
        <v>30.05</v>
      </c>
      <c r="G1215">
        <v>8.1</v>
      </c>
      <c r="H1215">
        <v>486.16</v>
      </c>
      <c r="I1215">
        <v>26.96</v>
      </c>
      <c r="J1215" s="5">
        <v>46060</v>
      </c>
      <c r="K1215">
        <f t="shared" si="18"/>
        <v>48.46</v>
      </c>
      <c r="L1215" t="str" cm="1">
        <f t="array" ref="L1215">_xlfn.IFS(E1215&gt;=52000000,"Platinum",E1215&gt;=37000000,"Gold",E1215&gt;=30000000,"Sliver",E1215&lt;30000000,"Bronze")</f>
        <v>Bronze</v>
      </c>
    </row>
    <row r="1216" spans="1:12" x14ac:dyDescent="0.25">
      <c r="A1216">
        <v>1215</v>
      </c>
      <c r="B1216" t="s">
        <v>1236</v>
      </c>
      <c r="C1216" t="s">
        <v>19</v>
      </c>
      <c r="D1216" t="s">
        <v>17</v>
      </c>
      <c r="E1216" s="4">
        <v>24891995</v>
      </c>
      <c r="F1216">
        <v>39.950000000000003</v>
      </c>
      <c r="G1216">
        <v>3.99</v>
      </c>
      <c r="H1216">
        <v>239.45</v>
      </c>
      <c r="I1216">
        <v>9.99</v>
      </c>
      <c r="J1216" s="5">
        <v>46060</v>
      </c>
      <c r="K1216">
        <f t="shared" si="18"/>
        <v>35.020000000000003</v>
      </c>
      <c r="L1216" t="str" cm="1">
        <f t="array" ref="L1216">_xlfn.IFS(E1216&gt;=52000000,"Platinum",E1216&gt;=37000000,"Gold",E1216&gt;=30000000,"Sliver",E1216&lt;30000000,"Bronze")</f>
        <v>Bronze</v>
      </c>
    </row>
    <row r="1217" spans="1:12" x14ac:dyDescent="0.25">
      <c r="A1217">
        <v>1216</v>
      </c>
      <c r="B1217" t="s">
        <v>1237</v>
      </c>
      <c r="C1217" t="s">
        <v>10</v>
      </c>
      <c r="D1217" t="s">
        <v>22</v>
      </c>
      <c r="E1217" s="4">
        <v>30045917</v>
      </c>
      <c r="F1217">
        <v>45.45</v>
      </c>
      <c r="G1217">
        <v>7.71</v>
      </c>
      <c r="H1217">
        <v>462.58</v>
      </c>
      <c r="I1217">
        <v>16.96</v>
      </c>
      <c r="J1217" s="5">
        <v>46060</v>
      </c>
      <c r="K1217">
        <f t="shared" si="18"/>
        <v>35.76</v>
      </c>
      <c r="L1217" t="str" cm="1">
        <f t="array" ref="L1217">_xlfn.IFS(E1217&gt;=52000000,"Platinum",E1217&gt;=37000000,"Gold",E1217&gt;=30000000,"Sliver",E1217&lt;30000000,"Bronze")</f>
        <v>Sliver</v>
      </c>
    </row>
    <row r="1218" spans="1:12" x14ac:dyDescent="0.25">
      <c r="A1218">
        <v>1217</v>
      </c>
      <c r="B1218" t="s">
        <v>1238</v>
      </c>
      <c r="C1218" t="s">
        <v>16</v>
      </c>
      <c r="D1218" t="s">
        <v>25</v>
      </c>
      <c r="E1218" s="4">
        <v>24015531</v>
      </c>
      <c r="F1218">
        <v>43.13</v>
      </c>
      <c r="G1218">
        <v>2.17</v>
      </c>
      <c r="H1218">
        <v>129.91</v>
      </c>
      <c r="I1218">
        <v>5.0199999999999996</v>
      </c>
      <c r="J1218" s="5">
        <v>46060</v>
      </c>
      <c r="K1218">
        <f t="shared" si="18"/>
        <v>30.95</v>
      </c>
      <c r="L1218" t="str" cm="1">
        <f t="array" ref="L1218">_xlfn.IFS(E1218&gt;=52000000,"Platinum",E1218&gt;=37000000,"Gold",E1218&gt;=30000000,"Sliver",E1218&lt;30000000,"Bronze")</f>
        <v>Bronze</v>
      </c>
    </row>
    <row r="1219" spans="1:12" x14ac:dyDescent="0.25">
      <c r="A1219">
        <v>1218</v>
      </c>
      <c r="B1219" t="s">
        <v>1239</v>
      </c>
      <c r="C1219" t="s">
        <v>21</v>
      </c>
      <c r="D1219" t="s">
        <v>13</v>
      </c>
      <c r="E1219" s="4">
        <v>23454212</v>
      </c>
      <c r="F1219">
        <v>42.37</v>
      </c>
      <c r="G1219">
        <v>1.26</v>
      </c>
      <c r="H1219">
        <v>75.819999999999993</v>
      </c>
      <c r="I1219">
        <v>2.98</v>
      </c>
      <c r="J1219" s="5">
        <v>46060</v>
      </c>
      <c r="K1219">
        <f t="shared" ref="K1219:K1282" si="19">ROUND((100-F1219)*0.5 + I1219*0.5,2)</f>
        <v>30.31</v>
      </c>
      <c r="L1219" t="str" cm="1">
        <f t="array" ref="L1219">_xlfn.IFS(E1219&gt;=52000000,"Platinum",E1219&gt;=37000000,"Gold",E1219&gt;=30000000,"Sliver",E1219&lt;30000000,"Bronze")</f>
        <v>Bronze</v>
      </c>
    </row>
    <row r="1220" spans="1:12" x14ac:dyDescent="0.25">
      <c r="A1220">
        <v>1219</v>
      </c>
      <c r="B1220" t="s">
        <v>1240</v>
      </c>
      <c r="C1220" t="s">
        <v>29</v>
      </c>
      <c r="D1220" t="s">
        <v>17</v>
      </c>
      <c r="E1220" s="4">
        <v>28437156</v>
      </c>
      <c r="F1220">
        <v>48.47</v>
      </c>
      <c r="G1220">
        <v>9.3000000000000007</v>
      </c>
      <c r="H1220">
        <v>558.25</v>
      </c>
      <c r="I1220">
        <v>19.2</v>
      </c>
      <c r="J1220" s="5">
        <v>46060</v>
      </c>
      <c r="K1220">
        <f t="shared" si="19"/>
        <v>35.369999999999997</v>
      </c>
      <c r="L1220" t="str" cm="1">
        <f t="array" ref="L1220">_xlfn.IFS(E1220&gt;=52000000,"Platinum",E1220&gt;=37000000,"Gold",E1220&gt;=30000000,"Sliver",E1220&lt;30000000,"Bronze")</f>
        <v>Bronze</v>
      </c>
    </row>
    <row r="1221" spans="1:12" x14ac:dyDescent="0.25">
      <c r="A1221">
        <v>1220</v>
      </c>
      <c r="B1221" t="s">
        <v>1241</v>
      </c>
      <c r="C1221" t="s">
        <v>16</v>
      </c>
      <c r="D1221" t="s">
        <v>11</v>
      </c>
      <c r="E1221" s="4">
        <v>30780971</v>
      </c>
      <c r="F1221">
        <v>39.43</v>
      </c>
      <c r="G1221">
        <v>7.74</v>
      </c>
      <c r="H1221">
        <v>464.55</v>
      </c>
      <c r="I1221">
        <v>19.64</v>
      </c>
      <c r="J1221" s="5">
        <v>46060</v>
      </c>
      <c r="K1221">
        <f t="shared" si="19"/>
        <v>40.11</v>
      </c>
      <c r="L1221" t="str" cm="1">
        <f t="array" ref="L1221">_xlfn.IFS(E1221&gt;=52000000,"Platinum",E1221&gt;=37000000,"Gold",E1221&gt;=30000000,"Sliver",E1221&lt;30000000,"Bronze")</f>
        <v>Sliver</v>
      </c>
    </row>
    <row r="1222" spans="1:12" x14ac:dyDescent="0.25">
      <c r="A1222">
        <v>1221</v>
      </c>
      <c r="B1222" t="s">
        <v>1242</v>
      </c>
      <c r="C1222" t="s">
        <v>21</v>
      </c>
      <c r="D1222" t="s">
        <v>32</v>
      </c>
      <c r="E1222" s="4">
        <v>27341564</v>
      </c>
      <c r="F1222">
        <v>46.1</v>
      </c>
      <c r="G1222">
        <v>1.2</v>
      </c>
      <c r="H1222">
        <v>71.86</v>
      </c>
      <c r="I1222">
        <v>2.6</v>
      </c>
      <c r="J1222" s="5">
        <v>46060</v>
      </c>
      <c r="K1222">
        <f t="shared" si="19"/>
        <v>28.25</v>
      </c>
      <c r="L1222" t="str" cm="1">
        <f t="array" ref="L1222">_xlfn.IFS(E1222&gt;=52000000,"Platinum",E1222&gt;=37000000,"Gold",E1222&gt;=30000000,"Sliver",E1222&lt;30000000,"Bronze")</f>
        <v>Bronze</v>
      </c>
    </row>
    <row r="1223" spans="1:12" x14ac:dyDescent="0.25">
      <c r="A1223">
        <v>1222</v>
      </c>
      <c r="B1223" t="s">
        <v>1243</v>
      </c>
      <c r="C1223" t="s">
        <v>10</v>
      </c>
      <c r="D1223" t="s">
        <v>22</v>
      </c>
      <c r="E1223" s="4">
        <v>23562161</v>
      </c>
      <c r="F1223">
        <v>59.24</v>
      </c>
      <c r="G1223">
        <v>5.72</v>
      </c>
      <c r="H1223" s="1">
        <f>CALCULATION!$D$11</f>
        <v>343.315</v>
      </c>
      <c r="I1223">
        <v>8.51</v>
      </c>
      <c r="J1223" s="5">
        <v>46060</v>
      </c>
      <c r="K1223">
        <f t="shared" si="19"/>
        <v>24.64</v>
      </c>
      <c r="L1223" t="str" cm="1">
        <f t="array" ref="L1223">_xlfn.IFS(E1223&gt;=52000000,"Platinum",E1223&gt;=37000000,"Gold",E1223&gt;=30000000,"Sliver",E1223&lt;30000000,"Bronze")</f>
        <v>Bronze</v>
      </c>
    </row>
    <row r="1224" spans="1:12" x14ac:dyDescent="0.25">
      <c r="A1224">
        <v>1223</v>
      </c>
      <c r="B1224" t="s">
        <v>1244</v>
      </c>
      <c r="C1224" t="s">
        <v>21</v>
      </c>
      <c r="D1224" t="s">
        <v>25</v>
      </c>
      <c r="E1224" s="4">
        <v>29119603</v>
      </c>
      <c r="F1224">
        <v>39.21</v>
      </c>
      <c r="G1224">
        <v>2.39</v>
      </c>
      <c r="H1224">
        <v>143.13999999999999</v>
      </c>
      <c r="I1224">
        <v>6.08</v>
      </c>
      <c r="J1224" s="5">
        <v>46060</v>
      </c>
      <c r="K1224">
        <f t="shared" si="19"/>
        <v>33.44</v>
      </c>
      <c r="L1224" t="str" cm="1">
        <f t="array" ref="L1224">_xlfn.IFS(E1224&gt;=52000000,"Platinum",E1224&gt;=37000000,"Gold",E1224&gt;=30000000,"Sliver",E1224&lt;30000000,"Bronze")</f>
        <v>Bronze</v>
      </c>
    </row>
    <row r="1225" spans="1:12" x14ac:dyDescent="0.25">
      <c r="A1225">
        <v>1224</v>
      </c>
      <c r="B1225" t="s">
        <v>1245</v>
      </c>
      <c r="C1225" t="s">
        <v>16</v>
      </c>
      <c r="D1225" t="s">
        <v>17</v>
      </c>
      <c r="E1225" s="4">
        <v>30523695</v>
      </c>
      <c r="F1225">
        <v>36</v>
      </c>
      <c r="G1225">
        <v>4.25</v>
      </c>
      <c r="H1225">
        <v>254.83</v>
      </c>
      <c r="I1225">
        <v>11.8</v>
      </c>
      <c r="J1225" s="5">
        <v>46060</v>
      </c>
      <c r="K1225">
        <f t="shared" si="19"/>
        <v>37.9</v>
      </c>
      <c r="L1225" t="str" cm="1">
        <f t="array" ref="L1225">_xlfn.IFS(E1225&gt;=52000000,"Platinum",E1225&gt;=37000000,"Gold",E1225&gt;=30000000,"Sliver",E1225&lt;30000000,"Bronze")</f>
        <v>Sliver</v>
      </c>
    </row>
    <row r="1226" spans="1:12" x14ac:dyDescent="0.25">
      <c r="A1226">
        <v>1225</v>
      </c>
      <c r="B1226" t="s">
        <v>1246</v>
      </c>
      <c r="C1226" t="s">
        <v>16</v>
      </c>
      <c r="D1226" t="s">
        <v>25</v>
      </c>
      <c r="E1226" s="4">
        <v>32712936</v>
      </c>
      <c r="F1226">
        <v>35.5</v>
      </c>
      <c r="G1226">
        <v>8.5399999999999991</v>
      </c>
      <c r="H1226">
        <v>512.41</v>
      </c>
      <c r="I1226">
        <v>24.06</v>
      </c>
      <c r="J1226" s="5">
        <v>46060</v>
      </c>
      <c r="K1226">
        <f t="shared" si="19"/>
        <v>44.28</v>
      </c>
      <c r="L1226" t="str" cm="1">
        <f t="array" ref="L1226">_xlfn.IFS(E1226&gt;=52000000,"Platinum",E1226&gt;=37000000,"Gold",E1226&gt;=30000000,"Sliver",E1226&lt;30000000,"Bronze")</f>
        <v>Sliver</v>
      </c>
    </row>
    <row r="1227" spans="1:12" x14ac:dyDescent="0.25">
      <c r="A1227">
        <v>1226</v>
      </c>
      <c r="B1227" t="s">
        <v>1247</v>
      </c>
      <c r="C1227" t="s">
        <v>29</v>
      </c>
      <c r="D1227" t="s">
        <v>32</v>
      </c>
      <c r="E1227" s="4">
        <v>31228634</v>
      </c>
      <c r="F1227">
        <v>59.3</v>
      </c>
      <c r="G1227">
        <v>4.1500000000000004</v>
      </c>
      <c r="H1227">
        <v>248.7</v>
      </c>
      <c r="I1227">
        <v>6.99</v>
      </c>
      <c r="J1227" s="5">
        <v>46060</v>
      </c>
      <c r="K1227">
        <f t="shared" si="19"/>
        <v>23.85</v>
      </c>
      <c r="L1227" t="str" cm="1">
        <f t="array" ref="L1227">_xlfn.IFS(E1227&gt;=52000000,"Platinum",E1227&gt;=37000000,"Gold",E1227&gt;=30000000,"Sliver",E1227&lt;30000000,"Bronze")</f>
        <v>Sliver</v>
      </c>
    </row>
    <row r="1228" spans="1:12" x14ac:dyDescent="0.25">
      <c r="A1228">
        <v>1227</v>
      </c>
      <c r="B1228" t="s">
        <v>1248</v>
      </c>
      <c r="C1228" t="s">
        <v>21</v>
      </c>
      <c r="D1228" t="s">
        <v>17</v>
      </c>
      <c r="E1228" s="4">
        <v>30024734</v>
      </c>
      <c r="F1228">
        <v>35.159999999999997</v>
      </c>
      <c r="G1228">
        <v>2.61</v>
      </c>
      <c r="H1228">
        <v>156.71</v>
      </c>
      <c r="I1228">
        <v>7.43</v>
      </c>
      <c r="J1228" s="5">
        <v>46060</v>
      </c>
      <c r="K1228">
        <f t="shared" si="19"/>
        <v>36.14</v>
      </c>
      <c r="L1228" t="str" cm="1">
        <f t="array" ref="L1228">_xlfn.IFS(E1228&gt;=52000000,"Platinum",E1228&gt;=37000000,"Gold",E1228&gt;=30000000,"Sliver",E1228&lt;30000000,"Bronze")</f>
        <v>Sliver</v>
      </c>
    </row>
    <row r="1229" spans="1:12" x14ac:dyDescent="0.25">
      <c r="A1229">
        <v>1228</v>
      </c>
      <c r="B1229" t="s">
        <v>1249</v>
      </c>
      <c r="C1229" t="s">
        <v>27</v>
      </c>
      <c r="D1229" t="s">
        <v>32</v>
      </c>
      <c r="E1229" s="4">
        <v>32736383</v>
      </c>
      <c r="F1229">
        <v>29.47</v>
      </c>
      <c r="G1229">
        <v>35.64</v>
      </c>
      <c r="H1229">
        <v>2138.41</v>
      </c>
      <c r="I1229">
        <v>120.94</v>
      </c>
      <c r="J1229" s="5">
        <v>46060</v>
      </c>
      <c r="K1229">
        <f t="shared" si="19"/>
        <v>95.74</v>
      </c>
      <c r="L1229" t="str" cm="1">
        <f t="array" ref="L1229">_xlfn.IFS(E1229&gt;=52000000,"Platinum",E1229&gt;=37000000,"Gold",E1229&gt;=30000000,"Sliver",E1229&lt;30000000,"Bronze")</f>
        <v>Sliver</v>
      </c>
    </row>
    <row r="1230" spans="1:12" x14ac:dyDescent="0.25">
      <c r="A1230">
        <v>1229</v>
      </c>
      <c r="B1230" t="s">
        <v>1250</v>
      </c>
      <c r="C1230" t="s">
        <v>19</v>
      </c>
      <c r="D1230" t="s">
        <v>25</v>
      </c>
      <c r="E1230" s="4">
        <v>27014612</v>
      </c>
      <c r="F1230">
        <v>49.76</v>
      </c>
      <c r="G1230">
        <v>9.49</v>
      </c>
      <c r="H1230">
        <v>569.54</v>
      </c>
      <c r="I1230">
        <v>19.079999999999998</v>
      </c>
      <c r="J1230" s="5">
        <v>46060</v>
      </c>
      <c r="K1230">
        <f t="shared" si="19"/>
        <v>34.659999999999997</v>
      </c>
      <c r="L1230" t="str" cm="1">
        <f t="array" ref="L1230">_xlfn.IFS(E1230&gt;=52000000,"Platinum",E1230&gt;=37000000,"Gold",E1230&gt;=30000000,"Sliver",E1230&lt;30000000,"Bronze")</f>
        <v>Bronze</v>
      </c>
    </row>
    <row r="1231" spans="1:12" x14ac:dyDescent="0.25">
      <c r="A1231">
        <v>1230</v>
      </c>
      <c r="B1231" t="s">
        <v>1251</v>
      </c>
      <c r="C1231" t="s">
        <v>27</v>
      </c>
      <c r="D1231" t="s">
        <v>13</v>
      </c>
      <c r="E1231" s="4">
        <v>33272396</v>
      </c>
      <c r="F1231">
        <v>17.3</v>
      </c>
      <c r="G1231">
        <v>11.68</v>
      </c>
      <c r="H1231">
        <v>700.72</v>
      </c>
      <c r="I1231">
        <v>67.510000000000005</v>
      </c>
      <c r="J1231" s="5">
        <v>46060</v>
      </c>
      <c r="K1231">
        <f t="shared" si="19"/>
        <v>75.11</v>
      </c>
      <c r="L1231" t="str" cm="1">
        <f t="array" ref="L1231">_xlfn.IFS(E1231&gt;=52000000,"Platinum",E1231&gt;=37000000,"Gold",E1231&gt;=30000000,"Sliver",E1231&lt;30000000,"Bronze")</f>
        <v>Sliver</v>
      </c>
    </row>
    <row r="1232" spans="1:12" x14ac:dyDescent="0.25">
      <c r="A1232">
        <v>1231</v>
      </c>
      <c r="B1232" t="s">
        <v>1252</v>
      </c>
      <c r="C1232" t="s">
        <v>29</v>
      </c>
      <c r="D1232" t="s">
        <v>17</v>
      </c>
      <c r="E1232" s="4">
        <v>25978771</v>
      </c>
      <c r="F1232">
        <v>30.75</v>
      </c>
      <c r="G1232">
        <v>3.3</v>
      </c>
      <c r="H1232">
        <v>198.18</v>
      </c>
      <c r="I1232">
        <v>10.74</v>
      </c>
      <c r="J1232" s="5">
        <v>46060</v>
      </c>
      <c r="K1232">
        <f t="shared" si="19"/>
        <v>40</v>
      </c>
      <c r="L1232" t="str" cm="1">
        <f t="array" ref="L1232">_xlfn.IFS(E1232&gt;=52000000,"Platinum",E1232&gt;=37000000,"Gold",E1232&gt;=30000000,"Sliver",E1232&lt;30000000,"Bronze")</f>
        <v>Bronze</v>
      </c>
    </row>
    <row r="1233" spans="1:12" x14ac:dyDescent="0.25">
      <c r="A1233">
        <v>1232</v>
      </c>
      <c r="B1233" t="s">
        <v>1253</v>
      </c>
      <c r="C1233" t="s">
        <v>46</v>
      </c>
      <c r="D1233" t="s">
        <v>11</v>
      </c>
      <c r="E1233" s="4">
        <v>31313915</v>
      </c>
      <c r="F1233">
        <v>48.63</v>
      </c>
      <c r="G1233">
        <v>3.87</v>
      </c>
      <c r="H1233">
        <v>232.1</v>
      </c>
      <c r="I1233">
        <v>7.95</v>
      </c>
      <c r="J1233" s="5">
        <v>46060</v>
      </c>
      <c r="K1233">
        <f t="shared" si="19"/>
        <v>29.66</v>
      </c>
      <c r="L1233" t="str" cm="1">
        <f t="array" ref="L1233">_xlfn.IFS(E1233&gt;=52000000,"Platinum",E1233&gt;=37000000,"Gold",E1233&gt;=30000000,"Sliver",E1233&lt;30000000,"Bronze")</f>
        <v>Sliver</v>
      </c>
    </row>
    <row r="1234" spans="1:12" x14ac:dyDescent="0.25">
      <c r="A1234">
        <v>1233</v>
      </c>
      <c r="B1234" t="s">
        <v>1254</v>
      </c>
      <c r="C1234" t="s">
        <v>19</v>
      </c>
      <c r="D1234" t="s">
        <v>32</v>
      </c>
      <c r="E1234" s="4">
        <v>31281642</v>
      </c>
      <c r="F1234">
        <v>30.56</v>
      </c>
      <c r="G1234">
        <v>5.72</v>
      </c>
      <c r="H1234" s="1">
        <f>CALCULATION!$D$11</f>
        <v>343.315</v>
      </c>
      <c r="I1234">
        <v>22.02</v>
      </c>
      <c r="J1234" s="5">
        <v>46060</v>
      </c>
      <c r="K1234">
        <f t="shared" si="19"/>
        <v>45.73</v>
      </c>
      <c r="L1234" t="str" cm="1">
        <f t="array" ref="L1234">_xlfn.IFS(E1234&gt;=52000000,"Platinum",E1234&gt;=37000000,"Gold",E1234&gt;=30000000,"Sliver",E1234&lt;30000000,"Bronze")</f>
        <v>Sliver</v>
      </c>
    </row>
    <row r="1235" spans="1:12" x14ac:dyDescent="0.25">
      <c r="A1235">
        <v>1234</v>
      </c>
      <c r="B1235" t="s">
        <v>1255</v>
      </c>
      <c r="C1235" t="s">
        <v>16</v>
      </c>
      <c r="D1235" t="s">
        <v>11</v>
      </c>
      <c r="E1235" s="4">
        <v>28964474</v>
      </c>
      <c r="F1235">
        <v>52.23</v>
      </c>
      <c r="G1235">
        <v>8.61</v>
      </c>
      <c r="H1235">
        <v>516.80999999999995</v>
      </c>
      <c r="I1235">
        <v>16.489999999999998</v>
      </c>
      <c r="J1235" s="5">
        <v>46060</v>
      </c>
      <c r="K1235">
        <f t="shared" si="19"/>
        <v>32.130000000000003</v>
      </c>
      <c r="L1235" t="str" cm="1">
        <f t="array" ref="L1235">_xlfn.IFS(E1235&gt;=52000000,"Platinum",E1235&gt;=37000000,"Gold",E1235&gt;=30000000,"Sliver",E1235&lt;30000000,"Bronze")</f>
        <v>Bronze</v>
      </c>
    </row>
    <row r="1236" spans="1:12" x14ac:dyDescent="0.25">
      <c r="A1236">
        <v>1235</v>
      </c>
      <c r="B1236" t="s">
        <v>1256</v>
      </c>
      <c r="C1236" t="s">
        <v>27</v>
      </c>
      <c r="D1236" t="s">
        <v>25</v>
      </c>
      <c r="E1236" s="4">
        <v>34114223</v>
      </c>
      <c r="F1236" s="1">
        <f>CALCULATION!$C$11</f>
        <v>42.81</v>
      </c>
      <c r="G1236" s="1">
        <v>34.479999999999997</v>
      </c>
      <c r="H1236">
        <v>2068.5300000000002</v>
      </c>
      <c r="I1236">
        <v>119.09</v>
      </c>
      <c r="J1236" s="5">
        <v>46060</v>
      </c>
      <c r="K1236">
        <f t="shared" si="19"/>
        <v>88.14</v>
      </c>
      <c r="L1236" t="str" cm="1">
        <f t="array" ref="L1236">_xlfn.IFS(E1236&gt;=52000000,"Platinum",E1236&gt;=37000000,"Gold",E1236&gt;=30000000,"Sliver",E1236&lt;30000000,"Bronze")</f>
        <v>Sliver</v>
      </c>
    </row>
    <row r="1237" spans="1:12" x14ac:dyDescent="0.25">
      <c r="A1237">
        <v>1236</v>
      </c>
      <c r="B1237" t="s">
        <v>1257</v>
      </c>
      <c r="C1237" t="s">
        <v>46</v>
      </c>
      <c r="D1237" t="s">
        <v>13</v>
      </c>
      <c r="E1237" s="4">
        <v>29557180</v>
      </c>
      <c r="F1237">
        <v>46.18</v>
      </c>
      <c r="G1237">
        <v>3.44</v>
      </c>
      <c r="H1237">
        <v>206.46</v>
      </c>
      <c r="I1237">
        <v>7.45</v>
      </c>
      <c r="J1237" s="5">
        <v>46060</v>
      </c>
      <c r="K1237">
        <f t="shared" si="19"/>
        <v>30.64</v>
      </c>
      <c r="L1237" t="str" cm="1">
        <f t="array" ref="L1237">_xlfn.IFS(E1237&gt;=52000000,"Platinum",E1237&gt;=37000000,"Gold",E1237&gt;=30000000,"Sliver",E1237&lt;30000000,"Bronze")</f>
        <v>Bronze</v>
      </c>
    </row>
    <row r="1238" spans="1:12" x14ac:dyDescent="0.25">
      <c r="A1238">
        <v>1237</v>
      </c>
      <c r="B1238" t="s">
        <v>1258</v>
      </c>
      <c r="C1238" t="s">
        <v>21</v>
      </c>
      <c r="D1238" t="s">
        <v>32</v>
      </c>
      <c r="E1238" s="4">
        <v>24484098</v>
      </c>
      <c r="F1238">
        <v>41.28</v>
      </c>
      <c r="G1238">
        <v>2.21</v>
      </c>
      <c r="H1238">
        <v>132.41999999999999</v>
      </c>
      <c r="I1238">
        <v>5.35</v>
      </c>
      <c r="J1238" s="5">
        <v>46060</v>
      </c>
      <c r="K1238">
        <f t="shared" si="19"/>
        <v>32.04</v>
      </c>
      <c r="L1238" t="str" cm="1">
        <f t="array" ref="L1238">_xlfn.IFS(E1238&gt;=52000000,"Platinum",E1238&gt;=37000000,"Gold",E1238&gt;=30000000,"Sliver",E1238&lt;30000000,"Bronze")</f>
        <v>Bronze</v>
      </c>
    </row>
    <row r="1239" spans="1:12" x14ac:dyDescent="0.25">
      <c r="A1239">
        <v>1238</v>
      </c>
      <c r="B1239" t="s">
        <v>1259</v>
      </c>
      <c r="C1239" s="1" t="s">
        <v>21</v>
      </c>
      <c r="D1239" t="s">
        <v>32</v>
      </c>
      <c r="E1239" s="4">
        <v>29008799</v>
      </c>
      <c r="F1239">
        <v>42.78</v>
      </c>
      <c r="G1239">
        <v>6.1</v>
      </c>
      <c r="H1239">
        <v>366.1</v>
      </c>
      <c r="I1239">
        <v>14.26</v>
      </c>
      <c r="J1239" s="5">
        <v>46060</v>
      </c>
      <c r="K1239">
        <f t="shared" si="19"/>
        <v>35.74</v>
      </c>
      <c r="L1239" t="str" cm="1">
        <f t="array" ref="L1239">_xlfn.IFS(E1239&gt;=52000000,"Platinum",E1239&gt;=37000000,"Gold",E1239&gt;=30000000,"Sliver",E1239&lt;30000000,"Bronze")</f>
        <v>Bronze</v>
      </c>
    </row>
    <row r="1240" spans="1:12" x14ac:dyDescent="0.25">
      <c r="A1240">
        <v>1239</v>
      </c>
      <c r="B1240" t="s">
        <v>1260</v>
      </c>
      <c r="C1240" t="s">
        <v>16</v>
      </c>
      <c r="D1240" t="s">
        <v>25</v>
      </c>
      <c r="E1240" s="4">
        <v>33136879</v>
      </c>
      <c r="F1240">
        <v>48.23</v>
      </c>
      <c r="G1240">
        <v>7.07</v>
      </c>
      <c r="H1240">
        <v>424.33</v>
      </c>
      <c r="I1240">
        <v>14.66</v>
      </c>
      <c r="J1240" s="5">
        <v>46060</v>
      </c>
      <c r="K1240">
        <f t="shared" si="19"/>
        <v>33.22</v>
      </c>
      <c r="L1240" t="str" cm="1">
        <f t="array" ref="L1240">_xlfn.IFS(E1240&gt;=52000000,"Platinum",E1240&gt;=37000000,"Gold",E1240&gt;=30000000,"Sliver",E1240&lt;30000000,"Bronze")</f>
        <v>Sliver</v>
      </c>
    </row>
    <row r="1241" spans="1:12" x14ac:dyDescent="0.25">
      <c r="A1241">
        <v>1240</v>
      </c>
      <c r="B1241" t="s">
        <v>1261</v>
      </c>
      <c r="C1241" t="s">
        <v>19</v>
      </c>
      <c r="D1241" t="s">
        <v>25</v>
      </c>
      <c r="E1241" s="4">
        <v>27522681</v>
      </c>
      <c r="F1241">
        <v>40.130000000000003</v>
      </c>
      <c r="G1241">
        <v>5.72</v>
      </c>
      <c r="H1241" s="1">
        <f>CALCULATION!$D$11</f>
        <v>343.315</v>
      </c>
      <c r="I1241">
        <v>8.09</v>
      </c>
      <c r="J1241" s="5">
        <v>46060</v>
      </c>
      <c r="K1241">
        <f t="shared" si="19"/>
        <v>33.979999999999997</v>
      </c>
      <c r="L1241" t="str" cm="1">
        <f t="array" ref="L1241">_xlfn.IFS(E1241&gt;=52000000,"Platinum",E1241&gt;=37000000,"Gold",E1241&gt;=30000000,"Sliver",E1241&lt;30000000,"Bronze")</f>
        <v>Bronze</v>
      </c>
    </row>
    <row r="1242" spans="1:12" x14ac:dyDescent="0.25">
      <c r="A1242">
        <v>1241</v>
      </c>
      <c r="B1242" t="s">
        <v>1262</v>
      </c>
      <c r="C1242" t="s">
        <v>19</v>
      </c>
      <c r="D1242" t="s">
        <v>13</v>
      </c>
      <c r="E1242" s="4">
        <v>25387052</v>
      </c>
      <c r="F1242">
        <v>46.58</v>
      </c>
      <c r="G1242">
        <v>7.65</v>
      </c>
      <c r="H1242">
        <v>458.86</v>
      </c>
      <c r="I1242">
        <v>16.420000000000002</v>
      </c>
      <c r="J1242" s="5">
        <v>46060</v>
      </c>
      <c r="K1242">
        <f t="shared" si="19"/>
        <v>34.92</v>
      </c>
      <c r="L1242" t="str" cm="1">
        <f t="array" ref="L1242">_xlfn.IFS(E1242&gt;=52000000,"Platinum",E1242&gt;=37000000,"Gold",E1242&gt;=30000000,"Sliver",E1242&lt;30000000,"Bronze")</f>
        <v>Bronze</v>
      </c>
    </row>
    <row r="1243" spans="1:12" x14ac:dyDescent="0.25">
      <c r="A1243">
        <v>1242</v>
      </c>
      <c r="B1243" t="s">
        <v>1263</v>
      </c>
      <c r="C1243" t="s">
        <v>46</v>
      </c>
      <c r="D1243" t="s">
        <v>25</v>
      </c>
      <c r="E1243" s="4">
        <v>23427816</v>
      </c>
      <c r="F1243">
        <v>57.43</v>
      </c>
      <c r="G1243">
        <v>9.66</v>
      </c>
      <c r="H1243">
        <v>579.38</v>
      </c>
      <c r="I1243">
        <v>16.809999999999999</v>
      </c>
      <c r="J1243" s="5">
        <v>46060</v>
      </c>
      <c r="K1243">
        <f t="shared" si="19"/>
        <v>29.69</v>
      </c>
      <c r="L1243" t="str" cm="1">
        <f t="array" ref="L1243">_xlfn.IFS(E1243&gt;=52000000,"Platinum",E1243&gt;=37000000,"Gold",E1243&gt;=30000000,"Sliver",E1243&lt;30000000,"Bronze")</f>
        <v>Bronze</v>
      </c>
    </row>
    <row r="1244" spans="1:12" x14ac:dyDescent="0.25">
      <c r="A1244">
        <v>1243</v>
      </c>
      <c r="B1244" t="s">
        <v>1264</v>
      </c>
      <c r="C1244" t="s">
        <v>46</v>
      </c>
      <c r="D1244" t="s">
        <v>13</v>
      </c>
      <c r="E1244" s="4">
        <v>30711876</v>
      </c>
      <c r="F1244">
        <v>44.25</v>
      </c>
      <c r="G1244">
        <v>6.63</v>
      </c>
      <c r="H1244">
        <v>397.63</v>
      </c>
      <c r="I1244">
        <v>14.98</v>
      </c>
      <c r="J1244" s="5">
        <v>46060</v>
      </c>
      <c r="K1244">
        <f t="shared" si="19"/>
        <v>35.369999999999997</v>
      </c>
      <c r="L1244" t="str" cm="1">
        <f t="array" ref="L1244">_xlfn.IFS(E1244&gt;=52000000,"Platinum",E1244&gt;=37000000,"Gold",E1244&gt;=30000000,"Sliver",E1244&lt;30000000,"Bronze")</f>
        <v>Sliver</v>
      </c>
    </row>
    <row r="1245" spans="1:12" x14ac:dyDescent="0.25">
      <c r="A1245">
        <v>1244</v>
      </c>
      <c r="B1245" t="s">
        <v>1265</v>
      </c>
      <c r="C1245" t="s">
        <v>27</v>
      </c>
      <c r="D1245" t="s">
        <v>22</v>
      </c>
      <c r="E1245" s="4">
        <v>29673710</v>
      </c>
      <c r="F1245">
        <v>23.69</v>
      </c>
      <c r="G1245">
        <v>23.63</v>
      </c>
      <c r="H1245">
        <v>1417.93</v>
      </c>
      <c r="I1245">
        <v>99.76</v>
      </c>
      <c r="J1245" s="5">
        <v>46060</v>
      </c>
      <c r="K1245">
        <f t="shared" si="19"/>
        <v>88.04</v>
      </c>
      <c r="L1245" t="str" cm="1">
        <f t="array" ref="L1245">_xlfn.IFS(E1245&gt;=52000000,"Platinum",E1245&gt;=37000000,"Gold",E1245&gt;=30000000,"Sliver",E1245&lt;30000000,"Bronze")</f>
        <v>Bronze</v>
      </c>
    </row>
    <row r="1246" spans="1:12" x14ac:dyDescent="0.25">
      <c r="A1246">
        <v>1245</v>
      </c>
      <c r="B1246" t="s">
        <v>1266</v>
      </c>
      <c r="C1246" t="s">
        <v>16</v>
      </c>
      <c r="D1246" t="s">
        <v>32</v>
      </c>
      <c r="E1246" s="4">
        <v>32591561</v>
      </c>
      <c r="F1246">
        <v>59.91</v>
      </c>
      <c r="G1246">
        <v>8.19</v>
      </c>
      <c r="H1246">
        <v>491.12</v>
      </c>
      <c r="I1246">
        <v>13.66</v>
      </c>
      <c r="J1246" s="5">
        <v>46060</v>
      </c>
      <c r="K1246">
        <f t="shared" si="19"/>
        <v>26.88</v>
      </c>
      <c r="L1246" t="str" cm="1">
        <f t="array" ref="L1246">_xlfn.IFS(E1246&gt;=52000000,"Platinum",E1246&gt;=37000000,"Gold",E1246&gt;=30000000,"Sliver",E1246&lt;30000000,"Bronze")</f>
        <v>Sliver</v>
      </c>
    </row>
    <row r="1247" spans="1:12" x14ac:dyDescent="0.25">
      <c r="A1247">
        <v>1246</v>
      </c>
      <c r="B1247" t="s">
        <v>1267</v>
      </c>
      <c r="C1247" t="s">
        <v>16</v>
      </c>
      <c r="D1247" t="s">
        <v>13</v>
      </c>
      <c r="E1247" s="4">
        <v>28955988</v>
      </c>
      <c r="F1247">
        <v>58.7</v>
      </c>
      <c r="G1247">
        <v>8.43</v>
      </c>
      <c r="H1247">
        <v>505.76</v>
      </c>
      <c r="I1247">
        <v>14.36</v>
      </c>
      <c r="J1247" s="5">
        <v>46060</v>
      </c>
      <c r="K1247">
        <f t="shared" si="19"/>
        <v>27.83</v>
      </c>
      <c r="L1247" t="str" cm="1">
        <f t="array" ref="L1247">_xlfn.IFS(E1247&gt;=52000000,"Platinum",E1247&gt;=37000000,"Gold",E1247&gt;=30000000,"Sliver",E1247&lt;30000000,"Bronze")</f>
        <v>Bronze</v>
      </c>
    </row>
    <row r="1248" spans="1:12" x14ac:dyDescent="0.25">
      <c r="A1248">
        <v>1247</v>
      </c>
      <c r="B1248" t="s">
        <v>1268</v>
      </c>
      <c r="C1248" t="s">
        <v>27</v>
      </c>
      <c r="D1248" t="s">
        <v>11</v>
      </c>
      <c r="E1248" s="4">
        <v>31388204</v>
      </c>
      <c r="F1248">
        <v>18.57</v>
      </c>
      <c r="G1248">
        <v>33.49</v>
      </c>
      <c r="H1248">
        <v>2009.57</v>
      </c>
      <c r="I1248">
        <v>180.36</v>
      </c>
      <c r="J1248" s="5">
        <v>46060</v>
      </c>
      <c r="K1248">
        <f t="shared" si="19"/>
        <v>130.9</v>
      </c>
      <c r="L1248" t="str" cm="1">
        <f t="array" ref="L1248">_xlfn.IFS(E1248&gt;=52000000,"Platinum",E1248&gt;=37000000,"Gold",E1248&gt;=30000000,"Sliver",E1248&lt;30000000,"Bronze")</f>
        <v>Sliver</v>
      </c>
    </row>
    <row r="1249" spans="1:12" x14ac:dyDescent="0.25">
      <c r="A1249">
        <v>1248</v>
      </c>
      <c r="B1249" t="s">
        <v>1269</v>
      </c>
      <c r="C1249" t="s">
        <v>16</v>
      </c>
      <c r="D1249" t="s">
        <v>17</v>
      </c>
      <c r="E1249" s="4">
        <v>24775475</v>
      </c>
      <c r="F1249" s="1">
        <f>CALCULATION!$C$11</f>
        <v>42.81</v>
      </c>
      <c r="G1249" s="1">
        <v>5.07</v>
      </c>
      <c r="H1249">
        <v>303.97000000000003</v>
      </c>
      <c r="I1249">
        <v>11.05</v>
      </c>
      <c r="J1249" s="5">
        <v>46060</v>
      </c>
      <c r="K1249">
        <f t="shared" si="19"/>
        <v>34.119999999999997</v>
      </c>
      <c r="L1249" t="str" cm="1">
        <f t="array" ref="L1249">_xlfn.IFS(E1249&gt;=52000000,"Platinum",E1249&gt;=37000000,"Gold",E1249&gt;=30000000,"Sliver",E1249&lt;30000000,"Bronze")</f>
        <v>Bronze</v>
      </c>
    </row>
    <row r="1250" spans="1:12" x14ac:dyDescent="0.25">
      <c r="A1250">
        <v>1249</v>
      </c>
      <c r="B1250" t="s">
        <v>1270</v>
      </c>
      <c r="C1250" s="1" t="s">
        <v>21</v>
      </c>
      <c r="D1250" t="s">
        <v>32</v>
      </c>
      <c r="E1250" s="4">
        <v>27239010</v>
      </c>
      <c r="F1250">
        <v>57.95</v>
      </c>
      <c r="G1250">
        <v>6.71</v>
      </c>
      <c r="H1250">
        <v>402.6</v>
      </c>
      <c r="I1250">
        <v>11.58</v>
      </c>
      <c r="J1250" s="5">
        <v>46060</v>
      </c>
      <c r="K1250">
        <f t="shared" si="19"/>
        <v>26.82</v>
      </c>
      <c r="L1250" t="str" cm="1">
        <f t="array" ref="L1250">_xlfn.IFS(E1250&gt;=52000000,"Platinum",E1250&gt;=37000000,"Gold",E1250&gt;=30000000,"Sliver",E1250&lt;30000000,"Bronze")</f>
        <v>Bronze</v>
      </c>
    </row>
    <row r="1251" spans="1:12" x14ac:dyDescent="0.25">
      <c r="A1251">
        <v>1250</v>
      </c>
      <c r="B1251" t="s">
        <v>1271</v>
      </c>
      <c r="C1251" t="s">
        <v>27</v>
      </c>
      <c r="D1251" t="s">
        <v>13</v>
      </c>
      <c r="E1251" s="4">
        <v>26407135</v>
      </c>
      <c r="F1251" s="1">
        <f>CALCULATION!$C$11</f>
        <v>42.81</v>
      </c>
      <c r="G1251" s="1">
        <v>10.9</v>
      </c>
      <c r="H1251">
        <v>654.19000000000005</v>
      </c>
      <c r="I1251">
        <v>49.38</v>
      </c>
      <c r="J1251" s="5">
        <v>46060</v>
      </c>
      <c r="K1251">
        <f t="shared" si="19"/>
        <v>53.29</v>
      </c>
      <c r="L1251" t="str" cm="1">
        <f t="array" ref="L1251">_xlfn.IFS(E1251&gt;=52000000,"Platinum",E1251&gt;=37000000,"Gold",E1251&gt;=30000000,"Sliver",E1251&lt;30000000,"Bronze")</f>
        <v>Bronze</v>
      </c>
    </row>
    <row r="1252" spans="1:12" x14ac:dyDescent="0.25">
      <c r="A1252">
        <v>1251</v>
      </c>
      <c r="B1252" t="s">
        <v>1272</v>
      </c>
      <c r="C1252" t="s">
        <v>21</v>
      </c>
      <c r="D1252" t="s">
        <v>32</v>
      </c>
      <c r="E1252" s="4">
        <v>28987644</v>
      </c>
      <c r="F1252">
        <v>39.729999999999997</v>
      </c>
      <c r="G1252">
        <v>2.72</v>
      </c>
      <c r="H1252">
        <v>163.46</v>
      </c>
      <c r="I1252">
        <v>6.86</v>
      </c>
      <c r="J1252" s="5">
        <v>46060</v>
      </c>
      <c r="K1252">
        <f t="shared" si="19"/>
        <v>33.57</v>
      </c>
      <c r="L1252" t="str" cm="1">
        <f t="array" ref="L1252">_xlfn.IFS(E1252&gt;=52000000,"Platinum",E1252&gt;=37000000,"Gold",E1252&gt;=30000000,"Sliver",E1252&lt;30000000,"Bronze")</f>
        <v>Bronze</v>
      </c>
    </row>
    <row r="1253" spans="1:12" x14ac:dyDescent="0.25">
      <c r="A1253">
        <v>1252</v>
      </c>
      <c r="B1253" t="s">
        <v>1273</v>
      </c>
      <c r="C1253" t="s">
        <v>19</v>
      </c>
      <c r="D1253" t="s">
        <v>17</v>
      </c>
      <c r="E1253" s="4">
        <v>28012271</v>
      </c>
      <c r="F1253">
        <v>30.48</v>
      </c>
      <c r="G1253">
        <v>7.87</v>
      </c>
      <c r="H1253">
        <v>472.25</v>
      </c>
      <c r="I1253">
        <v>25.82</v>
      </c>
      <c r="J1253" s="5">
        <v>46060</v>
      </c>
      <c r="K1253">
        <f t="shared" si="19"/>
        <v>47.67</v>
      </c>
      <c r="L1253" t="str" cm="1">
        <f t="array" ref="L1253">_xlfn.IFS(E1253&gt;=52000000,"Platinum",E1253&gt;=37000000,"Gold",E1253&gt;=30000000,"Sliver",E1253&lt;30000000,"Bronze")</f>
        <v>Bronze</v>
      </c>
    </row>
    <row r="1254" spans="1:12" x14ac:dyDescent="0.25">
      <c r="A1254">
        <v>1253</v>
      </c>
      <c r="B1254" t="s">
        <v>1274</v>
      </c>
      <c r="C1254" t="s">
        <v>21</v>
      </c>
      <c r="D1254" t="s">
        <v>32</v>
      </c>
      <c r="E1254" s="4">
        <v>30135734</v>
      </c>
      <c r="F1254">
        <v>35.15</v>
      </c>
      <c r="G1254">
        <v>1.99</v>
      </c>
      <c r="H1254">
        <v>119.19</v>
      </c>
      <c r="I1254">
        <v>5.65</v>
      </c>
      <c r="J1254" s="5">
        <v>46060</v>
      </c>
      <c r="K1254">
        <f t="shared" si="19"/>
        <v>35.25</v>
      </c>
      <c r="L1254" t="str" cm="1">
        <f t="array" ref="L1254">_xlfn.IFS(E1254&gt;=52000000,"Platinum",E1254&gt;=37000000,"Gold",E1254&gt;=30000000,"Sliver",E1254&lt;30000000,"Bronze")</f>
        <v>Sliver</v>
      </c>
    </row>
    <row r="1255" spans="1:12" x14ac:dyDescent="0.25">
      <c r="A1255">
        <v>1254</v>
      </c>
      <c r="B1255" t="s">
        <v>1275</v>
      </c>
      <c r="C1255" t="s">
        <v>16</v>
      </c>
      <c r="D1255" t="s">
        <v>22</v>
      </c>
      <c r="E1255" s="4">
        <v>28007361</v>
      </c>
      <c r="F1255">
        <v>42.69</v>
      </c>
      <c r="G1255">
        <v>6.19</v>
      </c>
      <c r="H1255">
        <v>371.61</v>
      </c>
      <c r="I1255">
        <v>14.51</v>
      </c>
      <c r="J1255" s="5">
        <v>46060</v>
      </c>
      <c r="K1255">
        <f t="shared" si="19"/>
        <v>35.909999999999997</v>
      </c>
      <c r="L1255" t="str" cm="1">
        <f t="array" ref="L1255">_xlfn.IFS(E1255&gt;=52000000,"Platinum",E1255&gt;=37000000,"Gold",E1255&gt;=30000000,"Sliver",E1255&lt;30000000,"Bronze")</f>
        <v>Bronze</v>
      </c>
    </row>
    <row r="1256" spans="1:12" x14ac:dyDescent="0.25">
      <c r="A1256">
        <v>1255</v>
      </c>
      <c r="B1256" t="s">
        <v>1276</v>
      </c>
      <c r="C1256" t="s">
        <v>29</v>
      </c>
      <c r="D1256" t="s">
        <v>17</v>
      </c>
      <c r="E1256" s="4">
        <v>31516503</v>
      </c>
      <c r="F1256">
        <v>56.3</v>
      </c>
      <c r="G1256">
        <v>3.52</v>
      </c>
      <c r="H1256">
        <v>211.22</v>
      </c>
      <c r="I1256">
        <v>6.25</v>
      </c>
      <c r="J1256" s="5">
        <v>46060</v>
      </c>
      <c r="K1256">
        <f t="shared" si="19"/>
        <v>24.98</v>
      </c>
      <c r="L1256" t="str" cm="1">
        <f t="array" ref="L1256">_xlfn.IFS(E1256&gt;=52000000,"Platinum",E1256&gt;=37000000,"Gold",E1256&gt;=30000000,"Sliver",E1256&lt;30000000,"Bronze")</f>
        <v>Sliver</v>
      </c>
    </row>
    <row r="1257" spans="1:12" x14ac:dyDescent="0.25">
      <c r="A1257">
        <v>1256</v>
      </c>
      <c r="B1257" t="s">
        <v>1277</v>
      </c>
      <c r="C1257" t="s">
        <v>16</v>
      </c>
      <c r="D1257" t="s">
        <v>17</v>
      </c>
      <c r="E1257" s="4">
        <v>26838511</v>
      </c>
      <c r="F1257">
        <v>54.01</v>
      </c>
      <c r="G1257">
        <v>3.39</v>
      </c>
      <c r="H1257">
        <v>203.6</v>
      </c>
      <c r="I1257">
        <v>6.28</v>
      </c>
      <c r="J1257" s="5">
        <v>46060</v>
      </c>
      <c r="K1257">
        <f t="shared" si="19"/>
        <v>26.14</v>
      </c>
      <c r="L1257" t="str" cm="1">
        <f t="array" ref="L1257">_xlfn.IFS(E1257&gt;=52000000,"Platinum",E1257&gt;=37000000,"Gold",E1257&gt;=30000000,"Sliver",E1257&lt;30000000,"Bronze")</f>
        <v>Bronze</v>
      </c>
    </row>
    <row r="1258" spans="1:12" x14ac:dyDescent="0.25">
      <c r="A1258">
        <v>1257</v>
      </c>
      <c r="B1258" t="s">
        <v>1278</v>
      </c>
      <c r="C1258" t="s">
        <v>16</v>
      </c>
      <c r="D1258" t="s">
        <v>22</v>
      </c>
      <c r="E1258" s="4">
        <v>28711704</v>
      </c>
      <c r="F1258">
        <v>58.84</v>
      </c>
      <c r="G1258">
        <v>6.79</v>
      </c>
      <c r="H1258">
        <v>407.68</v>
      </c>
      <c r="I1258">
        <v>11.55</v>
      </c>
      <c r="J1258" s="5">
        <v>46060</v>
      </c>
      <c r="K1258">
        <f t="shared" si="19"/>
        <v>26.36</v>
      </c>
      <c r="L1258" t="str" cm="1">
        <f t="array" ref="L1258">_xlfn.IFS(E1258&gt;=52000000,"Platinum",E1258&gt;=37000000,"Gold",E1258&gt;=30000000,"Sliver",E1258&lt;30000000,"Bronze")</f>
        <v>Bronze</v>
      </c>
    </row>
    <row r="1259" spans="1:12" x14ac:dyDescent="0.25">
      <c r="A1259">
        <v>1258</v>
      </c>
      <c r="B1259" t="s">
        <v>1279</v>
      </c>
      <c r="C1259" t="s">
        <v>16</v>
      </c>
      <c r="D1259" t="s">
        <v>13</v>
      </c>
      <c r="E1259" s="4">
        <v>33524393</v>
      </c>
      <c r="F1259">
        <v>40.01</v>
      </c>
      <c r="G1259">
        <v>3.14</v>
      </c>
      <c r="H1259">
        <v>188.15</v>
      </c>
      <c r="I1259">
        <v>7.84</v>
      </c>
      <c r="J1259" s="5">
        <v>46060</v>
      </c>
      <c r="K1259">
        <f t="shared" si="19"/>
        <v>33.92</v>
      </c>
      <c r="L1259" t="str" cm="1">
        <f t="array" ref="L1259">_xlfn.IFS(E1259&gt;=52000000,"Platinum",E1259&gt;=37000000,"Gold",E1259&gt;=30000000,"Sliver",E1259&lt;30000000,"Bronze")</f>
        <v>Sliver</v>
      </c>
    </row>
    <row r="1260" spans="1:12" x14ac:dyDescent="0.25">
      <c r="A1260">
        <v>1259</v>
      </c>
      <c r="B1260" t="s">
        <v>1280</v>
      </c>
      <c r="C1260" t="s">
        <v>29</v>
      </c>
      <c r="D1260" t="s">
        <v>11</v>
      </c>
      <c r="E1260" s="4">
        <v>25532290</v>
      </c>
      <c r="F1260">
        <v>54.51</v>
      </c>
      <c r="G1260">
        <v>5.72</v>
      </c>
      <c r="H1260" s="1">
        <f>CALCULATION!$D$11</f>
        <v>343.315</v>
      </c>
      <c r="I1260">
        <v>17.64</v>
      </c>
      <c r="J1260" s="5">
        <v>46060</v>
      </c>
      <c r="K1260">
        <f t="shared" si="19"/>
        <v>31.57</v>
      </c>
      <c r="L1260" t="str" cm="1">
        <f t="array" ref="L1260">_xlfn.IFS(E1260&gt;=52000000,"Platinum",E1260&gt;=37000000,"Gold",E1260&gt;=30000000,"Sliver",E1260&lt;30000000,"Bronze")</f>
        <v>Bronze</v>
      </c>
    </row>
    <row r="1261" spans="1:12" x14ac:dyDescent="0.25">
      <c r="A1261">
        <v>1260</v>
      </c>
      <c r="B1261" t="s">
        <v>1281</v>
      </c>
      <c r="C1261" t="s">
        <v>19</v>
      </c>
      <c r="D1261" t="s">
        <v>17</v>
      </c>
      <c r="E1261" s="4">
        <v>23309029</v>
      </c>
      <c r="F1261">
        <v>55.52</v>
      </c>
      <c r="G1261">
        <v>5.12</v>
      </c>
      <c r="H1261">
        <v>307.11</v>
      </c>
      <c r="I1261">
        <v>9.2200000000000006</v>
      </c>
      <c r="J1261" s="5">
        <v>46060</v>
      </c>
      <c r="K1261">
        <f t="shared" si="19"/>
        <v>26.85</v>
      </c>
      <c r="L1261" t="str" cm="1">
        <f t="array" ref="L1261">_xlfn.IFS(E1261&gt;=52000000,"Platinum",E1261&gt;=37000000,"Gold",E1261&gt;=30000000,"Sliver",E1261&lt;30000000,"Bronze")</f>
        <v>Bronze</v>
      </c>
    </row>
    <row r="1262" spans="1:12" x14ac:dyDescent="0.25">
      <c r="A1262">
        <v>1261</v>
      </c>
      <c r="B1262" t="s">
        <v>1282</v>
      </c>
      <c r="C1262" t="s">
        <v>29</v>
      </c>
      <c r="D1262" t="s">
        <v>22</v>
      </c>
      <c r="E1262" s="4">
        <v>26300716</v>
      </c>
      <c r="F1262">
        <v>32.72</v>
      </c>
      <c r="G1262">
        <v>4.0599999999999996</v>
      </c>
      <c r="H1262">
        <v>243.63</v>
      </c>
      <c r="I1262">
        <v>12.41</v>
      </c>
      <c r="J1262" s="5">
        <v>46060</v>
      </c>
      <c r="K1262">
        <f t="shared" si="19"/>
        <v>39.85</v>
      </c>
      <c r="L1262" t="str" cm="1">
        <f t="array" ref="L1262">_xlfn.IFS(E1262&gt;=52000000,"Platinum",E1262&gt;=37000000,"Gold",E1262&gt;=30000000,"Sliver",E1262&lt;30000000,"Bronze")</f>
        <v>Bronze</v>
      </c>
    </row>
    <row r="1263" spans="1:12" x14ac:dyDescent="0.25">
      <c r="A1263">
        <v>1262</v>
      </c>
      <c r="B1263" t="s">
        <v>1283</v>
      </c>
      <c r="C1263" t="s">
        <v>19</v>
      </c>
      <c r="D1263" t="s">
        <v>25</v>
      </c>
      <c r="E1263" s="4">
        <v>28448001</v>
      </c>
      <c r="F1263">
        <v>30.8</v>
      </c>
      <c r="G1263">
        <v>8.91</v>
      </c>
      <c r="H1263">
        <v>534.87</v>
      </c>
      <c r="I1263">
        <v>28.94</v>
      </c>
      <c r="J1263" s="5">
        <v>46060</v>
      </c>
      <c r="K1263">
        <f t="shared" si="19"/>
        <v>49.07</v>
      </c>
      <c r="L1263" t="str" cm="1">
        <f t="array" ref="L1263">_xlfn.IFS(E1263&gt;=52000000,"Platinum",E1263&gt;=37000000,"Gold",E1263&gt;=30000000,"Sliver",E1263&lt;30000000,"Bronze")</f>
        <v>Bronze</v>
      </c>
    </row>
    <row r="1264" spans="1:12" x14ac:dyDescent="0.25">
      <c r="A1264">
        <v>1263</v>
      </c>
      <c r="B1264" t="s">
        <v>1284</v>
      </c>
      <c r="C1264" t="s">
        <v>46</v>
      </c>
      <c r="D1264" t="s">
        <v>17</v>
      </c>
      <c r="E1264" s="4">
        <v>32333136</v>
      </c>
      <c r="F1264">
        <v>40.42</v>
      </c>
      <c r="G1264">
        <v>7.66</v>
      </c>
      <c r="H1264">
        <v>459.76</v>
      </c>
      <c r="I1264">
        <v>18.96</v>
      </c>
      <c r="J1264" s="5">
        <v>46060</v>
      </c>
      <c r="K1264">
        <f t="shared" si="19"/>
        <v>39.270000000000003</v>
      </c>
      <c r="L1264" t="str" cm="1">
        <f t="array" ref="L1264">_xlfn.IFS(E1264&gt;=52000000,"Platinum",E1264&gt;=37000000,"Gold",E1264&gt;=30000000,"Sliver",E1264&lt;30000000,"Bronze")</f>
        <v>Sliver</v>
      </c>
    </row>
    <row r="1265" spans="1:12" x14ac:dyDescent="0.25">
      <c r="A1265">
        <v>1264</v>
      </c>
      <c r="B1265" t="s">
        <v>1285</v>
      </c>
      <c r="C1265" t="s">
        <v>21</v>
      </c>
      <c r="D1265" t="s">
        <v>22</v>
      </c>
      <c r="E1265" s="4">
        <v>28615954</v>
      </c>
      <c r="F1265">
        <v>43.06</v>
      </c>
      <c r="G1265">
        <v>1.48</v>
      </c>
      <c r="H1265">
        <v>88.59</v>
      </c>
      <c r="I1265">
        <v>3.43</v>
      </c>
      <c r="J1265" s="5">
        <v>46060</v>
      </c>
      <c r="K1265">
        <f t="shared" si="19"/>
        <v>30.19</v>
      </c>
      <c r="L1265" t="str" cm="1">
        <f t="array" ref="L1265">_xlfn.IFS(E1265&gt;=52000000,"Platinum",E1265&gt;=37000000,"Gold",E1265&gt;=30000000,"Sliver",E1265&lt;30000000,"Bronze")</f>
        <v>Bronze</v>
      </c>
    </row>
    <row r="1266" spans="1:12" x14ac:dyDescent="0.25">
      <c r="A1266">
        <v>1265</v>
      </c>
      <c r="B1266" t="s">
        <v>1286</v>
      </c>
      <c r="C1266" t="s">
        <v>27</v>
      </c>
      <c r="D1266" t="s">
        <v>11</v>
      </c>
      <c r="E1266" s="4">
        <v>29661369</v>
      </c>
      <c r="F1266">
        <v>28.9</v>
      </c>
      <c r="G1266">
        <v>15.4</v>
      </c>
      <c r="H1266">
        <v>923.88</v>
      </c>
      <c r="I1266">
        <v>53.28</v>
      </c>
      <c r="J1266" s="5">
        <v>46060</v>
      </c>
      <c r="K1266">
        <f t="shared" si="19"/>
        <v>62.19</v>
      </c>
      <c r="L1266" t="str" cm="1">
        <f t="array" ref="L1266">_xlfn.IFS(E1266&gt;=52000000,"Platinum",E1266&gt;=37000000,"Gold",E1266&gt;=30000000,"Sliver",E1266&lt;30000000,"Bronze")</f>
        <v>Bronze</v>
      </c>
    </row>
    <row r="1267" spans="1:12" x14ac:dyDescent="0.25">
      <c r="A1267">
        <v>1266</v>
      </c>
      <c r="B1267" t="s">
        <v>1287</v>
      </c>
      <c r="C1267" t="s">
        <v>21</v>
      </c>
      <c r="D1267" t="s">
        <v>17</v>
      </c>
      <c r="E1267" s="4">
        <v>29048764</v>
      </c>
      <c r="F1267">
        <v>48.08</v>
      </c>
      <c r="G1267">
        <v>2.31</v>
      </c>
      <c r="H1267">
        <v>138.57</v>
      </c>
      <c r="I1267">
        <v>4.8</v>
      </c>
      <c r="J1267" s="5">
        <v>46060</v>
      </c>
      <c r="K1267">
        <f t="shared" si="19"/>
        <v>28.36</v>
      </c>
      <c r="L1267" t="str" cm="1">
        <f t="array" ref="L1267">_xlfn.IFS(E1267&gt;=52000000,"Platinum",E1267&gt;=37000000,"Gold",E1267&gt;=30000000,"Sliver",E1267&lt;30000000,"Bronze")</f>
        <v>Bronze</v>
      </c>
    </row>
    <row r="1268" spans="1:12" x14ac:dyDescent="0.25">
      <c r="A1268">
        <v>1267</v>
      </c>
      <c r="B1268" t="s">
        <v>1288</v>
      </c>
      <c r="C1268" t="s">
        <v>19</v>
      </c>
      <c r="D1268" t="s">
        <v>13</v>
      </c>
      <c r="E1268" s="4">
        <v>28294428</v>
      </c>
      <c r="F1268">
        <v>48.25</v>
      </c>
      <c r="G1268">
        <v>7.1</v>
      </c>
      <c r="H1268">
        <v>426.07</v>
      </c>
      <c r="I1268">
        <v>14.72</v>
      </c>
      <c r="J1268" s="5">
        <v>46060</v>
      </c>
      <c r="K1268">
        <f t="shared" si="19"/>
        <v>33.24</v>
      </c>
      <c r="L1268" t="str" cm="1">
        <f t="array" ref="L1268">_xlfn.IFS(E1268&gt;=52000000,"Platinum",E1268&gt;=37000000,"Gold",E1268&gt;=30000000,"Sliver",E1268&lt;30000000,"Bronze")</f>
        <v>Bronze</v>
      </c>
    </row>
    <row r="1269" spans="1:12" x14ac:dyDescent="0.25">
      <c r="A1269">
        <v>1268</v>
      </c>
      <c r="B1269" t="s">
        <v>1289</v>
      </c>
      <c r="C1269" t="s">
        <v>46</v>
      </c>
      <c r="D1269" t="s">
        <v>13</v>
      </c>
      <c r="E1269" s="4">
        <v>26698173</v>
      </c>
      <c r="F1269">
        <v>44.16</v>
      </c>
      <c r="G1269">
        <v>6.61</v>
      </c>
      <c r="H1269">
        <v>396.76</v>
      </c>
      <c r="I1269">
        <v>14.97</v>
      </c>
      <c r="J1269" s="5">
        <v>46060</v>
      </c>
      <c r="K1269">
        <f t="shared" si="19"/>
        <v>35.409999999999997</v>
      </c>
      <c r="L1269" t="str" cm="1">
        <f t="array" ref="L1269">_xlfn.IFS(E1269&gt;=52000000,"Platinum",E1269&gt;=37000000,"Gold",E1269&gt;=30000000,"Sliver",E1269&lt;30000000,"Bronze")</f>
        <v>Bronze</v>
      </c>
    </row>
    <row r="1270" spans="1:12" x14ac:dyDescent="0.25">
      <c r="A1270">
        <v>1269</v>
      </c>
      <c r="B1270" t="s">
        <v>1290</v>
      </c>
      <c r="C1270" t="s">
        <v>21</v>
      </c>
      <c r="D1270" t="s">
        <v>17</v>
      </c>
      <c r="E1270" s="4">
        <v>30426790</v>
      </c>
      <c r="F1270" s="1">
        <f>CALCULATION!$C$11</f>
        <v>42.81</v>
      </c>
      <c r="G1270" s="1">
        <v>2.67</v>
      </c>
      <c r="H1270">
        <v>160.11000000000001</v>
      </c>
      <c r="I1270">
        <v>5.44</v>
      </c>
      <c r="J1270" s="5">
        <v>46060</v>
      </c>
      <c r="K1270">
        <f t="shared" si="19"/>
        <v>31.32</v>
      </c>
      <c r="L1270" t="str" cm="1">
        <f t="array" ref="L1270">_xlfn.IFS(E1270&gt;=52000000,"Platinum",E1270&gt;=37000000,"Gold",E1270&gt;=30000000,"Sliver",E1270&lt;30000000,"Bronze")</f>
        <v>Sliver</v>
      </c>
    </row>
    <row r="1271" spans="1:12" x14ac:dyDescent="0.25">
      <c r="A1271">
        <v>1270</v>
      </c>
      <c r="B1271" t="s">
        <v>1291</v>
      </c>
      <c r="C1271" t="s">
        <v>27</v>
      </c>
      <c r="D1271" t="s">
        <v>22</v>
      </c>
      <c r="E1271" s="4">
        <v>31705798</v>
      </c>
      <c r="F1271">
        <v>15.27</v>
      </c>
      <c r="G1271">
        <v>38.729999999999997</v>
      </c>
      <c r="H1271">
        <v>2323.6999999999998</v>
      </c>
      <c r="I1271">
        <v>253.62</v>
      </c>
      <c r="J1271" s="5">
        <v>46060</v>
      </c>
      <c r="K1271">
        <f t="shared" si="19"/>
        <v>169.18</v>
      </c>
      <c r="L1271" t="str" cm="1">
        <f t="array" ref="L1271">_xlfn.IFS(E1271&gt;=52000000,"Platinum",E1271&gt;=37000000,"Gold",E1271&gt;=30000000,"Sliver",E1271&lt;30000000,"Bronze")</f>
        <v>Sliver</v>
      </c>
    </row>
    <row r="1272" spans="1:12" x14ac:dyDescent="0.25">
      <c r="A1272">
        <v>1271</v>
      </c>
      <c r="B1272" t="s">
        <v>1292</v>
      </c>
      <c r="C1272" t="s">
        <v>19</v>
      </c>
      <c r="D1272" t="s">
        <v>22</v>
      </c>
      <c r="E1272" s="4">
        <v>26341366</v>
      </c>
      <c r="F1272">
        <v>60</v>
      </c>
      <c r="G1272">
        <v>4.99</v>
      </c>
      <c r="H1272">
        <v>299.25</v>
      </c>
      <c r="I1272">
        <v>8.31</v>
      </c>
      <c r="J1272" s="5">
        <v>46060</v>
      </c>
      <c r="K1272">
        <f t="shared" si="19"/>
        <v>24.16</v>
      </c>
      <c r="L1272" t="str" cm="1">
        <f t="array" ref="L1272">_xlfn.IFS(E1272&gt;=52000000,"Platinum",E1272&gt;=37000000,"Gold",E1272&gt;=30000000,"Sliver",E1272&lt;30000000,"Bronze")</f>
        <v>Bronze</v>
      </c>
    </row>
    <row r="1273" spans="1:12" x14ac:dyDescent="0.25">
      <c r="A1273">
        <v>1272</v>
      </c>
      <c r="B1273" t="s">
        <v>1293</v>
      </c>
      <c r="C1273" t="s">
        <v>21</v>
      </c>
      <c r="D1273" t="s">
        <v>22</v>
      </c>
      <c r="E1273" s="4">
        <v>25859017</v>
      </c>
      <c r="F1273">
        <v>40.11</v>
      </c>
      <c r="G1273">
        <v>1.26</v>
      </c>
      <c r="H1273">
        <v>75.5</v>
      </c>
      <c r="I1273">
        <v>3.14</v>
      </c>
      <c r="J1273" s="5">
        <v>46060</v>
      </c>
      <c r="K1273">
        <f t="shared" si="19"/>
        <v>31.52</v>
      </c>
      <c r="L1273" t="str" cm="1">
        <f t="array" ref="L1273">_xlfn.IFS(E1273&gt;=52000000,"Platinum",E1273&gt;=37000000,"Gold",E1273&gt;=30000000,"Sliver",E1273&lt;30000000,"Bronze")</f>
        <v>Bronze</v>
      </c>
    </row>
    <row r="1274" spans="1:12" x14ac:dyDescent="0.25">
      <c r="A1274">
        <v>1273</v>
      </c>
      <c r="B1274" t="s">
        <v>1294</v>
      </c>
      <c r="C1274" t="s">
        <v>21</v>
      </c>
      <c r="D1274" t="s">
        <v>25</v>
      </c>
      <c r="E1274" s="4">
        <v>27386059</v>
      </c>
      <c r="F1274" s="1">
        <f>CALCULATION!$C$11</f>
        <v>42.81</v>
      </c>
      <c r="G1274" s="1">
        <v>2.35</v>
      </c>
      <c r="H1274">
        <v>140.87</v>
      </c>
      <c r="I1274">
        <v>6.57</v>
      </c>
      <c r="J1274" s="5">
        <v>46060</v>
      </c>
      <c r="K1274">
        <f t="shared" si="19"/>
        <v>31.88</v>
      </c>
      <c r="L1274" t="str" cm="1">
        <f t="array" ref="L1274">_xlfn.IFS(E1274&gt;=52000000,"Platinum",E1274&gt;=37000000,"Gold",E1274&gt;=30000000,"Sliver",E1274&lt;30000000,"Bronze")</f>
        <v>Bronze</v>
      </c>
    </row>
    <row r="1275" spans="1:12" x14ac:dyDescent="0.25">
      <c r="A1275">
        <v>1274</v>
      </c>
      <c r="B1275" t="s">
        <v>1295</v>
      </c>
      <c r="C1275" t="s">
        <v>10</v>
      </c>
      <c r="D1275" t="s">
        <v>22</v>
      </c>
      <c r="E1275" s="4">
        <v>31486731</v>
      </c>
      <c r="F1275">
        <v>54.62</v>
      </c>
      <c r="G1275">
        <v>8.64</v>
      </c>
      <c r="H1275">
        <v>518.5</v>
      </c>
      <c r="I1275">
        <v>15.82</v>
      </c>
      <c r="J1275" s="5">
        <v>46060</v>
      </c>
      <c r="K1275">
        <f t="shared" si="19"/>
        <v>30.6</v>
      </c>
      <c r="L1275" t="str" cm="1">
        <f t="array" ref="L1275">_xlfn.IFS(E1275&gt;=52000000,"Platinum",E1275&gt;=37000000,"Gold",E1275&gt;=30000000,"Sliver",E1275&lt;30000000,"Bronze")</f>
        <v>Sliver</v>
      </c>
    </row>
    <row r="1276" spans="1:12" x14ac:dyDescent="0.25">
      <c r="A1276">
        <v>1275</v>
      </c>
      <c r="B1276" t="s">
        <v>1296</v>
      </c>
      <c r="C1276" t="s">
        <v>10</v>
      </c>
      <c r="D1276" t="s">
        <v>22</v>
      </c>
      <c r="E1276" s="4">
        <v>30150253</v>
      </c>
      <c r="F1276">
        <v>47.71</v>
      </c>
      <c r="G1276">
        <v>8.07</v>
      </c>
      <c r="H1276">
        <v>484.25</v>
      </c>
      <c r="I1276">
        <v>16.920000000000002</v>
      </c>
      <c r="J1276" s="5">
        <v>46060</v>
      </c>
      <c r="K1276">
        <f t="shared" si="19"/>
        <v>34.61</v>
      </c>
      <c r="L1276" t="str" cm="1">
        <f t="array" ref="L1276">_xlfn.IFS(E1276&gt;=52000000,"Platinum",E1276&gt;=37000000,"Gold",E1276&gt;=30000000,"Sliver",E1276&lt;30000000,"Bronze")</f>
        <v>Sliver</v>
      </c>
    </row>
    <row r="1277" spans="1:12" x14ac:dyDescent="0.25">
      <c r="A1277">
        <v>1276</v>
      </c>
      <c r="B1277" t="s">
        <v>1297</v>
      </c>
      <c r="C1277" t="s">
        <v>29</v>
      </c>
      <c r="D1277" t="s">
        <v>32</v>
      </c>
      <c r="E1277" s="4">
        <v>25318394</v>
      </c>
      <c r="F1277">
        <v>36.25</v>
      </c>
      <c r="G1277">
        <v>5.1100000000000003</v>
      </c>
      <c r="H1277">
        <v>306.76</v>
      </c>
      <c r="I1277">
        <v>14.1</v>
      </c>
      <c r="J1277" s="5">
        <v>46060</v>
      </c>
      <c r="K1277">
        <f t="shared" si="19"/>
        <v>38.93</v>
      </c>
      <c r="L1277" t="str" cm="1">
        <f t="array" ref="L1277">_xlfn.IFS(E1277&gt;=52000000,"Platinum",E1277&gt;=37000000,"Gold",E1277&gt;=30000000,"Sliver",E1277&lt;30000000,"Bronze")</f>
        <v>Bronze</v>
      </c>
    </row>
    <row r="1278" spans="1:12" x14ac:dyDescent="0.25">
      <c r="A1278">
        <v>1277</v>
      </c>
      <c r="B1278" t="s">
        <v>1298</v>
      </c>
      <c r="C1278" t="s">
        <v>21</v>
      </c>
      <c r="D1278" t="s">
        <v>11</v>
      </c>
      <c r="E1278" s="4">
        <v>32707812</v>
      </c>
      <c r="F1278">
        <v>45.93</v>
      </c>
      <c r="G1278">
        <v>2.72</v>
      </c>
      <c r="H1278">
        <v>162.99</v>
      </c>
      <c r="I1278">
        <v>5.91</v>
      </c>
      <c r="J1278" s="5">
        <v>46060</v>
      </c>
      <c r="K1278">
        <f t="shared" si="19"/>
        <v>29.99</v>
      </c>
      <c r="L1278" t="str" cm="1">
        <f t="array" ref="L1278">_xlfn.IFS(E1278&gt;=52000000,"Platinum",E1278&gt;=37000000,"Gold",E1278&gt;=30000000,"Sliver",E1278&lt;30000000,"Bronze")</f>
        <v>Sliver</v>
      </c>
    </row>
    <row r="1279" spans="1:12" x14ac:dyDescent="0.25">
      <c r="A1279">
        <v>1278</v>
      </c>
      <c r="B1279" t="s">
        <v>1299</v>
      </c>
      <c r="C1279" t="s">
        <v>16</v>
      </c>
      <c r="D1279" t="s">
        <v>32</v>
      </c>
      <c r="E1279" s="4">
        <v>30915223</v>
      </c>
      <c r="F1279">
        <v>37.39</v>
      </c>
      <c r="G1279">
        <v>8.7100000000000009</v>
      </c>
      <c r="H1279">
        <v>522.70000000000005</v>
      </c>
      <c r="I1279">
        <v>23.3</v>
      </c>
      <c r="J1279" s="5">
        <v>46060</v>
      </c>
      <c r="K1279">
        <f t="shared" si="19"/>
        <v>42.96</v>
      </c>
      <c r="L1279" t="str" cm="1">
        <f t="array" ref="L1279">_xlfn.IFS(E1279&gt;=52000000,"Platinum",E1279&gt;=37000000,"Gold",E1279&gt;=30000000,"Sliver",E1279&lt;30000000,"Bronze")</f>
        <v>Sliver</v>
      </c>
    </row>
    <row r="1280" spans="1:12" x14ac:dyDescent="0.25">
      <c r="A1280">
        <v>1279</v>
      </c>
      <c r="B1280" t="s">
        <v>1300</v>
      </c>
      <c r="C1280" t="s">
        <v>16</v>
      </c>
      <c r="D1280" t="s">
        <v>32</v>
      </c>
      <c r="E1280" s="4">
        <v>31456167</v>
      </c>
      <c r="F1280">
        <v>50.46</v>
      </c>
      <c r="G1280">
        <v>4.74</v>
      </c>
      <c r="H1280">
        <v>284.27999999999997</v>
      </c>
      <c r="I1280">
        <v>9.39</v>
      </c>
      <c r="J1280" s="5">
        <v>46060</v>
      </c>
      <c r="K1280">
        <f t="shared" si="19"/>
        <v>29.47</v>
      </c>
      <c r="L1280" t="str" cm="1">
        <f t="array" ref="L1280">_xlfn.IFS(E1280&gt;=52000000,"Platinum",E1280&gt;=37000000,"Gold",E1280&gt;=30000000,"Sliver",E1280&lt;30000000,"Bronze")</f>
        <v>Sliver</v>
      </c>
    </row>
    <row r="1281" spans="1:12" x14ac:dyDescent="0.25">
      <c r="A1281">
        <v>1280</v>
      </c>
      <c r="B1281" t="s">
        <v>1301</v>
      </c>
      <c r="C1281" t="s">
        <v>29</v>
      </c>
      <c r="D1281" t="s">
        <v>17</v>
      </c>
      <c r="E1281" s="4">
        <v>27963790</v>
      </c>
      <c r="F1281">
        <v>37.340000000000003</v>
      </c>
      <c r="G1281">
        <v>7.82</v>
      </c>
      <c r="H1281">
        <v>469.17</v>
      </c>
      <c r="I1281">
        <v>20.94</v>
      </c>
      <c r="J1281" s="5">
        <v>46060</v>
      </c>
      <c r="K1281">
        <f t="shared" si="19"/>
        <v>41.8</v>
      </c>
      <c r="L1281" t="str" cm="1">
        <f t="array" ref="L1281">_xlfn.IFS(E1281&gt;=52000000,"Platinum",E1281&gt;=37000000,"Gold",E1281&gt;=30000000,"Sliver",E1281&lt;30000000,"Bronze")</f>
        <v>Bronze</v>
      </c>
    </row>
    <row r="1282" spans="1:12" x14ac:dyDescent="0.25">
      <c r="A1282">
        <v>1281</v>
      </c>
      <c r="B1282" t="s">
        <v>1302</v>
      </c>
      <c r="C1282" t="s">
        <v>16</v>
      </c>
      <c r="D1282" t="s">
        <v>13</v>
      </c>
      <c r="E1282" s="4">
        <v>33193649</v>
      </c>
      <c r="F1282">
        <v>50.16</v>
      </c>
      <c r="G1282">
        <v>8.31</v>
      </c>
      <c r="H1282">
        <v>498.62</v>
      </c>
      <c r="I1282">
        <v>16.57</v>
      </c>
      <c r="J1282" s="5">
        <v>46060</v>
      </c>
      <c r="K1282">
        <f t="shared" si="19"/>
        <v>33.21</v>
      </c>
      <c r="L1282" t="str" cm="1">
        <f t="array" ref="L1282">_xlfn.IFS(E1282&gt;=52000000,"Platinum",E1282&gt;=37000000,"Gold",E1282&gt;=30000000,"Sliver",E1282&lt;30000000,"Bronze")</f>
        <v>Sliver</v>
      </c>
    </row>
    <row r="1283" spans="1:12" x14ac:dyDescent="0.25">
      <c r="A1283">
        <v>1282</v>
      </c>
      <c r="B1283" t="s">
        <v>1303</v>
      </c>
      <c r="C1283" t="s">
        <v>29</v>
      </c>
      <c r="D1283" t="s">
        <v>32</v>
      </c>
      <c r="E1283" s="4">
        <v>33423458</v>
      </c>
      <c r="F1283" s="1">
        <f>CALCULATION!$C$11</f>
        <v>42.81</v>
      </c>
      <c r="G1283" s="1">
        <v>6.21</v>
      </c>
      <c r="H1283">
        <v>372.63</v>
      </c>
      <c r="I1283">
        <v>12.34</v>
      </c>
      <c r="J1283" s="5">
        <v>46060</v>
      </c>
      <c r="K1283">
        <f t="shared" ref="K1283:K1346" si="20">ROUND((100-F1283)*0.5 + I1283*0.5,2)</f>
        <v>34.770000000000003</v>
      </c>
      <c r="L1283" t="str" cm="1">
        <f t="array" ref="L1283">_xlfn.IFS(E1283&gt;=52000000,"Platinum",E1283&gt;=37000000,"Gold",E1283&gt;=30000000,"Sliver",E1283&lt;30000000,"Bronze")</f>
        <v>Sliver</v>
      </c>
    </row>
    <row r="1284" spans="1:12" x14ac:dyDescent="0.25">
      <c r="A1284">
        <v>1283</v>
      </c>
      <c r="B1284" t="s">
        <v>1304</v>
      </c>
      <c r="C1284" t="s">
        <v>16</v>
      </c>
      <c r="D1284" t="s">
        <v>25</v>
      </c>
      <c r="E1284" s="4">
        <v>24231676</v>
      </c>
      <c r="F1284">
        <v>42.87</v>
      </c>
      <c r="G1284">
        <v>5.85</v>
      </c>
      <c r="H1284">
        <v>351.23</v>
      </c>
      <c r="I1284">
        <v>13.65</v>
      </c>
      <c r="J1284" s="5">
        <v>46060</v>
      </c>
      <c r="K1284">
        <f t="shared" si="20"/>
        <v>35.39</v>
      </c>
      <c r="L1284" t="str" cm="1">
        <f t="array" ref="L1284">_xlfn.IFS(E1284&gt;=52000000,"Platinum",E1284&gt;=37000000,"Gold",E1284&gt;=30000000,"Sliver",E1284&lt;30000000,"Bronze")</f>
        <v>Bronze</v>
      </c>
    </row>
    <row r="1285" spans="1:12" x14ac:dyDescent="0.25">
      <c r="A1285">
        <v>1284</v>
      </c>
      <c r="B1285" t="s">
        <v>1305</v>
      </c>
      <c r="C1285" t="s">
        <v>16</v>
      </c>
      <c r="D1285" t="s">
        <v>13</v>
      </c>
      <c r="E1285" s="4">
        <v>24731003</v>
      </c>
      <c r="F1285">
        <v>37.119999999999997</v>
      </c>
      <c r="G1285">
        <v>5.34</v>
      </c>
      <c r="H1285">
        <v>320.47000000000003</v>
      </c>
      <c r="I1285">
        <v>14.39</v>
      </c>
      <c r="J1285" s="5">
        <v>46060</v>
      </c>
      <c r="K1285">
        <f t="shared" si="20"/>
        <v>38.64</v>
      </c>
      <c r="L1285" t="str" cm="1">
        <f t="array" ref="L1285">_xlfn.IFS(E1285&gt;=52000000,"Platinum",E1285&gt;=37000000,"Gold",E1285&gt;=30000000,"Sliver",E1285&lt;30000000,"Bronze")</f>
        <v>Bronze</v>
      </c>
    </row>
    <row r="1286" spans="1:12" x14ac:dyDescent="0.25">
      <c r="A1286">
        <v>1285</v>
      </c>
      <c r="B1286" t="s">
        <v>1306</v>
      </c>
      <c r="C1286" t="s">
        <v>21</v>
      </c>
      <c r="D1286" t="s">
        <v>22</v>
      </c>
      <c r="E1286" s="4">
        <v>26600234</v>
      </c>
      <c r="F1286" s="1">
        <f>CALCULATION!$C$11</f>
        <v>42.81</v>
      </c>
      <c r="G1286" s="1">
        <v>2.9</v>
      </c>
      <c r="H1286">
        <v>174.25</v>
      </c>
      <c r="I1286">
        <v>6.81</v>
      </c>
      <c r="J1286" s="5">
        <v>46060</v>
      </c>
      <c r="K1286">
        <f t="shared" si="20"/>
        <v>32</v>
      </c>
      <c r="L1286" t="str" cm="1">
        <f t="array" ref="L1286">_xlfn.IFS(E1286&gt;=52000000,"Platinum",E1286&gt;=37000000,"Gold",E1286&gt;=30000000,"Sliver",E1286&lt;30000000,"Bronze")</f>
        <v>Bronze</v>
      </c>
    </row>
    <row r="1287" spans="1:12" x14ac:dyDescent="0.25">
      <c r="A1287">
        <v>1286</v>
      </c>
      <c r="B1287" t="s">
        <v>1307</v>
      </c>
      <c r="C1287" t="s">
        <v>21</v>
      </c>
      <c r="D1287" t="s">
        <v>17</v>
      </c>
      <c r="E1287" s="4">
        <v>25471960</v>
      </c>
      <c r="F1287">
        <v>35.25</v>
      </c>
      <c r="G1287">
        <v>2.75</v>
      </c>
      <c r="H1287">
        <v>164.81</v>
      </c>
      <c r="I1287">
        <v>7.79</v>
      </c>
      <c r="J1287" s="5">
        <v>46060</v>
      </c>
      <c r="K1287">
        <f t="shared" si="20"/>
        <v>36.270000000000003</v>
      </c>
      <c r="L1287" t="str" cm="1">
        <f t="array" ref="L1287">_xlfn.IFS(E1287&gt;=52000000,"Platinum",E1287&gt;=37000000,"Gold",E1287&gt;=30000000,"Sliver",E1287&lt;30000000,"Bronze")</f>
        <v>Bronze</v>
      </c>
    </row>
    <row r="1288" spans="1:12" x14ac:dyDescent="0.25">
      <c r="A1288">
        <v>1287</v>
      </c>
      <c r="B1288" t="s">
        <v>1308</v>
      </c>
      <c r="C1288" t="s">
        <v>16</v>
      </c>
      <c r="D1288" t="s">
        <v>32</v>
      </c>
      <c r="E1288" s="4">
        <v>27604236</v>
      </c>
      <c r="F1288">
        <v>55.87</v>
      </c>
      <c r="G1288">
        <v>6.65</v>
      </c>
      <c r="H1288">
        <v>398.7</v>
      </c>
      <c r="I1288">
        <v>11.89</v>
      </c>
      <c r="J1288" s="5">
        <v>46060</v>
      </c>
      <c r="K1288">
        <f t="shared" si="20"/>
        <v>28.01</v>
      </c>
      <c r="L1288" t="str" cm="1">
        <f t="array" ref="L1288">_xlfn.IFS(E1288&gt;=52000000,"Platinum",E1288&gt;=37000000,"Gold",E1288&gt;=30000000,"Sliver",E1288&lt;30000000,"Bronze")</f>
        <v>Bronze</v>
      </c>
    </row>
    <row r="1289" spans="1:12" x14ac:dyDescent="0.25">
      <c r="A1289">
        <v>1288</v>
      </c>
      <c r="B1289" t="s">
        <v>1309</v>
      </c>
      <c r="C1289" t="s">
        <v>21</v>
      </c>
      <c r="D1289" t="s">
        <v>22</v>
      </c>
      <c r="E1289" s="4">
        <v>29499103</v>
      </c>
      <c r="F1289">
        <v>35.21</v>
      </c>
      <c r="G1289">
        <v>1.43</v>
      </c>
      <c r="H1289">
        <v>85.7</v>
      </c>
      <c r="I1289">
        <v>4.0599999999999996</v>
      </c>
      <c r="J1289" s="5">
        <v>46060</v>
      </c>
      <c r="K1289">
        <f t="shared" si="20"/>
        <v>34.43</v>
      </c>
      <c r="L1289" t="str" cm="1">
        <f t="array" ref="L1289">_xlfn.IFS(E1289&gt;=52000000,"Platinum",E1289&gt;=37000000,"Gold",E1289&gt;=30000000,"Sliver",E1289&lt;30000000,"Bronze")</f>
        <v>Bronze</v>
      </c>
    </row>
    <row r="1290" spans="1:12" x14ac:dyDescent="0.25">
      <c r="A1290">
        <v>1289</v>
      </c>
      <c r="B1290" t="s">
        <v>1310</v>
      </c>
      <c r="C1290" t="s">
        <v>16</v>
      </c>
      <c r="D1290" t="s">
        <v>17</v>
      </c>
      <c r="E1290" s="4">
        <v>22544617</v>
      </c>
      <c r="F1290">
        <v>56.94</v>
      </c>
      <c r="G1290">
        <v>7.94</v>
      </c>
      <c r="H1290">
        <v>476.46</v>
      </c>
      <c r="I1290">
        <v>13.95</v>
      </c>
      <c r="J1290" s="5">
        <v>46060</v>
      </c>
      <c r="K1290">
        <f t="shared" si="20"/>
        <v>28.51</v>
      </c>
      <c r="L1290" t="str" cm="1">
        <f t="array" ref="L1290">_xlfn.IFS(E1290&gt;=52000000,"Platinum",E1290&gt;=37000000,"Gold",E1290&gt;=30000000,"Sliver",E1290&lt;30000000,"Bronze")</f>
        <v>Bronze</v>
      </c>
    </row>
    <row r="1291" spans="1:12" x14ac:dyDescent="0.25">
      <c r="A1291">
        <v>1290</v>
      </c>
      <c r="B1291" t="s">
        <v>1311</v>
      </c>
      <c r="C1291" t="s">
        <v>16</v>
      </c>
      <c r="D1291" t="s">
        <v>13</v>
      </c>
      <c r="E1291" s="4">
        <v>33220210</v>
      </c>
      <c r="F1291">
        <v>31.93</v>
      </c>
      <c r="G1291">
        <v>5.61</v>
      </c>
      <c r="H1291">
        <v>336.6</v>
      </c>
      <c r="I1291">
        <v>17.57</v>
      </c>
      <c r="J1291" s="5">
        <v>46060</v>
      </c>
      <c r="K1291">
        <f t="shared" si="20"/>
        <v>42.82</v>
      </c>
      <c r="L1291" t="str" cm="1">
        <f t="array" ref="L1291">_xlfn.IFS(E1291&gt;=52000000,"Platinum",E1291&gt;=37000000,"Gold",E1291&gt;=30000000,"Sliver",E1291&lt;30000000,"Bronze")</f>
        <v>Sliver</v>
      </c>
    </row>
    <row r="1292" spans="1:12" x14ac:dyDescent="0.25">
      <c r="A1292">
        <v>1291</v>
      </c>
      <c r="B1292" t="s">
        <v>1312</v>
      </c>
      <c r="C1292" t="s">
        <v>27</v>
      </c>
      <c r="D1292" t="s">
        <v>13</v>
      </c>
      <c r="E1292" s="4">
        <v>27517692</v>
      </c>
      <c r="F1292">
        <v>18.86</v>
      </c>
      <c r="G1292">
        <v>34.31</v>
      </c>
      <c r="H1292">
        <v>2058.61</v>
      </c>
      <c r="I1292">
        <v>181.92</v>
      </c>
      <c r="J1292" s="5">
        <v>46060</v>
      </c>
      <c r="K1292">
        <f t="shared" si="20"/>
        <v>131.53</v>
      </c>
      <c r="L1292" t="str" cm="1">
        <f t="array" ref="L1292">_xlfn.IFS(E1292&gt;=52000000,"Platinum",E1292&gt;=37000000,"Gold",E1292&gt;=30000000,"Sliver",E1292&lt;30000000,"Bronze")</f>
        <v>Bronze</v>
      </c>
    </row>
    <row r="1293" spans="1:12" x14ac:dyDescent="0.25">
      <c r="A1293">
        <v>1292</v>
      </c>
      <c r="B1293" t="s">
        <v>1313</v>
      </c>
      <c r="C1293" t="s">
        <v>21</v>
      </c>
      <c r="D1293" t="s">
        <v>32</v>
      </c>
      <c r="E1293" s="4">
        <v>29912095</v>
      </c>
      <c r="F1293">
        <v>46.56</v>
      </c>
      <c r="G1293">
        <v>2.44</v>
      </c>
      <c r="H1293">
        <v>146.37</v>
      </c>
      <c r="I1293">
        <v>5.24</v>
      </c>
      <c r="J1293" s="5">
        <v>46060</v>
      </c>
      <c r="K1293">
        <f t="shared" si="20"/>
        <v>29.34</v>
      </c>
      <c r="L1293" t="str" cm="1">
        <f t="array" ref="L1293">_xlfn.IFS(E1293&gt;=52000000,"Platinum",E1293&gt;=37000000,"Gold",E1293&gt;=30000000,"Sliver",E1293&lt;30000000,"Bronze")</f>
        <v>Bronze</v>
      </c>
    </row>
    <row r="1294" spans="1:12" x14ac:dyDescent="0.25">
      <c r="A1294">
        <v>1293</v>
      </c>
      <c r="B1294" t="s">
        <v>1314</v>
      </c>
      <c r="C1294" t="s">
        <v>21</v>
      </c>
      <c r="D1294" t="s">
        <v>32</v>
      </c>
      <c r="E1294" s="4">
        <v>31670777</v>
      </c>
      <c r="F1294">
        <v>38.18</v>
      </c>
      <c r="G1294">
        <v>2.06</v>
      </c>
      <c r="H1294">
        <v>123.65</v>
      </c>
      <c r="I1294">
        <v>5.4</v>
      </c>
      <c r="J1294" s="5">
        <v>46060</v>
      </c>
      <c r="K1294">
        <f t="shared" si="20"/>
        <v>33.61</v>
      </c>
      <c r="L1294" t="str" cm="1">
        <f t="array" ref="L1294">_xlfn.IFS(E1294&gt;=52000000,"Platinum",E1294&gt;=37000000,"Gold",E1294&gt;=30000000,"Sliver",E1294&lt;30000000,"Bronze")</f>
        <v>Sliver</v>
      </c>
    </row>
    <row r="1295" spans="1:12" x14ac:dyDescent="0.25">
      <c r="A1295">
        <v>1294</v>
      </c>
      <c r="B1295" t="s">
        <v>1315</v>
      </c>
      <c r="C1295" t="s">
        <v>16</v>
      </c>
      <c r="D1295" t="s">
        <v>13</v>
      </c>
      <c r="E1295" s="4">
        <v>29551298</v>
      </c>
      <c r="F1295">
        <v>39.729999999999997</v>
      </c>
      <c r="G1295">
        <v>4.3099999999999996</v>
      </c>
      <c r="H1295">
        <v>258.86</v>
      </c>
      <c r="I1295">
        <v>10.86</v>
      </c>
      <c r="J1295" s="5">
        <v>46060</v>
      </c>
      <c r="K1295">
        <f t="shared" si="20"/>
        <v>35.57</v>
      </c>
      <c r="L1295" t="str" cm="1">
        <f t="array" ref="L1295">_xlfn.IFS(E1295&gt;=52000000,"Platinum",E1295&gt;=37000000,"Gold",E1295&gt;=30000000,"Sliver",E1295&lt;30000000,"Bronze")</f>
        <v>Bronze</v>
      </c>
    </row>
    <row r="1296" spans="1:12" x14ac:dyDescent="0.25">
      <c r="A1296">
        <v>1295</v>
      </c>
      <c r="B1296" t="s">
        <v>1316</v>
      </c>
      <c r="C1296" t="s">
        <v>10</v>
      </c>
      <c r="D1296" t="s">
        <v>32</v>
      </c>
      <c r="E1296" s="4">
        <v>31487617</v>
      </c>
      <c r="F1296">
        <v>52.15</v>
      </c>
      <c r="G1296">
        <v>9.57</v>
      </c>
      <c r="H1296">
        <v>574.21</v>
      </c>
      <c r="I1296">
        <v>18.350000000000001</v>
      </c>
      <c r="J1296" s="5">
        <v>46060</v>
      </c>
      <c r="K1296">
        <f t="shared" si="20"/>
        <v>33.1</v>
      </c>
      <c r="L1296" t="str" cm="1">
        <f t="array" ref="L1296">_xlfn.IFS(E1296&gt;=52000000,"Platinum",E1296&gt;=37000000,"Gold",E1296&gt;=30000000,"Sliver",E1296&lt;30000000,"Bronze")</f>
        <v>Sliver</v>
      </c>
    </row>
    <row r="1297" spans="1:12" x14ac:dyDescent="0.25">
      <c r="A1297">
        <v>1296</v>
      </c>
      <c r="B1297" t="s">
        <v>1317</v>
      </c>
      <c r="C1297" t="s">
        <v>10</v>
      </c>
      <c r="D1297" t="s">
        <v>11</v>
      </c>
      <c r="E1297" s="4">
        <v>31736197</v>
      </c>
      <c r="F1297">
        <v>37.369999999999997</v>
      </c>
      <c r="G1297">
        <v>6.48</v>
      </c>
      <c r="H1297">
        <v>388.74</v>
      </c>
      <c r="I1297">
        <v>17.34</v>
      </c>
      <c r="J1297" s="5">
        <v>46060</v>
      </c>
      <c r="K1297">
        <f t="shared" si="20"/>
        <v>39.99</v>
      </c>
      <c r="L1297" t="str" cm="1">
        <f t="array" ref="L1297">_xlfn.IFS(E1297&gt;=52000000,"Platinum",E1297&gt;=37000000,"Gold",E1297&gt;=30000000,"Sliver",E1297&lt;30000000,"Bronze")</f>
        <v>Sliver</v>
      </c>
    </row>
    <row r="1298" spans="1:12" x14ac:dyDescent="0.25">
      <c r="A1298">
        <v>1297</v>
      </c>
      <c r="B1298" t="s">
        <v>1318</v>
      </c>
      <c r="C1298" t="s">
        <v>10</v>
      </c>
      <c r="D1298" t="s">
        <v>25</v>
      </c>
      <c r="E1298" s="4">
        <v>32002374</v>
      </c>
      <c r="F1298" s="1">
        <f>CALCULATION!$C$11</f>
        <v>42.81</v>
      </c>
      <c r="G1298" s="1">
        <v>2.4300000000000002</v>
      </c>
      <c r="H1298">
        <v>145.53</v>
      </c>
      <c r="I1298">
        <v>4.34</v>
      </c>
      <c r="J1298" s="5">
        <v>46060</v>
      </c>
      <c r="K1298">
        <f t="shared" si="20"/>
        <v>30.77</v>
      </c>
      <c r="L1298" t="str" cm="1">
        <f t="array" ref="L1298">_xlfn.IFS(E1298&gt;=52000000,"Platinum",E1298&gt;=37000000,"Gold",E1298&gt;=30000000,"Sliver",E1298&lt;30000000,"Bronze")</f>
        <v>Sliver</v>
      </c>
    </row>
    <row r="1299" spans="1:12" x14ac:dyDescent="0.25">
      <c r="A1299">
        <v>1298</v>
      </c>
      <c r="B1299" t="s">
        <v>1319</v>
      </c>
      <c r="C1299" t="s">
        <v>21</v>
      </c>
      <c r="D1299" t="s">
        <v>22</v>
      </c>
      <c r="E1299" s="4">
        <v>26072058</v>
      </c>
      <c r="F1299">
        <v>46.85</v>
      </c>
      <c r="G1299">
        <v>1.96</v>
      </c>
      <c r="H1299">
        <v>117.36</v>
      </c>
      <c r="I1299">
        <v>4.18</v>
      </c>
      <c r="J1299" s="5">
        <v>46060</v>
      </c>
      <c r="K1299">
        <f t="shared" si="20"/>
        <v>28.67</v>
      </c>
      <c r="L1299" t="str" cm="1">
        <f t="array" ref="L1299">_xlfn.IFS(E1299&gt;=52000000,"Platinum",E1299&gt;=37000000,"Gold",E1299&gt;=30000000,"Sliver",E1299&lt;30000000,"Bronze")</f>
        <v>Bronze</v>
      </c>
    </row>
    <row r="1300" spans="1:12" x14ac:dyDescent="0.25">
      <c r="A1300">
        <v>1299</v>
      </c>
      <c r="B1300" t="s">
        <v>1320</v>
      </c>
      <c r="C1300" t="s">
        <v>21</v>
      </c>
      <c r="D1300" t="s">
        <v>11</v>
      </c>
      <c r="E1300" s="4">
        <v>27544635</v>
      </c>
      <c r="F1300">
        <v>37.5</v>
      </c>
      <c r="G1300">
        <v>1.82</v>
      </c>
      <c r="H1300">
        <v>108.91</v>
      </c>
      <c r="I1300">
        <v>4.84</v>
      </c>
      <c r="J1300" s="5">
        <v>46060</v>
      </c>
      <c r="K1300">
        <f t="shared" si="20"/>
        <v>33.67</v>
      </c>
      <c r="L1300" t="str" cm="1">
        <f t="array" ref="L1300">_xlfn.IFS(E1300&gt;=52000000,"Platinum",E1300&gt;=37000000,"Gold",E1300&gt;=30000000,"Sliver",E1300&lt;30000000,"Bronze")</f>
        <v>Bronze</v>
      </c>
    </row>
    <row r="1301" spans="1:12" x14ac:dyDescent="0.25">
      <c r="A1301">
        <v>1300</v>
      </c>
      <c r="B1301" t="s">
        <v>1321</v>
      </c>
      <c r="C1301" t="s">
        <v>10</v>
      </c>
      <c r="D1301" t="s">
        <v>11</v>
      </c>
      <c r="E1301" s="4">
        <v>31708021</v>
      </c>
      <c r="F1301">
        <v>39.39</v>
      </c>
      <c r="G1301">
        <v>5.5</v>
      </c>
      <c r="H1301">
        <v>329.85</v>
      </c>
      <c r="I1301">
        <v>13.96</v>
      </c>
      <c r="J1301" s="5">
        <v>46060</v>
      </c>
      <c r="K1301">
        <f t="shared" si="20"/>
        <v>37.29</v>
      </c>
      <c r="L1301" t="str" cm="1">
        <f t="array" ref="L1301">_xlfn.IFS(E1301&gt;=52000000,"Platinum",E1301&gt;=37000000,"Gold",E1301&gt;=30000000,"Sliver",E1301&lt;30000000,"Bronze")</f>
        <v>Sliver</v>
      </c>
    </row>
    <row r="1302" spans="1:12" x14ac:dyDescent="0.25">
      <c r="A1302">
        <v>1301</v>
      </c>
      <c r="B1302" t="s">
        <v>1322</v>
      </c>
      <c r="C1302" t="s">
        <v>27</v>
      </c>
      <c r="D1302" t="s">
        <v>22</v>
      </c>
      <c r="E1302" s="4">
        <v>31460702</v>
      </c>
      <c r="F1302">
        <v>23.05</v>
      </c>
      <c r="G1302">
        <v>16.77</v>
      </c>
      <c r="H1302">
        <v>1006.08</v>
      </c>
      <c r="I1302">
        <v>72.75</v>
      </c>
      <c r="J1302" s="5">
        <v>46060</v>
      </c>
      <c r="K1302">
        <f t="shared" si="20"/>
        <v>74.849999999999994</v>
      </c>
      <c r="L1302" t="str" cm="1">
        <f t="array" ref="L1302">_xlfn.IFS(E1302&gt;=52000000,"Platinum",E1302&gt;=37000000,"Gold",E1302&gt;=30000000,"Sliver",E1302&lt;30000000,"Bronze")</f>
        <v>Sliver</v>
      </c>
    </row>
    <row r="1303" spans="1:12" x14ac:dyDescent="0.25">
      <c r="A1303">
        <v>1302</v>
      </c>
      <c r="B1303" t="s">
        <v>1323</v>
      </c>
      <c r="C1303" t="s">
        <v>16</v>
      </c>
      <c r="D1303" t="s">
        <v>32</v>
      </c>
      <c r="E1303" s="4">
        <v>22173679</v>
      </c>
      <c r="F1303">
        <v>34.01</v>
      </c>
      <c r="G1303">
        <v>6.4</v>
      </c>
      <c r="H1303">
        <v>383.82</v>
      </c>
      <c r="I1303">
        <v>18.809999999999999</v>
      </c>
      <c r="J1303" s="5">
        <v>46060</v>
      </c>
      <c r="K1303">
        <f t="shared" si="20"/>
        <v>42.4</v>
      </c>
      <c r="L1303" t="str" cm="1">
        <f t="array" ref="L1303">_xlfn.IFS(E1303&gt;=52000000,"Platinum",E1303&gt;=37000000,"Gold",E1303&gt;=30000000,"Sliver",E1303&lt;30000000,"Bronze")</f>
        <v>Bronze</v>
      </c>
    </row>
    <row r="1304" spans="1:12" x14ac:dyDescent="0.25">
      <c r="A1304">
        <v>1303</v>
      </c>
      <c r="B1304" t="s">
        <v>1324</v>
      </c>
      <c r="C1304" t="s">
        <v>29</v>
      </c>
      <c r="D1304" t="s">
        <v>13</v>
      </c>
      <c r="E1304" s="4">
        <v>25805874</v>
      </c>
      <c r="F1304">
        <v>56.17</v>
      </c>
      <c r="G1304">
        <v>5.34</v>
      </c>
      <c r="H1304">
        <v>320.36</v>
      </c>
      <c r="I1304">
        <v>9.51</v>
      </c>
      <c r="J1304" s="5">
        <v>46060</v>
      </c>
      <c r="K1304">
        <f t="shared" si="20"/>
        <v>26.67</v>
      </c>
      <c r="L1304" t="str" cm="1">
        <f t="array" ref="L1304">_xlfn.IFS(E1304&gt;=52000000,"Platinum",E1304&gt;=37000000,"Gold",E1304&gt;=30000000,"Sliver",E1304&lt;30000000,"Bronze")</f>
        <v>Bronze</v>
      </c>
    </row>
    <row r="1305" spans="1:12" x14ac:dyDescent="0.25">
      <c r="A1305">
        <v>1304</v>
      </c>
      <c r="B1305" t="s">
        <v>1325</v>
      </c>
      <c r="C1305" t="s">
        <v>10</v>
      </c>
      <c r="D1305" t="s">
        <v>25</v>
      </c>
      <c r="E1305" s="4">
        <v>27096255</v>
      </c>
      <c r="F1305">
        <v>37.020000000000003</v>
      </c>
      <c r="G1305">
        <v>2.62</v>
      </c>
      <c r="H1305">
        <v>156.97</v>
      </c>
      <c r="I1305">
        <v>7.07</v>
      </c>
      <c r="J1305" s="5">
        <v>46060</v>
      </c>
      <c r="K1305">
        <f t="shared" si="20"/>
        <v>35.03</v>
      </c>
      <c r="L1305" t="str" cm="1">
        <f t="array" ref="L1305">_xlfn.IFS(E1305&gt;=52000000,"Platinum",E1305&gt;=37000000,"Gold",E1305&gt;=30000000,"Sliver",E1305&lt;30000000,"Bronze")</f>
        <v>Bronze</v>
      </c>
    </row>
    <row r="1306" spans="1:12" x14ac:dyDescent="0.25">
      <c r="A1306">
        <v>1305</v>
      </c>
      <c r="B1306" t="s">
        <v>1326</v>
      </c>
      <c r="C1306" t="s">
        <v>19</v>
      </c>
      <c r="D1306" t="s">
        <v>32</v>
      </c>
      <c r="E1306" s="4">
        <v>22894698</v>
      </c>
      <c r="F1306">
        <v>55.29</v>
      </c>
      <c r="G1306">
        <v>4.4400000000000004</v>
      </c>
      <c r="H1306">
        <v>266.54000000000002</v>
      </c>
      <c r="I1306">
        <v>8.0299999999999994</v>
      </c>
      <c r="J1306" s="5">
        <v>46060</v>
      </c>
      <c r="K1306">
        <f t="shared" si="20"/>
        <v>26.37</v>
      </c>
      <c r="L1306" t="str" cm="1">
        <f t="array" ref="L1306">_xlfn.IFS(E1306&gt;=52000000,"Platinum",E1306&gt;=37000000,"Gold",E1306&gt;=30000000,"Sliver",E1306&lt;30000000,"Bronze")</f>
        <v>Bronze</v>
      </c>
    </row>
    <row r="1307" spans="1:12" x14ac:dyDescent="0.25">
      <c r="A1307">
        <v>1306</v>
      </c>
      <c r="B1307" t="s">
        <v>1327</v>
      </c>
      <c r="C1307" t="s">
        <v>10</v>
      </c>
      <c r="D1307" t="s">
        <v>11</v>
      </c>
      <c r="E1307" s="4">
        <v>22182827</v>
      </c>
      <c r="F1307">
        <v>40.17</v>
      </c>
      <c r="G1307">
        <v>7.66</v>
      </c>
      <c r="H1307">
        <v>459.45</v>
      </c>
      <c r="I1307">
        <v>19.059999999999999</v>
      </c>
      <c r="J1307" s="5">
        <v>46060</v>
      </c>
      <c r="K1307">
        <f t="shared" si="20"/>
        <v>39.450000000000003</v>
      </c>
      <c r="L1307" t="str" cm="1">
        <f t="array" ref="L1307">_xlfn.IFS(E1307&gt;=52000000,"Platinum",E1307&gt;=37000000,"Gold",E1307&gt;=30000000,"Sliver",E1307&lt;30000000,"Bronze")</f>
        <v>Bronze</v>
      </c>
    </row>
    <row r="1308" spans="1:12" x14ac:dyDescent="0.25">
      <c r="A1308">
        <v>1307</v>
      </c>
      <c r="B1308" t="s">
        <v>1328</v>
      </c>
      <c r="C1308" t="s">
        <v>19</v>
      </c>
      <c r="D1308" t="s">
        <v>11</v>
      </c>
      <c r="E1308" s="4">
        <v>30271905</v>
      </c>
      <c r="F1308">
        <v>49.47</v>
      </c>
      <c r="G1308">
        <v>5.72</v>
      </c>
      <c r="H1308" s="1">
        <f>CALCULATION!$D$11</f>
        <v>343.315</v>
      </c>
      <c r="I1308">
        <v>9.43</v>
      </c>
      <c r="J1308" s="5">
        <v>46060</v>
      </c>
      <c r="K1308">
        <f t="shared" si="20"/>
        <v>29.98</v>
      </c>
      <c r="L1308" t="str" cm="1">
        <f t="array" ref="L1308">_xlfn.IFS(E1308&gt;=52000000,"Platinum",E1308&gt;=37000000,"Gold",E1308&gt;=30000000,"Sliver",E1308&lt;30000000,"Bronze")</f>
        <v>Sliver</v>
      </c>
    </row>
    <row r="1309" spans="1:12" x14ac:dyDescent="0.25">
      <c r="A1309">
        <v>1308</v>
      </c>
      <c r="B1309" t="s">
        <v>1329</v>
      </c>
      <c r="C1309" t="s">
        <v>46</v>
      </c>
      <c r="D1309" t="s">
        <v>13</v>
      </c>
      <c r="E1309" s="4">
        <v>30443138</v>
      </c>
      <c r="F1309">
        <v>41.52</v>
      </c>
      <c r="G1309">
        <v>6.93</v>
      </c>
      <c r="H1309">
        <v>415.61</v>
      </c>
      <c r="I1309">
        <v>16.68</v>
      </c>
      <c r="J1309" s="5">
        <v>46060</v>
      </c>
      <c r="K1309">
        <f t="shared" si="20"/>
        <v>37.58</v>
      </c>
      <c r="L1309" t="str" cm="1">
        <f t="array" ref="L1309">_xlfn.IFS(E1309&gt;=52000000,"Platinum",E1309&gt;=37000000,"Gold",E1309&gt;=30000000,"Sliver",E1309&lt;30000000,"Bronze")</f>
        <v>Sliver</v>
      </c>
    </row>
    <row r="1310" spans="1:12" x14ac:dyDescent="0.25">
      <c r="A1310">
        <v>1309</v>
      </c>
      <c r="B1310" t="s">
        <v>1330</v>
      </c>
      <c r="C1310" t="s">
        <v>29</v>
      </c>
      <c r="D1310" t="s">
        <v>11</v>
      </c>
      <c r="E1310" s="4">
        <v>32131296</v>
      </c>
      <c r="F1310">
        <v>51.2</v>
      </c>
      <c r="G1310">
        <v>5.83</v>
      </c>
      <c r="H1310">
        <v>349.78</v>
      </c>
      <c r="I1310">
        <v>11.39</v>
      </c>
      <c r="J1310" s="5">
        <v>46060</v>
      </c>
      <c r="K1310">
        <f t="shared" si="20"/>
        <v>30.1</v>
      </c>
      <c r="L1310" t="str" cm="1">
        <f t="array" ref="L1310">_xlfn.IFS(E1310&gt;=52000000,"Platinum",E1310&gt;=37000000,"Gold",E1310&gt;=30000000,"Sliver",E1310&lt;30000000,"Bronze")</f>
        <v>Sliver</v>
      </c>
    </row>
    <row r="1311" spans="1:12" x14ac:dyDescent="0.25">
      <c r="A1311">
        <v>1310</v>
      </c>
      <c r="B1311" t="s">
        <v>1331</v>
      </c>
      <c r="C1311" t="s">
        <v>21</v>
      </c>
      <c r="D1311" t="s">
        <v>25</v>
      </c>
      <c r="E1311" s="4">
        <v>30876306</v>
      </c>
      <c r="F1311">
        <v>38</v>
      </c>
      <c r="G1311">
        <v>2.95</v>
      </c>
      <c r="H1311">
        <v>177.03</v>
      </c>
      <c r="I1311">
        <v>7.76</v>
      </c>
      <c r="J1311" s="5">
        <v>46060</v>
      </c>
      <c r="K1311">
        <f t="shared" si="20"/>
        <v>34.880000000000003</v>
      </c>
      <c r="L1311" t="str" cm="1">
        <f t="array" ref="L1311">_xlfn.IFS(E1311&gt;=52000000,"Platinum",E1311&gt;=37000000,"Gold",E1311&gt;=30000000,"Sliver",E1311&lt;30000000,"Bronze")</f>
        <v>Sliver</v>
      </c>
    </row>
    <row r="1312" spans="1:12" x14ac:dyDescent="0.25">
      <c r="A1312">
        <v>1311</v>
      </c>
      <c r="B1312" t="s">
        <v>1332</v>
      </c>
      <c r="C1312" t="s">
        <v>19</v>
      </c>
      <c r="D1312" t="s">
        <v>32</v>
      </c>
      <c r="E1312" s="4">
        <v>26569651</v>
      </c>
      <c r="F1312">
        <v>38.340000000000003</v>
      </c>
      <c r="G1312">
        <v>2.66</v>
      </c>
      <c r="H1312">
        <v>159.65</v>
      </c>
      <c r="I1312">
        <v>6.94</v>
      </c>
      <c r="J1312" s="5">
        <v>46060</v>
      </c>
      <c r="K1312">
        <f t="shared" si="20"/>
        <v>34.299999999999997</v>
      </c>
      <c r="L1312" t="str" cm="1">
        <f t="array" ref="L1312">_xlfn.IFS(E1312&gt;=52000000,"Platinum",E1312&gt;=37000000,"Gold",E1312&gt;=30000000,"Sliver",E1312&lt;30000000,"Bronze")</f>
        <v>Bronze</v>
      </c>
    </row>
    <row r="1313" spans="1:12" x14ac:dyDescent="0.25">
      <c r="A1313">
        <v>1312</v>
      </c>
      <c r="B1313" t="s">
        <v>1333</v>
      </c>
      <c r="C1313" t="s">
        <v>10</v>
      </c>
      <c r="D1313" t="s">
        <v>22</v>
      </c>
      <c r="E1313" s="4">
        <v>24856818</v>
      </c>
      <c r="F1313">
        <v>53.19</v>
      </c>
      <c r="G1313">
        <v>5.72</v>
      </c>
      <c r="H1313" s="1">
        <f>CALCULATION!$D$11</f>
        <v>343.315</v>
      </c>
      <c r="I1313">
        <v>9.7899999999999991</v>
      </c>
      <c r="J1313" s="5">
        <v>46060</v>
      </c>
      <c r="K1313">
        <f t="shared" si="20"/>
        <v>28.3</v>
      </c>
      <c r="L1313" t="str" cm="1">
        <f t="array" ref="L1313">_xlfn.IFS(E1313&gt;=52000000,"Platinum",E1313&gt;=37000000,"Gold",E1313&gt;=30000000,"Sliver",E1313&lt;30000000,"Bronze")</f>
        <v>Bronze</v>
      </c>
    </row>
    <row r="1314" spans="1:12" x14ac:dyDescent="0.25">
      <c r="A1314">
        <v>1313</v>
      </c>
      <c r="B1314" t="s">
        <v>1334</v>
      </c>
      <c r="C1314" t="s">
        <v>29</v>
      </c>
      <c r="D1314" t="s">
        <v>17</v>
      </c>
      <c r="E1314" s="4">
        <v>32031818</v>
      </c>
      <c r="F1314">
        <v>39.700000000000003</v>
      </c>
      <c r="G1314">
        <v>8.52</v>
      </c>
      <c r="H1314">
        <v>511.28</v>
      </c>
      <c r="I1314">
        <v>21.46</v>
      </c>
      <c r="J1314" s="5">
        <v>46060</v>
      </c>
      <c r="K1314">
        <f t="shared" si="20"/>
        <v>40.880000000000003</v>
      </c>
      <c r="L1314" t="str" cm="1">
        <f t="array" ref="L1314">_xlfn.IFS(E1314&gt;=52000000,"Platinum",E1314&gt;=37000000,"Gold",E1314&gt;=30000000,"Sliver",E1314&lt;30000000,"Bronze")</f>
        <v>Sliver</v>
      </c>
    </row>
    <row r="1315" spans="1:12" x14ac:dyDescent="0.25">
      <c r="A1315">
        <v>1314</v>
      </c>
      <c r="B1315" t="s">
        <v>1335</v>
      </c>
      <c r="C1315" t="s">
        <v>29</v>
      </c>
      <c r="D1315" t="s">
        <v>11</v>
      </c>
      <c r="E1315" s="4">
        <v>26510445</v>
      </c>
      <c r="F1315">
        <v>31.5</v>
      </c>
      <c r="G1315">
        <v>9.64</v>
      </c>
      <c r="H1315">
        <v>578.19000000000005</v>
      </c>
      <c r="I1315">
        <v>30.59</v>
      </c>
      <c r="J1315" s="5">
        <v>46060</v>
      </c>
      <c r="K1315">
        <f t="shared" si="20"/>
        <v>49.55</v>
      </c>
      <c r="L1315" t="str" cm="1">
        <f t="array" ref="L1315">_xlfn.IFS(E1315&gt;=52000000,"Platinum",E1315&gt;=37000000,"Gold",E1315&gt;=30000000,"Sliver",E1315&lt;30000000,"Bronze")</f>
        <v>Bronze</v>
      </c>
    </row>
    <row r="1316" spans="1:12" x14ac:dyDescent="0.25">
      <c r="A1316">
        <v>1315</v>
      </c>
      <c r="B1316" t="s">
        <v>1336</v>
      </c>
      <c r="C1316" t="s">
        <v>46</v>
      </c>
      <c r="D1316" t="s">
        <v>25</v>
      </c>
      <c r="E1316" s="4">
        <v>31466937</v>
      </c>
      <c r="F1316">
        <v>58.96</v>
      </c>
      <c r="G1316">
        <v>3.32</v>
      </c>
      <c r="H1316">
        <v>199.41</v>
      </c>
      <c r="I1316">
        <v>5.64</v>
      </c>
      <c r="J1316" s="5">
        <v>46060</v>
      </c>
      <c r="K1316">
        <f t="shared" si="20"/>
        <v>23.34</v>
      </c>
      <c r="L1316" t="str" cm="1">
        <f t="array" ref="L1316">_xlfn.IFS(E1316&gt;=52000000,"Platinum",E1316&gt;=37000000,"Gold",E1316&gt;=30000000,"Sliver",E1316&lt;30000000,"Bronze")</f>
        <v>Sliver</v>
      </c>
    </row>
    <row r="1317" spans="1:12" x14ac:dyDescent="0.25">
      <c r="A1317">
        <v>1316</v>
      </c>
      <c r="B1317" t="s">
        <v>1337</v>
      </c>
      <c r="C1317" t="s">
        <v>21</v>
      </c>
      <c r="D1317" t="s">
        <v>32</v>
      </c>
      <c r="E1317" s="4">
        <v>25847979</v>
      </c>
      <c r="F1317">
        <v>42.48</v>
      </c>
      <c r="G1317">
        <v>1.82</v>
      </c>
      <c r="H1317">
        <v>109.45</v>
      </c>
      <c r="I1317">
        <v>4.29</v>
      </c>
      <c r="J1317" s="5">
        <v>46060</v>
      </c>
      <c r="K1317">
        <f t="shared" si="20"/>
        <v>30.91</v>
      </c>
      <c r="L1317" t="str" cm="1">
        <f t="array" ref="L1317">_xlfn.IFS(E1317&gt;=52000000,"Platinum",E1317&gt;=37000000,"Gold",E1317&gt;=30000000,"Sliver",E1317&lt;30000000,"Bronze")</f>
        <v>Bronze</v>
      </c>
    </row>
    <row r="1318" spans="1:12" x14ac:dyDescent="0.25">
      <c r="A1318">
        <v>1317</v>
      </c>
      <c r="B1318" t="s">
        <v>1338</v>
      </c>
      <c r="C1318" t="s">
        <v>27</v>
      </c>
      <c r="D1318" t="s">
        <v>22</v>
      </c>
      <c r="E1318" s="4">
        <v>31545383</v>
      </c>
      <c r="F1318">
        <v>22.63</v>
      </c>
      <c r="G1318">
        <v>18.420000000000002</v>
      </c>
      <c r="H1318">
        <v>1105.25</v>
      </c>
      <c r="I1318">
        <v>81.400000000000006</v>
      </c>
      <c r="J1318" s="5">
        <v>46060</v>
      </c>
      <c r="K1318">
        <f t="shared" si="20"/>
        <v>79.39</v>
      </c>
      <c r="L1318" t="str" cm="1">
        <f t="array" ref="L1318">_xlfn.IFS(E1318&gt;=52000000,"Platinum",E1318&gt;=37000000,"Gold",E1318&gt;=30000000,"Sliver",E1318&lt;30000000,"Bronze")</f>
        <v>Sliver</v>
      </c>
    </row>
    <row r="1319" spans="1:12" x14ac:dyDescent="0.25">
      <c r="A1319">
        <v>1318</v>
      </c>
      <c r="B1319" t="s">
        <v>1339</v>
      </c>
      <c r="C1319" t="s">
        <v>46</v>
      </c>
      <c r="D1319" t="s">
        <v>13</v>
      </c>
      <c r="E1319" s="4">
        <v>25727819</v>
      </c>
      <c r="F1319">
        <v>58.14</v>
      </c>
      <c r="G1319">
        <v>5.55</v>
      </c>
      <c r="H1319">
        <v>332.71</v>
      </c>
      <c r="I1319">
        <v>9.5399999999999991</v>
      </c>
      <c r="J1319" s="5">
        <v>46060</v>
      </c>
      <c r="K1319">
        <f t="shared" si="20"/>
        <v>25.7</v>
      </c>
      <c r="L1319" t="str" cm="1">
        <f t="array" ref="L1319">_xlfn.IFS(E1319&gt;=52000000,"Platinum",E1319&gt;=37000000,"Gold",E1319&gt;=30000000,"Sliver",E1319&lt;30000000,"Bronze")</f>
        <v>Bronze</v>
      </c>
    </row>
    <row r="1320" spans="1:12" x14ac:dyDescent="0.25">
      <c r="A1320">
        <v>1319</v>
      </c>
      <c r="B1320" t="s">
        <v>1340</v>
      </c>
      <c r="C1320" t="s">
        <v>19</v>
      </c>
      <c r="D1320" t="s">
        <v>13</v>
      </c>
      <c r="E1320" s="4">
        <v>24700093</v>
      </c>
      <c r="F1320">
        <v>38.1</v>
      </c>
      <c r="G1320">
        <v>6.8</v>
      </c>
      <c r="H1320">
        <v>408.29</v>
      </c>
      <c r="I1320">
        <v>17.86</v>
      </c>
      <c r="J1320" s="5">
        <v>46060</v>
      </c>
      <c r="K1320">
        <f t="shared" si="20"/>
        <v>39.880000000000003</v>
      </c>
      <c r="L1320" t="str" cm="1">
        <f t="array" ref="L1320">_xlfn.IFS(E1320&gt;=52000000,"Platinum",E1320&gt;=37000000,"Gold",E1320&gt;=30000000,"Sliver",E1320&lt;30000000,"Bronze")</f>
        <v>Bronze</v>
      </c>
    </row>
    <row r="1321" spans="1:12" x14ac:dyDescent="0.25">
      <c r="A1321">
        <v>1320</v>
      </c>
      <c r="B1321" t="s">
        <v>1341</v>
      </c>
      <c r="C1321" t="s">
        <v>21</v>
      </c>
      <c r="D1321" t="s">
        <v>11</v>
      </c>
      <c r="E1321" s="4">
        <v>23706807</v>
      </c>
      <c r="F1321">
        <v>37.81</v>
      </c>
      <c r="G1321">
        <v>2.89</v>
      </c>
      <c r="H1321">
        <v>173.17</v>
      </c>
      <c r="I1321">
        <v>7.63</v>
      </c>
      <c r="J1321" s="5">
        <v>46060</v>
      </c>
      <c r="K1321">
        <f t="shared" si="20"/>
        <v>34.909999999999997</v>
      </c>
      <c r="L1321" t="str" cm="1">
        <f t="array" ref="L1321">_xlfn.IFS(E1321&gt;=52000000,"Platinum",E1321&gt;=37000000,"Gold",E1321&gt;=30000000,"Sliver",E1321&lt;30000000,"Bronze")</f>
        <v>Bronze</v>
      </c>
    </row>
    <row r="1322" spans="1:12" x14ac:dyDescent="0.25">
      <c r="A1322">
        <v>1321</v>
      </c>
      <c r="B1322" t="s">
        <v>1342</v>
      </c>
      <c r="C1322" t="s">
        <v>19</v>
      </c>
      <c r="D1322" t="s">
        <v>32</v>
      </c>
      <c r="E1322" s="4">
        <v>32335539</v>
      </c>
      <c r="F1322">
        <v>59.03</v>
      </c>
      <c r="G1322">
        <v>5.72</v>
      </c>
      <c r="H1322" s="1">
        <f>CALCULATION!$D$11</f>
        <v>343.315</v>
      </c>
      <c r="I1322">
        <v>11.01</v>
      </c>
      <c r="J1322" s="5">
        <v>46060</v>
      </c>
      <c r="K1322">
        <f t="shared" si="20"/>
        <v>25.99</v>
      </c>
      <c r="L1322" t="str" cm="1">
        <f t="array" ref="L1322">_xlfn.IFS(E1322&gt;=52000000,"Platinum",E1322&gt;=37000000,"Gold",E1322&gt;=30000000,"Sliver",E1322&lt;30000000,"Bronze")</f>
        <v>Sliver</v>
      </c>
    </row>
    <row r="1323" spans="1:12" x14ac:dyDescent="0.25">
      <c r="A1323">
        <v>1322</v>
      </c>
      <c r="B1323" t="s">
        <v>1343</v>
      </c>
      <c r="C1323" t="s">
        <v>46</v>
      </c>
      <c r="D1323" t="s">
        <v>11</v>
      </c>
      <c r="E1323" s="4">
        <v>26624551</v>
      </c>
      <c r="F1323">
        <v>59.54</v>
      </c>
      <c r="G1323">
        <v>9.94</v>
      </c>
      <c r="H1323">
        <v>596.61</v>
      </c>
      <c r="I1323">
        <v>16.7</v>
      </c>
      <c r="J1323" s="5">
        <v>46060</v>
      </c>
      <c r="K1323">
        <f t="shared" si="20"/>
        <v>28.58</v>
      </c>
      <c r="L1323" t="str" cm="1">
        <f t="array" ref="L1323">_xlfn.IFS(E1323&gt;=52000000,"Platinum",E1323&gt;=37000000,"Gold",E1323&gt;=30000000,"Sliver",E1323&lt;30000000,"Bronze")</f>
        <v>Bronze</v>
      </c>
    </row>
    <row r="1324" spans="1:12" x14ac:dyDescent="0.25">
      <c r="A1324">
        <v>1323</v>
      </c>
      <c r="B1324" t="s">
        <v>1344</v>
      </c>
      <c r="C1324" t="s">
        <v>10</v>
      </c>
      <c r="D1324" t="s">
        <v>25</v>
      </c>
      <c r="E1324" s="4">
        <v>29393363</v>
      </c>
      <c r="F1324">
        <v>46.07</v>
      </c>
      <c r="G1324">
        <v>6.18</v>
      </c>
      <c r="H1324">
        <v>370.97</v>
      </c>
      <c r="I1324">
        <v>13.42</v>
      </c>
      <c r="J1324" s="5">
        <v>46060</v>
      </c>
      <c r="K1324">
        <f t="shared" si="20"/>
        <v>33.68</v>
      </c>
      <c r="L1324" t="str" cm="1">
        <f t="array" ref="L1324">_xlfn.IFS(E1324&gt;=52000000,"Platinum",E1324&gt;=37000000,"Gold",E1324&gt;=30000000,"Sliver",E1324&lt;30000000,"Bronze")</f>
        <v>Bronze</v>
      </c>
    </row>
    <row r="1325" spans="1:12" x14ac:dyDescent="0.25">
      <c r="A1325">
        <v>1324</v>
      </c>
      <c r="B1325" t="s">
        <v>1345</v>
      </c>
      <c r="C1325" t="s">
        <v>27</v>
      </c>
      <c r="D1325" t="s">
        <v>13</v>
      </c>
      <c r="E1325" s="4">
        <v>30111382</v>
      </c>
      <c r="F1325">
        <v>22.53</v>
      </c>
      <c r="G1325">
        <v>37.090000000000003</v>
      </c>
      <c r="H1325">
        <v>2225.4</v>
      </c>
      <c r="I1325">
        <v>164.62</v>
      </c>
      <c r="J1325" s="5">
        <v>46060</v>
      </c>
      <c r="K1325">
        <f t="shared" si="20"/>
        <v>121.05</v>
      </c>
      <c r="L1325" t="str" cm="1">
        <f t="array" ref="L1325">_xlfn.IFS(E1325&gt;=52000000,"Platinum",E1325&gt;=37000000,"Gold",E1325&gt;=30000000,"Sliver",E1325&lt;30000000,"Bronze")</f>
        <v>Sliver</v>
      </c>
    </row>
    <row r="1326" spans="1:12" x14ac:dyDescent="0.25">
      <c r="A1326">
        <v>1325</v>
      </c>
      <c r="B1326" t="s">
        <v>1346</v>
      </c>
      <c r="C1326" t="s">
        <v>19</v>
      </c>
      <c r="D1326" t="s">
        <v>17</v>
      </c>
      <c r="E1326" s="4">
        <v>22288735</v>
      </c>
      <c r="F1326">
        <v>36.57</v>
      </c>
      <c r="G1326">
        <v>3.34</v>
      </c>
      <c r="H1326">
        <v>200.29</v>
      </c>
      <c r="I1326">
        <v>9.1300000000000008</v>
      </c>
      <c r="J1326" s="5">
        <v>46060</v>
      </c>
      <c r="K1326">
        <f t="shared" si="20"/>
        <v>36.28</v>
      </c>
      <c r="L1326" t="str" cm="1">
        <f t="array" ref="L1326">_xlfn.IFS(E1326&gt;=52000000,"Platinum",E1326&gt;=37000000,"Gold",E1326&gt;=30000000,"Sliver",E1326&lt;30000000,"Bronze")</f>
        <v>Bronze</v>
      </c>
    </row>
    <row r="1327" spans="1:12" x14ac:dyDescent="0.25">
      <c r="A1327">
        <v>1326</v>
      </c>
      <c r="B1327" t="s">
        <v>1347</v>
      </c>
      <c r="C1327" t="s">
        <v>46</v>
      </c>
      <c r="D1327" t="s">
        <v>22</v>
      </c>
      <c r="E1327" s="4">
        <v>22467907</v>
      </c>
      <c r="F1327">
        <v>57.23</v>
      </c>
      <c r="G1327">
        <v>4.54</v>
      </c>
      <c r="H1327">
        <v>272.14</v>
      </c>
      <c r="I1327">
        <v>7.93</v>
      </c>
      <c r="J1327" s="5">
        <v>46060</v>
      </c>
      <c r="K1327">
        <f t="shared" si="20"/>
        <v>25.35</v>
      </c>
      <c r="L1327" t="str" cm="1">
        <f t="array" ref="L1327">_xlfn.IFS(E1327&gt;=52000000,"Platinum",E1327&gt;=37000000,"Gold",E1327&gt;=30000000,"Sliver",E1327&lt;30000000,"Bronze")</f>
        <v>Bronze</v>
      </c>
    </row>
    <row r="1328" spans="1:12" x14ac:dyDescent="0.25">
      <c r="A1328">
        <v>1327</v>
      </c>
      <c r="B1328" t="s">
        <v>1348</v>
      </c>
      <c r="C1328" t="s">
        <v>16</v>
      </c>
      <c r="D1328" t="s">
        <v>32</v>
      </c>
      <c r="E1328" s="4">
        <v>23018753</v>
      </c>
      <c r="F1328">
        <v>30.47</v>
      </c>
      <c r="G1328">
        <v>9.07</v>
      </c>
      <c r="H1328">
        <v>543.96</v>
      </c>
      <c r="I1328">
        <v>29.75</v>
      </c>
      <c r="J1328" s="5">
        <v>46060</v>
      </c>
      <c r="K1328">
        <f t="shared" si="20"/>
        <v>49.64</v>
      </c>
      <c r="L1328" t="str" cm="1">
        <f t="array" ref="L1328">_xlfn.IFS(E1328&gt;=52000000,"Platinum",E1328&gt;=37000000,"Gold",E1328&gt;=30000000,"Sliver",E1328&lt;30000000,"Bronze")</f>
        <v>Bronze</v>
      </c>
    </row>
    <row r="1329" spans="1:12" x14ac:dyDescent="0.25">
      <c r="A1329">
        <v>1328</v>
      </c>
      <c r="B1329" t="s">
        <v>1349</v>
      </c>
      <c r="C1329" t="s">
        <v>21</v>
      </c>
      <c r="D1329" t="s">
        <v>13</v>
      </c>
      <c r="E1329" s="4">
        <v>25738235</v>
      </c>
      <c r="F1329">
        <v>45.12</v>
      </c>
      <c r="G1329">
        <v>1.96</v>
      </c>
      <c r="H1329">
        <v>117.35</v>
      </c>
      <c r="I1329">
        <v>4.33</v>
      </c>
      <c r="J1329" s="5">
        <v>46060</v>
      </c>
      <c r="K1329">
        <f t="shared" si="20"/>
        <v>29.61</v>
      </c>
      <c r="L1329" t="str" cm="1">
        <f t="array" ref="L1329">_xlfn.IFS(E1329&gt;=52000000,"Platinum",E1329&gt;=37000000,"Gold",E1329&gt;=30000000,"Sliver",E1329&lt;30000000,"Bronze")</f>
        <v>Bronze</v>
      </c>
    </row>
    <row r="1330" spans="1:12" x14ac:dyDescent="0.25">
      <c r="A1330">
        <v>1329</v>
      </c>
      <c r="B1330" t="s">
        <v>1350</v>
      </c>
      <c r="C1330" t="s">
        <v>19</v>
      </c>
      <c r="D1330" t="s">
        <v>13</v>
      </c>
      <c r="E1330" s="4">
        <v>25481673</v>
      </c>
      <c r="F1330">
        <v>56.07</v>
      </c>
      <c r="G1330">
        <v>3.06</v>
      </c>
      <c r="H1330">
        <v>183.58</v>
      </c>
      <c r="I1330">
        <v>5.46</v>
      </c>
      <c r="J1330" s="5">
        <v>46060</v>
      </c>
      <c r="K1330">
        <f t="shared" si="20"/>
        <v>24.7</v>
      </c>
      <c r="L1330" t="str" cm="1">
        <f t="array" ref="L1330">_xlfn.IFS(E1330&gt;=52000000,"Platinum",E1330&gt;=37000000,"Gold",E1330&gt;=30000000,"Sliver",E1330&lt;30000000,"Bronze")</f>
        <v>Bronze</v>
      </c>
    </row>
    <row r="1331" spans="1:12" x14ac:dyDescent="0.25">
      <c r="A1331">
        <v>1330</v>
      </c>
      <c r="B1331" t="s">
        <v>1351</v>
      </c>
      <c r="C1331" t="s">
        <v>27</v>
      </c>
      <c r="D1331" t="s">
        <v>13</v>
      </c>
      <c r="E1331" s="4">
        <v>31359149</v>
      </c>
      <c r="F1331">
        <v>15.34</v>
      </c>
      <c r="G1331">
        <v>30.73</v>
      </c>
      <c r="H1331">
        <v>1843.77</v>
      </c>
      <c r="I1331">
        <v>200.32</v>
      </c>
      <c r="J1331" s="5">
        <v>46060</v>
      </c>
      <c r="K1331">
        <f t="shared" si="20"/>
        <v>142.49</v>
      </c>
      <c r="L1331" t="str" cm="1">
        <f t="array" ref="L1331">_xlfn.IFS(E1331&gt;=52000000,"Platinum",E1331&gt;=37000000,"Gold",E1331&gt;=30000000,"Sliver",E1331&lt;30000000,"Bronze")</f>
        <v>Sliver</v>
      </c>
    </row>
    <row r="1332" spans="1:12" x14ac:dyDescent="0.25">
      <c r="A1332">
        <v>1331</v>
      </c>
      <c r="B1332" t="s">
        <v>1352</v>
      </c>
      <c r="C1332" t="s">
        <v>21</v>
      </c>
      <c r="D1332" t="s">
        <v>32</v>
      </c>
      <c r="E1332" s="4">
        <v>22000669</v>
      </c>
      <c r="F1332">
        <v>49.24</v>
      </c>
      <c r="G1332">
        <v>1.44</v>
      </c>
      <c r="H1332">
        <v>86.12</v>
      </c>
      <c r="I1332">
        <v>2.91</v>
      </c>
      <c r="J1332" s="5">
        <v>46060</v>
      </c>
      <c r="K1332">
        <f t="shared" si="20"/>
        <v>26.84</v>
      </c>
      <c r="L1332" t="str" cm="1">
        <f t="array" ref="L1332">_xlfn.IFS(E1332&gt;=52000000,"Platinum",E1332&gt;=37000000,"Gold",E1332&gt;=30000000,"Sliver",E1332&lt;30000000,"Bronze")</f>
        <v>Bronze</v>
      </c>
    </row>
    <row r="1333" spans="1:12" x14ac:dyDescent="0.25">
      <c r="A1333">
        <v>1332</v>
      </c>
      <c r="B1333" t="s">
        <v>1353</v>
      </c>
      <c r="C1333" t="s">
        <v>21</v>
      </c>
      <c r="D1333" t="s">
        <v>11</v>
      </c>
      <c r="E1333" s="4">
        <v>24514971</v>
      </c>
      <c r="F1333">
        <v>45.64</v>
      </c>
      <c r="G1333">
        <v>2.81</v>
      </c>
      <c r="H1333">
        <v>168.77</v>
      </c>
      <c r="I1333">
        <v>6.16</v>
      </c>
      <c r="J1333" s="5">
        <v>46060</v>
      </c>
      <c r="K1333">
        <f t="shared" si="20"/>
        <v>30.26</v>
      </c>
      <c r="L1333" t="str" cm="1">
        <f t="array" ref="L1333">_xlfn.IFS(E1333&gt;=52000000,"Platinum",E1333&gt;=37000000,"Gold",E1333&gt;=30000000,"Sliver",E1333&lt;30000000,"Bronze")</f>
        <v>Bronze</v>
      </c>
    </row>
    <row r="1334" spans="1:12" x14ac:dyDescent="0.25">
      <c r="A1334">
        <v>1333</v>
      </c>
      <c r="B1334" t="s">
        <v>1354</v>
      </c>
      <c r="C1334" t="s">
        <v>19</v>
      </c>
      <c r="D1334" t="s">
        <v>11</v>
      </c>
      <c r="E1334" s="4">
        <v>23813457</v>
      </c>
      <c r="F1334">
        <v>50.75</v>
      </c>
      <c r="G1334">
        <v>5.94</v>
      </c>
      <c r="H1334">
        <v>356.48</v>
      </c>
      <c r="I1334">
        <v>11.71</v>
      </c>
      <c r="J1334" s="5">
        <v>46060</v>
      </c>
      <c r="K1334">
        <f t="shared" si="20"/>
        <v>30.48</v>
      </c>
      <c r="L1334" t="str" cm="1">
        <f t="array" ref="L1334">_xlfn.IFS(E1334&gt;=52000000,"Platinum",E1334&gt;=37000000,"Gold",E1334&gt;=30000000,"Sliver",E1334&lt;30000000,"Bronze")</f>
        <v>Bronze</v>
      </c>
    </row>
    <row r="1335" spans="1:12" x14ac:dyDescent="0.25">
      <c r="A1335">
        <v>1334</v>
      </c>
      <c r="B1335" t="s">
        <v>1355</v>
      </c>
      <c r="C1335" t="s">
        <v>29</v>
      </c>
      <c r="D1335" t="s">
        <v>11</v>
      </c>
      <c r="E1335" s="4">
        <v>31960293</v>
      </c>
      <c r="F1335">
        <v>53.44</v>
      </c>
      <c r="G1335">
        <v>6.91</v>
      </c>
      <c r="H1335">
        <v>414.72</v>
      </c>
      <c r="I1335">
        <v>12.93</v>
      </c>
      <c r="J1335" s="5">
        <v>46060</v>
      </c>
      <c r="K1335">
        <f t="shared" si="20"/>
        <v>29.75</v>
      </c>
      <c r="L1335" t="str" cm="1">
        <f t="array" ref="L1335">_xlfn.IFS(E1335&gt;=52000000,"Platinum",E1335&gt;=37000000,"Gold",E1335&gt;=30000000,"Sliver",E1335&lt;30000000,"Bronze")</f>
        <v>Sliver</v>
      </c>
    </row>
    <row r="1336" spans="1:12" x14ac:dyDescent="0.25">
      <c r="A1336">
        <v>1335</v>
      </c>
      <c r="B1336" t="s">
        <v>1356</v>
      </c>
      <c r="C1336" t="s">
        <v>29</v>
      </c>
      <c r="D1336" t="s">
        <v>22</v>
      </c>
      <c r="E1336" s="4">
        <v>30762956</v>
      </c>
      <c r="F1336">
        <v>49.17</v>
      </c>
      <c r="G1336">
        <v>5.67</v>
      </c>
      <c r="H1336">
        <v>340.04</v>
      </c>
      <c r="I1336">
        <v>11.53</v>
      </c>
      <c r="J1336" s="5">
        <v>46060</v>
      </c>
      <c r="K1336">
        <f t="shared" si="20"/>
        <v>31.18</v>
      </c>
      <c r="L1336" t="str" cm="1">
        <f t="array" ref="L1336">_xlfn.IFS(E1336&gt;=52000000,"Platinum",E1336&gt;=37000000,"Gold",E1336&gt;=30000000,"Sliver",E1336&lt;30000000,"Bronze")</f>
        <v>Sliver</v>
      </c>
    </row>
    <row r="1337" spans="1:12" x14ac:dyDescent="0.25">
      <c r="A1337">
        <v>1336</v>
      </c>
      <c r="B1337" t="s">
        <v>1357</v>
      </c>
      <c r="C1337" s="1" t="s">
        <v>21</v>
      </c>
      <c r="D1337" t="s">
        <v>17</v>
      </c>
      <c r="E1337" s="4">
        <v>26373176</v>
      </c>
      <c r="F1337">
        <v>47.6</v>
      </c>
      <c r="G1337">
        <v>1.76</v>
      </c>
      <c r="H1337">
        <v>105.48</v>
      </c>
      <c r="I1337">
        <v>3.69</v>
      </c>
      <c r="J1337" s="5">
        <v>46060</v>
      </c>
      <c r="K1337">
        <f t="shared" si="20"/>
        <v>28.05</v>
      </c>
      <c r="L1337" t="str" cm="1">
        <f t="array" ref="L1337">_xlfn.IFS(E1337&gt;=52000000,"Platinum",E1337&gt;=37000000,"Gold",E1337&gt;=30000000,"Sliver",E1337&lt;30000000,"Bronze")</f>
        <v>Bronze</v>
      </c>
    </row>
    <row r="1338" spans="1:12" x14ac:dyDescent="0.25">
      <c r="A1338">
        <v>1337</v>
      </c>
      <c r="B1338" t="s">
        <v>1358</v>
      </c>
      <c r="C1338" t="s">
        <v>21</v>
      </c>
      <c r="D1338" t="s">
        <v>17</v>
      </c>
      <c r="E1338" s="4">
        <v>28192890</v>
      </c>
      <c r="F1338" s="1">
        <f>CALCULATION!$C$11</f>
        <v>42.81</v>
      </c>
      <c r="G1338" s="1">
        <v>2.56</v>
      </c>
      <c r="H1338">
        <v>153.51</v>
      </c>
      <c r="I1338">
        <v>7.28</v>
      </c>
      <c r="J1338" s="5">
        <v>46060</v>
      </c>
      <c r="K1338">
        <f t="shared" si="20"/>
        <v>32.24</v>
      </c>
      <c r="L1338" t="str" cm="1">
        <f t="array" ref="L1338">_xlfn.IFS(E1338&gt;=52000000,"Platinum",E1338&gt;=37000000,"Gold",E1338&gt;=30000000,"Sliver",E1338&lt;30000000,"Bronze")</f>
        <v>Bronze</v>
      </c>
    </row>
    <row r="1339" spans="1:12" x14ac:dyDescent="0.25">
      <c r="A1339">
        <v>1338</v>
      </c>
      <c r="B1339" t="s">
        <v>1359</v>
      </c>
      <c r="C1339" t="s">
        <v>10</v>
      </c>
      <c r="D1339" t="s">
        <v>11</v>
      </c>
      <c r="E1339" s="4">
        <v>32625018</v>
      </c>
      <c r="F1339">
        <v>57.09</v>
      </c>
      <c r="G1339">
        <v>4.17</v>
      </c>
      <c r="H1339">
        <v>249.95</v>
      </c>
      <c r="I1339">
        <v>7.3</v>
      </c>
      <c r="J1339" s="5">
        <v>46060</v>
      </c>
      <c r="K1339">
        <f t="shared" si="20"/>
        <v>25.11</v>
      </c>
      <c r="L1339" t="str" cm="1">
        <f t="array" ref="L1339">_xlfn.IFS(E1339&gt;=52000000,"Platinum",E1339&gt;=37000000,"Gold",E1339&gt;=30000000,"Sliver",E1339&lt;30000000,"Bronze")</f>
        <v>Sliver</v>
      </c>
    </row>
    <row r="1340" spans="1:12" x14ac:dyDescent="0.25">
      <c r="A1340">
        <v>1339</v>
      </c>
      <c r="B1340" t="s">
        <v>1360</v>
      </c>
      <c r="C1340" t="s">
        <v>21</v>
      </c>
      <c r="D1340" t="s">
        <v>25</v>
      </c>
      <c r="E1340" s="4">
        <v>30589945</v>
      </c>
      <c r="F1340">
        <v>49.12</v>
      </c>
      <c r="G1340">
        <v>2.13</v>
      </c>
      <c r="H1340">
        <v>127.85</v>
      </c>
      <c r="I1340">
        <v>4.34</v>
      </c>
      <c r="J1340" s="5">
        <v>46060</v>
      </c>
      <c r="K1340">
        <f t="shared" si="20"/>
        <v>27.61</v>
      </c>
      <c r="L1340" t="str" cm="1">
        <f t="array" ref="L1340">_xlfn.IFS(E1340&gt;=52000000,"Platinum",E1340&gt;=37000000,"Gold",E1340&gt;=30000000,"Sliver",E1340&lt;30000000,"Bronze")</f>
        <v>Sliver</v>
      </c>
    </row>
    <row r="1341" spans="1:12" x14ac:dyDescent="0.25">
      <c r="A1341">
        <v>1340</v>
      </c>
      <c r="B1341" t="s">
        <v>1361</v>
      </c>
      <c r="C1341" t="s">
        <v>10</v>
      </c>
      <c r="D1341" t="s">
        <v>11</v>
      </c>
      <c r="E1341" s="4">
        <v>22320749</v>
      </c>
      <c r="F1341">
        <v>47.91</v>
      </c>
      <c r="G1341">
        <v>5.68</v>
      </c>
      <c r="H1341">
        <v>340.91</v>
      </c>
      <c r="I1341">
        <v>11.86</v>
      </c>
      <c r="J1341" s="5">
        <v>46060</v>
      </c>
      <c r="K1341">
        <f t="shared" si="20"/>
        <v>31.98</v>
      </c>
      <c r="L1341" t="str" cm="1">
        <f t="array" ref="L1341">_xlfn.IFS(E1341&gt;=52000000,"Platinum",E1341&gt;=37000000,"Gold",E1341&gt;=30000000,"Sliver",E1341&lt;30000000,"Bronze")</f>
        <v>Bronze</v>
      </c>
    </row>
    <row r="1342" spans="1:12" x14ac:dyDescent="0.25">
      <c r="A1342">
        <v>1341</v>
      </c>
      <c r="B1342" t="s">
        <v>1362</v>
      </c>
      <c r="C1342" t="s">
        <v>46</v>
      </c>
      <c r="D1342" t="s">
        <v>17</v>
      </c>
      <c r="E1342" s="4">
        <v>32675444</v>
      </c>
      <c r="F1342">
        <v>47.63</v>
      </c>
      <c r="G1342">
        <v>7.78</v>
      </c>
      <c r="H1342">
        <v>466.63</v>
      </c>
      <c r="I1342">
        <v>16.329999999999998</v>
      </c>
      <c r="J1342" s="5">
        <v>46060</v>
      </c>
      <c r="K1342">
        <f t="shared" si="20"/>
        <v>34.35</v>
      </c>
      <c r="L1342" t="str" cm="1">
        <f t="array" ref="L1342">_xlfn.IFS(E1342&gt;=52000000,"Platinum",E1342&gt;=37000000,"Gold",E1342&gt;=30000000,"Sliver",E1342&lt;30000000,"Bronze")</f>
        <v>Sliver</v>
      </c>
    </row>
    <row r="1343" spans="1:12" x14ac:dyDescent="0.25">
      <c r="A1343">
        <v>1342</v>
      </c>
      <c r="B1343" t="s">
        <v>1363</v>
      </c>
      <c r="C1343" t="s">
        <v>29</v>
      </c>
      <c r="D1343" t="s">
        <v>13</v>
      </c>
      <c r="E1343" s="4">
        <v>25203525</v>
      </c>
      <c r="F1343">
        <v>41.03</v>
      </c>
      <c r="G1343">
        <v>4.2</v>
      </c>
      <c r="H1343">
        <v>251.71</v>
      </c>
      <c r="I1343">
        <v>10.220000000000001</v>
      </c>
      <c r="J1343" s="5">
        <v>46060</v>
      </c>
      <c r="K1343">
        <f t="shared" si="20"/>
        <v>34.6</v>
      </c>
      <c r="L1343" t="str" cm="1">
        <f t="array" ref="L1343">_xlfn.IFS(E1343&gt;=52000000,"Platinum",E1343&gt;=37000000,"Gold",E1343&gt;=30000000,"Sliver",E1343&lt;30000000,"Bronze")</f>
        <v>Bronze</v>
      </c>
    </row>
    <row r="1344" spans="1:12" x14ac:dyDescent="0.25">
      <c r="A1344">
        <v>1343</v>
      </c>
      <c r="B1344" t="s">
        <v>1364</v>
      </c>
      <c r="C1344" s="1" t="s">
        <v>21</v>
      </c>
      <c r="D1344" t="s">
        <v>32</v>
      </c>
      <c r="E1344" s="4">
        <v>23306077</v>
      </c>
      <c r="F1344">
        <v>46.16</v>
      </c>
      <c r="G1344">
        <v>5.29</v>
      </c>
      <c r="H1344">
        <v>317.43</v>
      </c>
      <c r="I1344">
        <v>11.46</v>
      </c>
      <c r="J1344" s="5">
        <v>46060</v>
      </c>
      <c r="K1344">
        <f t="shared" si="20"/>
        <v>32.65</v>
      </c>
      <c r="L1344" t="str" cm="1">
        <f t="array" ref="L1344">_xlfn.IFS(E1344&gt;=52000000,"Platinum",E1344&gt;=37000000,"Gold",E1344&gt;=30000000,"Sliver",E1344&lt;30000000,"Bronze")</f>
        <v>Bronze</v>
      </c>
    </row>
    <row r="1345" spans="1:12" x14ac:dyDescent="0.25">
      <c r="A1345">
        <v>1344</v>
      </c>
      <c r="B1345" t="s">
        <v>1365</v>
      </c>
      <c r="C1345" t="s">
        <v>29</v>
      </c>
      <c r="D1345" t="s">
        <v>13</v>
      </c>
      <c r="E1345" s="4">
        <v>27019233</v>
      </c>
      <c r="F1345">
        <v>58.6</v>
      </c>
      <c r="G1345">
        <v>6.64</v>
      </c>
      <c r="H1345">
        <v>398.63</v>
      </c>
      <c r="I1345">
        <v>11.34</v>
      </c>
      <c r="J1345" s="5">
        <v>46060</v>
      </c>
      <c r="K1345">
        <f t="shared" si="20"/>
        <v>26.37</v>
      </c>
      <c r="L1345" t="str" cm="1">
        <f t="array" ref="L1345">_xlfn.IFS(E1345&gt;=52000000,"Platinum",E1345&gt;=37000000,"Gold",E1345&gt;=30000000,"Sliver",E1345&lt;30000000,"Bronze")</f>
        <v>Bronze</v>
      </c>
    </row>
    <row r="1346" spans="1:12" x14ac:dyDescent="0.25">
      <c r="A1346">
        <v>1345</v>
      </c>
      <c r="B1346" t="s">
        <v>1366</v>
      </c>
      <c r="C1346" t="s">
        <v>29</v>
      </c>
      <c r="D1346" t="s">
        <v>32</v>
      </c>
      <c r="E1346" s="4">
        <v>29030371</v>
      </c>
      <c r="F1346">
        <v>38.409999999999997</v>
      </c>
      <c r="G1346">
        <v>7.13</v>
      </c>
      <c r="H1346">
        <v>427.67</v>
      </c>
      <c r="I1346">
        <v>18.559999999999999</v>
      </c>
      <c r="J1346" s="5">
        <v>46060</v>
      </c>
      <c r="K1346">
        <f t="shared" si="20"/>
        <v>40.08</v>
      </c>
      <c r="L1346" t="str" cm="1">
        <f t="array" ref="L1346">_xlfn.IFS(E1346&gt;=52000000,"Platinum",E1346&gt;=37000000,"Gold",E1346&gt;=30000000,"Sliver",E1346&lt;30000000,"Bronze")</f>
        <v>Bronze</v>
      </c>
    </row>
    <row r="1347" spans="1:12" x14ac:dyDescent="0.25">
      <c r="A1347">
        <v>1346</v>
      </c>
      <c r="B1347" t="s">
        <v>1367</v>
      </c>
      <c r="C1347" t="s">
        <v>10</v>
      </c>
      <c r="D1347" t="s">
        <v>17</v>
      </c>
      <c r="E1347" s="4">
        <v>25723096</v>
      </c>
      <c r="F1347">
        <v>35.42</v>
      </c>
      <c r="G1347">
        <v>9.86</v>
      </c>
      <c r="H1347">
        <v>591.41</v>
      </c>
      <c r="I1347">
        <v>27.83</v>
      </c>
      <c r="J1347" s="5">
        <v>46060</v>
      </c>
      <c r="K1347">
        <f t="shared" ref="K1347:K1410" si="21">ROUND((100-F1347)*0.5 + I1347*0.5,2)</f>
        <v>46.21</v>
      </c>
      <c r="L1347" t="str" cm="1">
        <f t="array" ref="L1347">_xlfn.IFS(E1347&gt;=52000000,"Platinum",E1347&gt;=37000000,"Gold",E1347&gt;=30000000,"Sliver",E1347&lt;30000000,"Bronze")</f>
        <v>Bronze</v>
      </c>
    </row>
    <row r="1348" spans="1:12" x14ac:dyDescent="0.25">
      <c r="A1348">
        <v>1347</v>
      </c>
      <c r="B1348" t="s">
        <v>1368</v>
      </c>
      <c r="C1348" t="s">
        <v>27</v>
      </c>
      <c r="D1348" t="s">
        <v>22</v>
      </c>
      <c r="E1348" s="4">
        <v>25968361</v>
      </c>
      <c r="F1348">
        <v>28.46</v>
      </c>
      <c r="G1348">
        <v>32.799999999999997</v>
      </c>
      <c r="H1348">
        <v>1968.09</v>
      </c>
      <c r="I1348">
        <v>115.25</v>
      </c>
      <c r="J1348" s="5">
        <v>46060</v>
      </c>
      <c r="K1348">
        <f t="shared" si="21"/>
        <v>93.4</v>
      </c>
      <c r="L1348" t="str" cm="1">
        <f t="array" ref="L1348">_xlfn.IFS(E1348&gt;=52000000,"Platinum",E1348&gt;=37000000,"Gold",E1348&gt;=30000000,"Sliver",E1348&lt;30000000,"Bronze")</f>
        <v>Bronze</v>
      </c>
    </row>
    <row r="1349" spans="1:12" x14ac:dyDescent="0.25">
      <c r="A1349">
        <v>1348</v>
      </c>
      <c r="B1349" t="s">
        <v>1369</v>
      </c>
      <c r="C1349" t="s">
        <v>19</v>
      </c>
      <c r="D1349" t="s">
        <v>25</v>
      </c>
      <c r="E1349" s="4">
        <v>26358655</v>
      </c>
      <c r="F1349">
        <v>36.299999999999997</v>
      </c>
      <c r="G1349">
        <v>9.43</v>
      </c>
      <c r="H1349">
        <v>565.92999999999995</v>
      </c>
      <c r="I1349">
        <v>25.98</v>
      </c>
      <c r="J1349" s="5">
        <v>46060</v>
      </c>
      <c r="K1349">
        <f t="shared" si="21"/>
        <v>44.84</v>
      </c>
      <c r="L1349" t="str" cm="1">
        <f t="array" ref="L1349">_xlfn.IFS(E1349&gt;=52000000,"Platinum",E1349&gt;=37000000,"Gold",E1349&gt;=30000000,"Sliver",E1349&lt;30000000,"Bronze")</f>
        <v>Bronze</v>
      </c>
    </row>
    <row r="1350" spans="1:12" x14ac:dyDescent="0.25">
      <c r="A1350">
        <v>1349</v>
      </c>
      <c r="B1350" t="s">
        <v>1370</v>
      </c>
      <c r="C1350" t="s">
        <v>46</v>
      </c>
      <c r="D1350" t="s">
        <v>25</v>
      </c>
      <c r="E1350" s="4">
        <v>23944271</v>
      </c>
      <c r="F1350">
        <v>33.590000000000003</v>
      </c>
      <c r="G1350">
        <v>4.6100000000000003</v>
      </c>
      <c r="H1350">
        <v>276.52</v>
      </c>
      <c r="I1350">
        <v>13.72</v>
      </c>
      <c r="J1350" s="5">
        <v>46060</v>
      </c>
      <c r="K1350">
        <f t="shared" si="21"/>
        <v>40.07</v>
      </c>
      <c r="L1350" t="str" cm="1">
        <f t="array" ref="L1350">_xlfn.IFS(E1350&gt;=52000000,"Platinum",E1350&gt;=37000000,"Gold",E1350&gt;=30000000,"Sliver",E1350&lt;30000000,"Bronze")</f>
        <v>Bronze</v>
      </c>
    </row>
    <row r="1351" spans="1:12" x14ac:dyDescent="0.25">
      <c r="A1351">
        <v>1350</v>
      </c>
      <c r="B1351" t="s">
        <v>1371</v>
      </c>
      <c r="C1351" t="s">
        <v>21</v>
      </c>
      <c r="D1351" t="s">
        <v>11</v>
      </c>
      <c r="E1351" s="4">
        <v>23629324</v>
      </c>
      <c r="F1351">
        <v>36.93</v>
      </c>
      <c r="G1351">
        <v>1.93</v>
      </c>
      <c r="H1351">
        <v>115.99</v>
      </c>
      <c r="I1351">
        <v>5.23</v>
      </c>
      <c r="J1351" s="5">
        <v>46060</v>
      </c>
      <c r="K1351">
        <f t="shared" si="21"/>
        <v>34.15</v>
      </c>
      <c r="L1351" t="str" cm="1">
        <f t="array" ref="L1351">_xlfn.IFS(E1351&gt;=52000000,"Platinum",E1351&gt;=37000000,"Gold",E1351&gt;=30000000,"Sliver",E1351&lt;30000000,"Bronze")</f>
        <v>Bronze</v>
      </c>
    </row>
    <row r="1352" spans="1:12" x14ac:dyDescent="0.25">
      <c r="A1352">
        <v>1351</v>
      </c>
      <c r="B1352" t="s">
        <v>1372</v>
      </c>
      <c r="C1352" t="s">
        <v>21</v>
      </c>
      <c r="D1352" t="s">
        <v>32</v>
      </c>
      <c r="E1352" s="4">
        <v>32630727</v>
      </c>
      <c r="F1352">
        <v>40.770000000000003</v>
      </c>
      <c r="G1352">
        <v>2.88</v>
      </c>
      <c r="H1352">
        <v>172.74</v>
      </c>
      <c r="I1352">
        <v>7.06</v>
      </c>
      <c r="J1352" s="5">
        <v>46060</v>
      </c>
      <c r="K1352">
        <f t="shared" si="21"/>
        <v>33.15</v>
      </c>
      <c r="L1352" t="str" cm="1">
        <f t="array" ref="L1352">_xlfn.IFS(E1352&gt;=52000000,"Platinum",E1352&gt;=37000000,"Gold",E1352&gt;=30000000,"Sliver",E1352&lt;30000000,"Bronze")</f>
        <v>Sliver</v>
      </c>
    </row>
    <row r="1353" spans="1:12" x14ac:dyDescent="0.25">
      <c r="A1353">
        <v>1352</v>
      </c>
      <c r="B1353" t="s">
        <v>1373</v>
      </c>
      <c r="C1353" t="s">
        <v>21</v>
      </c>
      <c r="D1353" t="s">
        <v>11</v>
      </c>
      <c r="E1353" s="4">
        <v>25956621</v>
      </c>
      <c r="F1353">
        <v>42.99</v>
      </c>
      <c r="G1353">
        <v>1.1599999999999999</v>
      </c>
      <c r="H1353">
        <v>69.84</v>
      </c>
      <c r="I1353">
        <v>2.71</v>
      </c>
      <c r="J1353" s="5">
        <v>46060</v>
      </c>
      <c r="K1353">
        <f t="shared" si="21"/>
        <v>29.86</v>
      </c>
      <c r="L1353" t="str" cm="1">
        <f t="array" ref="L1353">_xlfn.IFS(E1353&gt;=52000000,"Platinum",E1353&gt;=37000000,"Gold",E1353&gt;=30000000,"Sliver",E1353&lt;30000000,"Bronze")</f>
        <v>Bronze</v>
      </c>
    </row>
    <row r="1354" spans="1:12" x14ac:dyDescent="0.25">
      <c r="A1354">
        <v>1353</v>
      </c>
      <c r="B1354" t="s">
        <v>1374</v>
      </c>
      <c r="C1354" t="s">
        <v>10</v>
      </c>
      <c r="D1354" t="s">
        <v>22</v>
      </c>
      <c r="E1354" s="4">
        <v>22499681</v>
      </c>
      <c r="F1354">
        <v>42.81</v>
      </c>
      <c r="G1354">
        <v>4.66</v>
      </c>
      <c r="H1354">
        <v>279.3</v>
      </c>
      <c r="I1354">
        <v>10.87</v>
      </c>
      <c r="J1354" s="5">
        <v>46060</v>
      </c>
      <c r="K1354">
        <f t="shared" si="21"/>
        <v>34.03</v>
      </c>
      <c r="L1354" t="str" cm="1">
        <f t="array" ref="L1354">_xlfn.IFS(E1354&gt;=52000000,"Platinum",E1354&gt;=37000000,"Gold",E1354&gt;=30000000,"Sliver",E1354&lt;30000000,"Bronze")</f>
        <v>Bronze</v>
      </c>
    </row>
    <row r="1355" spans="1:12" x14ac:dyDescent="0.25">
      <c r="A1355">
        <v>1354</v>
      </c>
      <c r="B1355" t="s">
        <v>1375</v>
      </c>
      <c r="C1355" t="s">
        <v>29</v>
      </c>
      <c r="D1355" t="s">
        <v>17</v>
      </c>
      <c r="E1355" s="4">
        <v>26639122</v>
      </c>
      <c r="F1355">
        <v>35.14</v>
      </c>
      <c r="G1355">
        <v>2.93</v>
      </c>
      <c r="H1355">
        <v>176.07</v>
      </c>
      <c r="I1355">
        <v>8.35</v>
      </c>
      <c r="J1355" s="5">
        <v>46060</v>
      </c>
      <c r="K1355">
        <f t="shared" si="21"/>
        <v>36.61</v>
      </c>
      <c r="L1355" t="str" cm="1">
        <f t="array" ref="L1355">_xlfn.IFS(E1355&gt;=52000000,"Platinum",E1355&gt;=37000000,"Gold",E1355&gt;=30000000,"Sliver",E1355&lt;30000000,"Bronze")</f>
        <v>Bronze</v>
      </c>
    </row>
    <row r="1356" spans="1:12" x14ac:dyDescent="0.25">
      <c r="A1356">
        <v>1355</v>
      </c>
      <c r="B1356" t="s">
        <v>1376</v>
      </c>
      <c r="C1356" t="s">
        <v>27</v>
      </c>
      <c r="D1356" t="s">
        <v>13</v>
      </c>
      <c r="E1356" s="4">
        <v>25377724</v>
      </c>
      <c r="F1356">
        <v>17.43</v>
      </c>
      <c r="G1356">
        <v>17.68</v>
      </c>
      <c r="H1356">
        <v>1060.97</v>
      </c>
      <c r="I1356">
        <v>101.45</v>
      </c>
      <c r="J1356" s="5">
        <v>46060</v>
      </c>
      <c r="K1356">
        <f t="shared" si="21"/>
        <v>92.01</v>
      </c>
      <c r="L1356" t="str" cm="1">
        <f t="array" ref="L1356">_xlfn.IFS(E1356&gt;=52000000,"Platinum",E1356&gt;=37000000,"Gold",E1356&gt;=30000000,"Sliver",E1356&lt;30000000,"Bronze")</f>
        <v>Bronze</v>
      </c>
    </row>
    <row r="1357" spans="1:12" x14ac:dyDescent="0.25">
      <c r="A1357">
        <v>1356</v>
      </c>
      <c r="B1357" t="s">
        <v>1377</v>
      </c>
      <c r="C1357" t="s">
        <v>29</v>
      </c>
      <c r="D1357" t="s">
        <v>17</v>
      </c>
      <c r="E1357" s="4">
        <v>22163857</v>
      </c>
      <c r="F1357">
        <v>49.77</v>
      </c>
      <c r="G1357">
        <v>5.6</v>
      </c>
      <c r="H1357">
        <v>335.79</v>
      </c>
      <c r="I1357">
        <v>11.24</v>
      </c>
      <c r="J1357" s="5">
        <v>46060</v>
      </c>
      <c r="K1357">
        <f t="shared" si="21"/>
        <v>30.74</v>
      </c>
      <c r="L1357" t="str" cm="1">
        <f t="array" ref="L1357">_xlfn.IFS(E1357&gt;=52000000,"Platinum",E1357&gt;=37000000,"Gold",E1357&gt;=30000000,"Sliver",E1357&lt;30000000,"Bronze")</f>
        <v>Bronze</v>
      </c>
    </row>
    <row r="1358" spans="1:12" x14ac:dyDescent="0.25">
      <c r="A1358">
        <v>1357</v>
      </c>
      <c r="B1358" t="s">
        <v>1378</v>
      </c>
      <c r="C1358" t="s">
        <v>21</v>
      </c>
      <c r="D1358" t="s">
        <v>22</v>
      </c>
      <c r="E1358" s="4">
        <v>24014114</v>
      </c>
      <c r="F1358">
        <v>35.99</v>
      </c>
      <c r="G1358">
        <v>2.2000000000000002</v>
      </c>
      <c r="H1358">
        <v>131.88999999999999</v>
      </c>
      <c r="I1358">
        <v>6.11</v>
      </c>
      <c r="J1358" s="5">
        <v>46060</v>
      </c>
      <c r="K1358">
        <f t="shared" si="21"/>
        <v>35.06</v>
      </c>
      <c r="L1358" t="str" cm="1">
        <f t="array" ref="L1358">_xlfn.IFS(E1358&gt;=52000000,"Platinum",E1358&gt;=37000000,"Gold",E1358&gt;=30000000,"Sliver",E1358&lt;30000000,"Bronze")</f>
        <v>Bronze</v>
      </c>
    </row>
    <row r="1359" spans="1:12" x14ac:dyDescent="0.25">
      <c r="A1359">
        <v>1358</v>
      </c>
      <c r="B1359" t="s">
        <v>1379</v>
      </c>
      <c r="C1359" t="s">
        <v>21</v>
      </c>
      <c r="D1359" t="s">
        <v>13</v>
      </c>
      <c r="E1359" s="4">
        <v>30526278</v>
      </c>
      <c r="F1359">
        <v>45.86</v>
      </c>
      <c r="G1359">
        <v>2.2000000000000002</v>
      </c>
      <c r="H1359">
        <v>132.02000000000001</v>
      </c>
      <c r="I1359">
        <v>4.8</v>
      </c>
      <c r="J1359" s="5">
        <v>46060</v>
      </c>
      <c r="K1359">
        <f t="shared" si="21"/>
        <v>29.47</v>
      </c>
      <c r="L1359" t="str" cm="1">
        <f t="array" ref="L1359">_xlfn.IFS(E1359&gt;=52000000,"Platinum",E1359&gt;=37000000,"Gold",E1359&gt;=30000000,"Sliver",E1359&lt;30000000,"Bronze")</f>
        <v>Sliver</v>
      </c>
    </row>
    <row r="1360" spans="1:12" x14ac:dyDescent="0.25">
      <c r="A1360">
        <v>1359</v>
      </c>
      <c r="B1360" t="s">
        <v>1380</v>
      </c>
      <c r="C1360" t="s">
        <v>46</v>
      </c>
      <c r="D1360" t="s">
        <v>11</v>
      </c>
      <c r="E1360" s="4">
        <v>26732774</v>
      </c>
      <c r="F1360">
        <v>44.61</v>
      </c>
      <c r="G1360">
        <v>5.25</v>
      </c>
      <c r="H1360">
        <v>315.23</v>
      </c>
      <c r="I1360">
        <v>11.78</v>
      </c>
      <c r="J1360" s="5">
        <v>46060</v>
      </c>
      <c r="K1360">
        <f t="shared" si="21"/>
        <v>33.590000000000003</v>
      </c>
      <c r="L1360" t="str" cm="1">
        <f t="array" ref="L1360">_xlfn.IFS(E1360&gt;=52000000,"Platinum",E1360&gt;=37000000,"Gold",E1360&gt;=30000000,"Sliver",E1360&lt;30000000,"Bronze")</f>
        <v>Bronze</v>
      </c>
    </row>
    <row r="1361" spans="1:12" x14ac:dyDescent="0.25">
      <c r="A1361">
        <v>1360</v>
      </c>
      <c r="B1361" t="s">
        <v>1381</v>
      </c>
      <c r="C1361" t="s">
        <v>10</v>
      </c>
      <c r="D1361" t="s">
        <v>22</v>
      </c>
      <c r="E1361" s="4">
        <v>25645983</v>
      </c>
      <c r="F1361">
        <v>49.91</v>
      </c>
      <c r="G1361">
        <v>2.3199999999999998</v>
      </c>
      <c r="H1361">
        <v>139.15</v>
      </c>
      <c r="I1361">
        <v>4.6500000000000004</v>
      </c>
      <c r="J1361" s="5">
        <v>46060</v>
      </c>
      <c r="K1361">
        <f t="shared" si="21"/>
        <v>27.37</v>
      </c>
      <c r="L1361" t="str" cm="1">
        <f t="array" ref="L1361">_xlfn.IFS(E1361&gt;=52000000,"Platinum",E1361&gt;=37000000,"Gold",E1361&gt;=30000000,"Sliver",E1361&lt;30000000,"Bronze")</f>
        <v>Bronze</v>
      </c>
    </row>
    <row r="1362" spans="1:12" x14ac:dyDescent="0.25">
      <c r="A1362">
        <v>1361</v>
      </c>
      <c r="B1362" t="s">
        <v>1382</v>
      </c>
      <c r="C1362" s="1" t="s">
        <v>21</v>
      </c>
      <c r="D1362" t="s">
        <v>17</v>
      </c>
      <c r="E1362" s="4">
        <v>23577871</v>
      </c>
      <c r="F1362">
        <v>56.7</v>
      </c>
      <c r="G1362">
        <v>2.95</v>
      </c>
      <c r="H1362">
        <v>177.17</v>
      </c>
      <c r="I1362">
        <v>5.21</v>
      </c>
      <c r="J1362" s="5">
        <v>46060</v>
      </c>
      <c r="K1362">
        <f t="shared" si="21"/>
        <v>24.26</v>
      </c>
      <c r="L1362" t="str" cm="1">
        <f t="array" ref="L1362">_xlfn.IFS(E1362&gt;=52000000,"Platinum",E1362&gt;=37000000,"Gold",E1362&gt;=30000000,"Sliver",E1362&lt;30000000,"Bronze")</f>
        <v>Bronze</v>
      </c>
    </row>
    <row r="1363" spans="1:12" x14ac:dyDescent="0.25">
      <c r="A1363">
        <v>1362</v>
      </c>
      <c r="B1363" t="s">
        <v>1383</v>
      </c>
      <c r="C1363" t="s">
        <v>46</v>
      </c>
      <c r="D1363" t="s">
        <v>22</v>
      </c>
      <c r="E1363" s="4">
        <v>22188583</v>
      </c>
      <c r="F1363">
        <v>58.86</v>
      </c>
      <c r="G1363">
        <v>9.73</v>
      </c>
      <c r="H1363">
        <v>583.6</v>
      </c>
      <c r="I1363">
        <v>16.53</v>
      </c>
      <c r="J1363" s="5">
        <v>46060</v>
      </c>
      <c r="K1363">
        <f t="shared" si="21"/>
        <v>28.84</v>
      </c>
      <c r="L1363" t="str" cm="1">
        <f t="array" ref="L1363">_xlfn.IFS(E1363&gt;=52000000,"Platinum",E1363&gt;=37000000,"Gold",E1363&gt;=30000000,"Sliver",E1363&lt;30000000,"Bronze")</f>
        <v>Bronze</v>
      </c>
    </row>
    <row r="1364" spans="1:12" x14ac:dyDescent="0.25">
      <c r="A1364">
        <v>1363</v>
      </c>
      <c r="B1364" t="s">
        <v>1384</v>
      </c>
      <c r="C1364" t="s">
        <v>46</v>
      </c>
      <c r="D1364" t="s">
        <v>17</v>
      </c>
      <c r="E1364" s="4">
        <v>29772866</v>
      </c>
      <c r="F1364">
        <v>37.130000000000003</v>
      </c>
      <c r="G1364">
        <v>3.49</v>
      </c>
      <c r="H1364">
        <v>209.55</v>
      </c>
      <c r="I1364">
        <v>9.41</v>
      </c>
      <c r="J1364" s="5">
        <v>46060</v>
      </c>
      <c r="K1364">
        <f t="shared" si="21"/>
        <v>36.14</v>
      </c>
      <c r="L1364" t="str" cm="1">
        <f t="array" ref="L1364">_xlfn.IFS(E1364&gt;=52000000,"Platinum",E1364&gt;=37000000,"Gold",E1364&gt;=30000000,"Sliver",E1364&lt;30000000,"Bronze")</f>
        <v>Bronze</v>
      </c>
    </row>
    <row r="1365" spans="1:12" x14ac:dyDescent="0.25">
      <c r="A1365">
        <v>1364</v>
      </c>
      <c r="B1365" t="s">
        <v>1385</v>
      </c>
      <c r="C1365" t="s">
        <v>10</v>
      </c>
      <c r="D1365" t="s">
        <v>25</v>
      </c>
      <c r="E1365" s="4">
        <v>21749273</v>
      </c>
      <c r="F1365">
        <v>48.76</v>
      </c>
      <c r="G1365">
        <v>4.8499999999999996</v>
      </c>
      <c r="H1365">
        <v>291.2</v>
      </c>
      <c r="I1365">
        <v>9.9499999999999993</v>
      </c>
      <c r="J1365" s="5">
        <v>46060</v>
      </c>
      <c r="K1365">
        <f t="shared" si="21"/>
        <v>30.6</v>
      </c>
      <c r="L1365" t="str" cm="1">
        <f t="array" ref="L1365">_xlfn.IFS(E1365&gt;=52000000,"Platinum",E1365&gt;=37000000,"Gold",E1365&gt;=30000000,"Sliver",E1365&lt;30000000,"Bronze")</f>
        <v>Bronze</v>
      </c>
    </row>
    <row r="1366" spans="1:12" x14ac:dyDescent="0.25">
      <c r="A1366">
        <v>1365</v>
      </c>
      <c r="B1366" t="s">
        <v>1386</v>
      </c>
      <c r="C1366" t="s">
        <v>21</v>
      </c>
      <c r="D1366" t="s">
        <v>25</v>
      </c>
      <c r="E1366" s="4">
        <v>30694857</v>
      </c>
      <c r="F1366">
        <v>43.62</v>
      </c>
      <c r="G1366">
        <v>1.43</v>
      </c>
      <c r="H1366">
        <v>85.58</v>
      </c>
      <c r="I1366">
        <v>3.27</v>
      </c>
      <c r="J1366" s="5">
        <v>46060</v>
      </c>
      <c r="K1366">
        <f t="shared" si="21"/>
        <v>29.83</v>
      </c>
      <c r="L1366" t="str" cm="1">
        <f t="array" ref="L1366">_xlfn.IFS(E1366&gt;=52000000,"Platinum",E1366&gt;=37000000,"Gold",E1366&gt;=30000000,"Sliver",E1366&lt;30000000,"Bronze")</f>
        <v>Sliver</v>
      </c>
    </row>
    <row r="1367" spans="1:12" x14ac:dyDescent="0.25">
      <c r="A1367">
        <v>1366</v>
      </c>
      <c r="B1367" t="s">
        <v>1387</v>
      </c>
      <c r="C1367" t="s">
        <v>19</v>
      </c>
      <c r="D1367" s="1" t="s">
        <v>32</v>
      </c>
      <c r="E1367" s="4">
        <v>24761424</v>
      </c>
      <c r="F1367">
        <v>49.45</v>
      </c>
      <c r="G1367">
        <v>9.1</v>
      </c>
      <c r="H1367">
        <v>545.83000000000004</v>
      </c>
      <c r="I1367">
        <v>18.399999999999999</v>
      </c>
      <c r="J1367" s="5">
        <v>46060</v>
      </c>
      <c r="K1367">
        <f t="shared" si="21"/>
        <v>34.479999999999997</v>
      </c>
      <c r="L1367" t="str" cm="1">
        <f t="array" ref="L1367">_xlfn.IFS(E1367&gt;=52000000,"Platinum",E1367&gt;=37000000,"Gold",E1367&gt;=30000000,"Sliver",E1367&lt;30000000,"Bronze")</f>
        <v>Bronze</v>
      </c>
    </row>
    <row r="1368" spans="1:12" x14ac:dyDescent="0.25">
      <c r="A1368">
        <v>1367</v>
      </c>
      <c r="B1368" t="s">
        <v>1388</v>
      </c>
      <c r="C1368" t="s">
        <v>27</v>
      </c>
      <c r="D1368" t="s">
        <v>13</v>
      </c>
      <c r="E1368" s="4">
        <v>23291825</v>
      </c>
      <c r="F1368">
        <v>28.58</v>
      </c>
      <c r="G1368">
        <v>16.66</v>
      </c>
      <c r="H1368">
        <v>999.82</v>
      </c>
      <c r="I1368">
        <v>58.31</v>
      </c>
      <c r="J1368" s="5">
        <v>46060</v>
      </c>
      <c r="K1368">
        <f t="shared" si="21"/>
        <v>64.87</v>
      </c>
      <c r="L1368" t="str" cm="1">
        <f t="array" ref="L1368">_xlfn.IFS(E1368&gt;=52000000,"Platinum",E1368&gt;=37000000,"Gold",E1368&gt;=30000000,"Sliver",E1368&lt;30000000,"Bronze")</f>
        <v>Bronze</v>
      </c>
    </row>
    <row r="1369" spans="1:12" x14ac:dyDescent="0.25">
      <c r="A1369">
        <v>1368</v>
      </c>
      <c r="B1369" t="s">
        <v>1389</v>
      </c>
      <c r="C1369" t="s">
        <v>27</v>
      </c>
      <c r="D1369" t="s">
        <v>11</v>
      </c>
      <c r="E1369" s="4">
        <v>23894689</v>
      </c>
      <c r="F1369">
        <v>27.23</v>
      </c>
      <c r="G1369">
        <v>17</v>
      </c>
      <c r="H1369">
        <v>1020.02</v>
      </c>
      <c r="I1369">
        <v>62.43</v>
      </c>
      <c r="J1369" s="5">
        <v>46060</v>
      </c>
      <c r="K1369">
        <f t="shared" si="21"/>
        <v>67.599999999999994</v>
      </c>
      <c r="L1369" t="str" cm="1">
        <f t="array" ref="L1369">_xlfn.IFS(E1369&gt;=52000000,"Platinum",E1369&gt;=37000000,"Gold",E1369&gt;=30000000,"Sliver",E1369&lt;30000000,"Bronze")</f>
        <v>Bronze</v>
      </c>
    </row>
    <row r="1370" spans="1:12" x14ac:dyDescent="0.25">
      <c r="A1370">
        <v>1369</v>
      </c>
      <c r="B1370" t="s">
        <v>1390</v>
      </c>
      <c r="C1370" t="s">
        <v>46</v>
      </c>
      <c r="D1370" t="s">
        <v>25</v>
      </c>
      <c r="E1370" s="4">
        <v>23724239</v>
      </c>
      <c r="F1370" s="1">
        <f>CALCULATION!$C$11</f>
        <v>42.81</v>
      </c>
      <c r="G1370" s="1">
        <v>6.24</v>
      </c>
      <c r="H1370">
        <v>374.32</v>
      </c>
      <c r="I1370">
        <v>19.36</v>
      </c>
      <c r="J1370" s="5">
        <v>46060</v>
      </c>
      <c r="K1370">
        <f t="shared" si="21"/>
        <v>38.28</v>
      </c>
      <c r="L1370" t="str" cm="1">
        <f t="array" ref="L1370">_xlfn.IFS(E1370&gt;=52000000,"Platinum",E1370&gt;=37000000,"Gold",E1370&gt;=30000000,"Sliver",E1370&lt;30000000,"Bronze")</f>
        <v>Bronze</v>
      </c>
    </row>
    <row r="1371" spans="1:12" x14ac:dyDescent="0.25">
      <c r="A1371">
        <v>1370</v>
      </c>
      <c r="B1371" t="s">
        <v>1391</v>
      </c>
      <c r="C1371" t="s">
        <v>46</v>
      </c>
      <c r="D1371" t="s">
        <v>32</v>
      </c>
      <c r="E1371" s="4">
        <v>24225733</v>
      </c>
      <c r="F1371">
        <v>32.159999999999997</v>
      </c>
      <c r="G1371">
        <v>3.67</v>
      </c>
      <c r="H1371">
        <v>220.21</v>
      </c>
      <c r="I1371">
        <v>11.41</v>
      </c>
      <c r="J1371" s="5">
        <v>46060</v>
      </c>
      <c r="K1371">
        <f t="shared" si="21"/>
        <v>39.630000000000003</v>
      </c>
      <c r="L1371" t="str" cm="1">
        <f t="array" ref="L1371">_xlfn.IFS(E1371&gt;=52000000,"Platinum",E1371&gt;=37000000,"Gold",E1371&gt;=30000000,"Sliver",E1371&lt;30000000,"Bronze")</f>
        <v>Bronze</v>
      </c>
    </row>
    <row r="1372" spans="1:12" x14ac:dyDescent="0.25">
      <c r="A1372">
        <v>1371</v>
      </c>
      <c r="B1372" t="s">
        <v>1392</v>
      </c>
      <c r="C1372" t="s">
        <v>16</v>
      </c>
      <c r="D1372" t="s">
        <v>17</v>
      </c>
      <c r="E1372" s="4">
        <v>32009633</v>
      </c>
      <c r="F1372">
        <v>55.89</v>
      </c>
      <c r="G1372">
        <v>4.7300000000000004</v>
      </c>
      <c r="H1372">
        <v>283.54000000000002</v>
      </c>
      <c r="I1372">
        <v>8.4600000000000009</v>
      </c>
      <c r="J1372" s="5">
        <v>46060</v>
      </c>
      <c r="K1372">
        <f t="shared" si="21"/>
        <v>26.29</v>
      </c>
      <c r="L1372" t="str" cm="1">
        <f t="array" ref="L1372">_xlfn.IFS(E1372&gt;=52000000,"Platinum",E1372&gt;=37000000,"Gold",E1372&gt;=30000000,"Sliver",E1372&lt;30000000,"Bronze")</f>
        <v>Sliver</v>
      </c>
    </row>
    <row r="1373" spans="1:12" x14ac:dyDescent="0.25">
      <c r="A1373">
        <v>1372</v>
      </c>
      <c r="B1373" t="s">
        <v>1393</v>
      </c>
      <c r="C1373" t="s">
        <v>10</v>
      </c>
      <c r="D1373" t="s">
        <v>17</v>
      </c>
      <c r="E1373" s="4">
        <v>24766541</v>
      </c>
      <c r="F1373">
        <v>40.19</v>
      </c>
      <c r="G1373">
        <v>6.01</v>
      </c>
      <c r="H1373">
        <v>360.73</v>
      </c>
      <c r="I1373">
        <v>14.96</v>
      </c>
      <c r="J1373" s="5">
        <v>46060</v>
      </c>
      <c r="K1373">
        <f t="shared" si="21"/>
        <v>37.39</v>
      </c>
      <c r="L1373" t="str" cm="1">
        <f t="array" ref="L1373">_xlfn.IFS(E1373&gt;=52000000,"Platinum",E1373&gt;=37000000,"Gold",E1373&gt;=30000000,"Sliver",E1373&lt;30000000,"Bronze")</f>
        <v>Bronze</v>
      </c>
    </row>
    <row r="1374" spans="1:12" x14ac:dyDescent="0.25">
      <c r="A1374">
        <v>1373</v>
      </c>
      <c r="B1374" t="s">
        <v>1394</v>
      </c>
      <c r="C1374" t="s">
        <v>21</v>
      </c>
      <c r="D1374" t="s">
        <v>25</v>
      </c>
      <c r="E1374" s="4">
        <v>29336468</v>
      </c>
      <c r="F1374">
        <v>48.83</v>
      </c>
      <c r="G1374">
        <v>1.69</v>
      </c>
      <c r="H1374">
        <v>101.36</v>
      </c>
      <c r="I1374">
        <v>3.46</v>
      </c>
      <c r="J1374" s="5">
        <v>46060</v>
      </c>
      <c r="K1374">
        <f t="shared" si="21"/>
        <v>27.32</v>
      </c>
      <c r="L1374" t="str" cm="1">
        <f t="array" ref="L1374">_xlfn.IFS(E1374&gt;=52000000,"Platinum",E1374&gt;=37000000,"Gold",E1374&gt;=30000000,"Sliver",E1374&lt;30000000,"Bronze")</f>
        <v>Bronze</v>
      </c>
    </row>
    <row r="1375" spans="1:12" x14ac:dyDescent="0.25">
      <c r="A1375">
        <v>1374</v>
      </c>
      <c r="B1375" t="s">
        <v>1395</v>
      </c>
      <c r="C1375" t="s">
        <v>46</v>
      </c>
      <c r="D1375" t="s">
        <v>13</v>
      </c>
      <c r="E1375" s="4">
        <v>31680438</v>
      </c>
      <c r="F1375">
        <v>56.06</v>
      </c>
      <c r="G1375">
        <v>5.04</v>
      </c>
      <c r="H1375">
        <v>302.2</v>
      </c>
      <c r="I1375">
        <v>8.98</v>
      </c>
      <c r="J1375" s="5">
        <v>46060</v>
      </c>
      <c r="K1375">
        <f t="shared" si="21"/>
        <v>26.46</v>
      </c>
      <c r="L1375" t="str" cm="1">
        <f t="array" ref="L1375">_xlfn.IFS(E1375&gt;=52000000,"Platinum",E1375&gt;=37000000,"Gold",E1375&gt;=30000000,"Sliver",E1375&lt;30000000,"Bronze")</f>
        <v>Sliver</v>
      </c>
    </row>
    <row r="1376" spans="1:12" x14ac:dyDescent="0.25">
      <c r="A1376">
        <v>1375</v>
      </c>
      <c r="B1376" t="s">
        <v>1396</v>
      </c>
      <c r="C1376" t="s">
        <v>21</v>
      </c>
      <c r="D1376" t="s">
        <v>11</v>
      </c>
      <c r="E1376" s="4">
        <v>25744098</v>
      </c>
      <c r="F1376">
        <v>37.04</v>
      </c>
      <c r="G1376">
        <v>5.72</v>
      </c>
      <c r="H1376" s="1">
        <f>CALCULATION!$D$11</f>
        <v>343.315</v>
      </c>
      <c r="I1376">
        <v>4.3099999999999996</v>
      </c>
      <c r="J1376" s="5">
        <v>46060</v>
      </c>
      <c r="K1376">
        <f t="shared" si="21"/>
        <v>33.64</v>
      </c>
      <c r="L1376" t="str" cm="1">
        <f t="array" ref="L1376">_xlfn.IFS(E1376&gt;=52000000,"Platinum",E1376&gt;=37000000,"Gold",E1376&gt;=30000000,"Sliver",E1376&lt;30000000,"Bronze")</f>
        <v>Bronze</v>
      </c>
    </row>
    <row r="1377" spans="1:12" x14ac:dyDescent="0.25">
      <c r="A1377">
        <v>1376</v>
      </c>
      <c r="B1377" t="s">
        <v>1397</v>
      </c>
      <c r="C1377" t="s">
        <v>46</v>
      </c>
      <c r="D1377" t="s">
        <v>22</v>
      </c>
      <c r="E1377" s="4">
        <v>24484826</v>
      </c>
      <c r="F1377">
        <v>32</v>
      </c>
      <c r="G1377">
        <v>2.5099999999999998</v>
      </c>
      <c r="H1377">
        <v>150.84</v>
      </c>
      <c r="I1377">
        <v>7.86</v>
      </c>
      <c r="J1377" s="5">
        <v>46060</v>
      </c>
      <c r="K1377">
        <f t="shared" si="21"/>
        <v>37.93</v>
      </c>
      <c r="L1377" t="str" cm="1">
        <f t="array" ref="L1377">_xlfn.IFS(E1377&gt;=52000000,"Platinum",E1377&gt;=37000000,"Gold",E1377&gt;=30000000,"Sliver",E1377&lt;30000000,"Bronze")</f>
        <v>Bronze</v>
      </c>
    </row>
    <row r="1378" spans="1:12" x14ac:dyDescent="0.25">
      <c r="A1378">
        <v>1377</v>
      </c>
      <c r="B1378" t="s">
        <v>1398</v>
      </c>
      <c r="C1378" t="s">
        <v>21</v>
      </c>
      <c r="D1378" t="s">
        <v>17</v>
      </c>
      <c r="E1378" s="4">
        <v>25368791</v>
      </c>
      <c r="F1378">
        <v>49.77</v>
      </c>
      <c r="G1378">
        <v>1.41</v>
      </c>
      <c r="H1378">
        <v>84.89</v>
      </c>
      <c r="I1378">
        <v>2.84</v>
      </c>
      <c r="J1378" s="5">
        <v>46060</v>
      </c>
      <c r="K1378">
        <f t="shared" si="21"/>
        <v>26.54</v>
      </c>
      <c r="L1378" t="str" cm="1">
        <f t="array" ref="L1378">_xlfn.IFS(E1378&gt;=52000000,"Platinum",E1378&gt;=37000000,"Gold",E1378&gt;=30000000,"Sliver",E1378&lt;30000000,"Bronze")</f>
        <v>Bronze</v>
      </c>
    </row>
    <row r="1379" spans="1:12" x14ac:dyDescent="0.25">
      <c r="A1379">
        <v>1378</v>
      </c>
      <c r="B1379" t="s">
        <v>1399</v>
      </c>
      <c r="C1379" t="s">
        <v>46</v>
      </c>
      <c r="D1379" t="s">
        <v>11</v>
      </c>
      <c r="E1379" s="4">
        <v>25042648</v>
      </c>
      <c r="F1379">
        <v>41.34</v>
      </c>
      <c r="G1379">
        <v>7.87</v>
      </c>
      <c r="H1379">
        <v>472.27</v>
      </c>
      <c r="I1379">
        <v>19.04</v>
      </c>
      <c r="J1379" s="5">
        <v>46060</v>
      </c>
      <c r="K1379">
        <f t="shared" si="21"/>
        <v>38.85</v>
      </c>
      <c r="L1379" t="str" cm="1">
        <f t="array" ref="L1379">_xlfn.IFS(E1379&gt;=52000000,"Platinum",E1379&gt;=37000000,"Gold",E1379&gt;=30000000,"Sliver",E1379&lt;30000000,"Bronze")</f>
        <v>Bronze</v>
      </c>
    </row>
    <row r="1380" spans="1:12" x14ac:dyDescent="0.25">
      <c r="A1380">
        <v>1379</v>
      </c>
      <c r="B1380" t="s">
        <v>1400</v>
      </c>
      <c r="C1380" t="s">
        <v>19</v>
      </c>
      <c r="D1380" t="s">
        <v>11</v>
      </c>
      <c r="E1380" s="4">
        <v>26297295</v>
      </c>
      <c r="F1380">
        <v>52.54</v>
      </c>
      <c r="G1380">
        <v>2.39</v>
      </c>
      <c r="H1380">
        <v>143.55000000000001</v>
      </c>
      <c r="I1380">
        <v>4.55</v>
      </c>
      <c r="J1380" s="5">
        <v>46060</v>
      </c>
      <c r="K1380">
        <f t="shared" si="21"/>
        <v>26.01</v>
      </c>
      <c r="L1380" t="str" cm="1">
        <f t="array" ref="L1380">_xlfn.IFS(E1380&gt;=52000000,"Platinum",E1380&gt;=37000000,"Gold",E1380&gt;=30000000,"Sliver",E1380&lt;30000000,"Bronze")</f>
        <v>Bronze</v>
      </c>
    </row>
    <row r="1381" spans="1:12" x14ac:dyDescent="0.25">
      <c r="A1381">
        <v>1380</v>
      </c>
      <c r="B1381" t="s">
        <v>1401</v>
      </c>
      <c r="C1381" t="s">
        <v>16</v>
      </c>
      <c r="D1381" t="s">
        <v>17</v>
      </c>
      <c r="E1381" s="4">
        <v>27024768</v>
      </c>
      <c r="F1381">
        <v>41.38</v>
      </c>
      <c r="G1381">
        <v>3.25</v>
      </c>
      <c r="H1381">
        <v>194.8</v>
      </c>
      <c r="I1381">
        <v>7.85</v>
      </c>
      <c r="J1381" s="5">
        <v>46060</v>
      </c>
      <c r="K1381">
        <f t="shared" si="21"/>
        <v>33.24</v>
      </c>
      <c r="L1381" t="str" cm="1">
        <f t="array" ref="L1381">_xlfn.IFS(E1381&gt;=52000000,"Platinum",E1381&gt;=37000000,"Gold",E1381&gt;=30000000,"Sliver",E1381&lt;30000000,"Bronze")</f>
        <v>Bronze</v>
      </c>
    </row>
    <row r="1382" spans="1:12" x14ac:dyDescent="0.25">
      <c r="A1382">
        <v>1381</v>
      </c>
      <c r="B1382" t="s">
        <v>1402</v>
      </c>
      <c r="C1382" t="s">
        <v>16</v>
      </c>
      <c r="D1382" t="s">
        <v>25</v>
      </c>
      <c r="E1382" s="4">
        <v>29191049</v>
      </c>
      <c r="F1382">
        <v>43.65</v>
      </c>
      <c r="G1382">
        <v>4.58</v>
      </c>
      <c r="H1382">
        <v>274.64999999999998</v>
      </c>
      <c r="I1382">
        <v>10.49</v>
      </c>
      <c r="J1382" s="5">
        <v>46060</v>
      </c>
      <c r="K1382">
        <f t="shared" si="21"/>
        <v>33.42</v>
      </c>
      <c r="L1382" t="str" cm="1">
        <f t="array" ref="L1382">_xlfn.IFS(E1382&gt;=52000000,"Platinum",E1382&gt;=37000000,"Gold",E1382&gt;=30000000,"Sliver",E1382&lt;30000000,"Bronze")</f>
        <v>Bronze</v>
      </c>
    </row>
    <row r="1383" spans="1:12" x14ac:dyDescent="0.25">
      <c r="A1383">
        <v>1382</v>
      </c>
      <c r="B1383" t="s">
        <v>1403</v>
      </c>
      <c r="C1383" t="s">
        <v>27</v>
      </c>
      <c r="D1383" t="s">
        <v>17</v>
      </c>
      <c r="E1383" s="4">
        <v>32274461</v>
      </c>
      <c r="F1383">
        <v>28.77</v>
      </c>
      <c r="G1383">
        <v>33.35</v>
      </c>
      <c r="H1383">
        <v>2000.78</v>
      </c>
      <c r="I1383">
        <v>115.91</v>
      </c>
      <c r="J1383" s="5">
        <v>46060</v>
      </c>
      <c r="K1383">
        <f t="shared" si="21"/>
        <v>93.57</v>
      </c>
      <c r="L1383" t="str" cm="1">
        <f t="array" ref="L1383">_xlfn.IFS(E1383&gt;=52000000,"Platinum",E1383&gt;=37000000,"Gold",E1383&gt;=30000000,"Sliver",E1383&lt;30000000,"Bronze")</f>
        <v>Sliver</v>
      </c>
    </row>
    <row r="1384" spans="1:12" x14ac:dyDescent="0.25">
      <c r="A1384">
        <v>1383</v>
      </c>
      <c r="B1384" t="s">
        <v>1404</v>
      </c>
      <c r="C1384" t="s">
        <v>19</v>
      </c>
      <c r="D1384" t="s">
        <v>17</v>
      </c>
      <c r="E1384" s="4">
        <v>24199512</v>
      </c>
      <c r="F1384" s="1">
        <f>CALCULATION!$C$11</f>
        <v>42.81</v>
      </c>
      <c r="G1384" s="1">
        <v>8.81</v>
      </c>
      <c r="H1384">
        <v>528.67999999999995</v>
      </c>
      <c r="I1384">
        <v>16.2</v>
      </c>
      <c r="J1384" s="5">
        <v>46060</v>
      </c>
      <c r="K1384">
        <f t="shared" si="21"/>
        <v>36.700000000000003</v>
      </c>
      <c r="L1384" t="str" cm="1">
        <f t="array" ref="L1384">_xlfn.IFS(E1384&gt;=52000000,"Platinum",E1384&gt;=37000000,"Gold",E1384&gt;=30000000,"Sliver",E1384&lt;30000000,"Bronze")</f>
        <v>Bronze</v>
      </c>
    </row>
    <row r="1385" spans="1:12" x14ac:dyDescent="0.25">
      <c r="A1385">
        <v>1384</v>
      </c>
      <c r="B1385" t="s">
        <v>1405</v>
      </c>
      <c r="C1385" t="s">
        <v>21</v>
      </c>
      <c r="D1385" t="s">
        <v>25</v>
      </c>
      <c r="E1385" s="4">
        <v>28805433</v>
      </c>
      <c r="F1385">
        <v>40.159999999999997</v>
      </c>
      <c r="G1385">
        <v>1.33</v>
      </c>
      <c r="H1385">
        <v>79.92</v>
      </c>
      <c r="I1385">
        <v>3.32</v>
      </c>
      <c r="J1385" s="5">
        <v>46060</v>
      </c>
      <c r="K1385">
        <f t="shared" si="21"/>
        <v>31.58</v>
      </c>
      <c r="L1385" t="str" cm="1">
        <f t="array" ref="L1385">_xlfn.IFS(E1385&gt;=52000000,"Platinum",E1385&gt;=37000000,"Gold",E1385&gt;=30000000,"Sliver",E1385&lt;30000000,"Bronze")</f>
        <v>Bronze</v>
      </c>
    </row>
    <row r="1386" spans="1:12" x14ac:dyDescent="0.25">
      <c r="A1386">
        <v>1385</v>
      </c>
      <c r="B1386" t="s">
        <v>1406</v>
      </c>
      <c r="C1386" t="s">
        <v>19</v>
      </c>
      <c r="D1386" t="s">
        <v>13</v>
      </c>
      <c r="E1386" s="4">
        <v>30754828</v>
      </c>
      <c r="F1386">
        <v>51.11</v>
      </c>
      <c r="G1386">
        <v>9.33</v>
      </c>
      <c r="H1386">
        <v>559.61</v>
      </c>
      <c r="I1386">
        <v>18.25</v>
      </c>
      <c r="J1386" s="5">
        <v>46060</v>
      </c>
      <c r="K1386">
        <f t="shared" si="21"/>
        <v>33.57</v>
      </c>
      <c r="L1386" t="str" cm="1">
        <f t="array" ref="L1386">_xlfn.IFS(E1386&gt;=52000000,"Platinum",E1386&gt;=37000000,"Gold",E1386&gt;=30000000,"Sliver",E1386&lt;30000000,"Bronze")</f>
        <v>Sliver</v>
      </c>
    </row>
    <row r="1387" spans="1:12" x14ac:dyDescent="0.25">
      <c r="A1387">
        <v>1386</v>
      </c>
      <c r="B1387" t="s">
        <v>1407</v>
      </c>
      <c r="C1387" t="s">
        <v>46</v>
      </c>
      <c r="D1387" t="s">
        <v>13</v>
      </c>
      <c r="E1387" s="4">
        <v>31786109</v>
      </c>
      <c r="F1387">
        <v>40.81</v>
      </c>
      <c r="G1387">
        <v>5.72</v>
      </c>
      <c r="H1387" s="1">
        <f>CALCULATION!$D$11</f>
        <v>343.315</v>
      </c>
      <c r="I1387">
        <v>11.82</v>
      </c>
      <c r="J1387" s="5">
        <v>46060</v>
      </c>
      <c r="K1387">
        <f t="shared" si="21"/>
        <v>35.51</v>
      </c>
      <c r="L1387" t="str" cm="1">
        <f t="array" ref="L1387">_xlfn.IFS(E1387&gt;=52000000,"Platinum",E1387&gt;=37000000,"Gold",E1387&gt;=30000000,"Sliver",E1387&lt;30000000,"Bronze")</f>
        <v>Sliver</v>
      </c>
    </row>
    <row r="1388" spans="1:12" x14ac:dyDescent="0.25">
      <c r="A1388">
        <v>1387</v>
      </c>
      <c r="B1388" t="s">
        <v>1408</v>
      </c>
      <c r="C1388" t="s">
        <v>19</v>
      </c>
      <c r="D1388" t="s">
        <v>13</v>
      </c>
      <c r="E1388" s="4">
        <v>31827033</v>
      </c>
      <c r="F1388">
        <v>54.2</v>
      </c>
      <c r="G1388">
        <v>2.0099999999999998</v>
      </c>
      <c r="H1388">
        <v>120.73</v>
      </c>
      <c r="I1388">
        <v>3.71</v>
      </c>
      <c r="J1388" s="5">
        <v>46060</v>
      </c>
      <c r="K1388">
        <f t="shared" si="21"/>
        <v>24.76</v>
      </c>
      <c r="L1388" t="str" cm="1">
        <f t="array" ref="L1388">_xlfn.IFS(E1388&gt;=52000000,"Platinum",E1388&gt;=37000000,"Gold",E1388&gt;=30000000,"Sliver",E1388&lt;30000000,"Bronze")</f>
        <v>Sliver</v>
      </c>
    </row>
    <row r="1389" spans="1:12" x14ac:dyDescent="0.25">
      <c r="A1389">
        <v>1388</v>
      </c>
      <c r="B1389" t="s">
        <v>1409</v>
      </c>
      <c r="C1389" t="s">
        <v>21</v>
      </c>
      <c r="D1389" t="s">
        <v>25</v>
      </c>
      <c r="E1389" s="4">
        <v>27871471</v>
      </c>
      <c r="F1389">
        <v>46.82</v>
      </c>
      <c r="G1389">
        <v>2.2400000000000002</v>
      </c>
      <c r="H1389">
        <v>134.47999999999999</v>
      </c>
      <c r="I1389">
        <v>4.79</v>
      </c>
      <c r="J1389" s="5">
        <v>46060</v>
      </c>
      <c r="K1389">
        <f t="shared" si="21"/>
        <v>28.99</v>
      </c>
      <c r="L1389" t="str" cm="1">
        <f t="array" ref="L1389">_xlfn.IFS(E1389&gt;=52000000,"Platinum",E1389&gt;=37000000,"Gold",E1389&gt;=30000000,"Sliver",E1389&lt;30000000,"Bronze")</f>
        <v>Bronze</v>
      </c>
    </row>
    <row r="1390" spans="1:12" x14ac:dyDescent="0.25">
      <c r="A1390">
        <v>1389</v>
      </c>
      <c r="B1390" t="s">
        <v>1410</v>
      </c>
      <c r="C1390" t="s">
        <v>46</v>
      </c>
      <c r="D1390" t="s">
        <v>32</v>
      </c>
      <c r="E1390" s="4">
        <v>27181118</v>
      </c>
      <c r="F1390">
        <v>53.32</v>
      </c>
      <c r="G1390">
        <v>4.82</v>
      </c>
      <c r="H1390">
        <v>289.16000000000003</v>
      </c>
      <c r="I1390">
        <v>9.0399999999999991</v>
      </c>
      <c r="J1390" s="5">
        <v>46060</v>
      </c>
      <c r="K1390">
        <f t="shared" si="21"/>
        <v>27.86</v>
      </c>
      <c r="L1390" t="str" cm="1">
        <f t="array" ref="L1390">_xlfn.IFS(E1390&gt;=52000000,"Platinum",E1390&gt;=37000000,"Gold",E1390&gt;=30000000,"Sliver",E1390&lt;30000000,"Bronze")</f>
        <v>Bronze</v>
      </c>
    </row>
    <row r="1391" spans="1:12" x14ac:dyDescent="0.25">
      <c r="A1391">
        <v>1390</v>
      </c>
      <c r="B1391" t="s">
        <v>1411</v>
      </c>
      <c r="C1391" t="s">
        <v>27</v>
      </c>
      <c r="D1391" t="s">
        <v>22</v>
      </c>
      <c r="E1391" s="4">
        <v>31244474</v>
      </c>
      <c r="F1391">
        <v>23.19</v>
      </c>
      <c r="G1391">
        <v>16.98</v>
      </c>
      <c r="H1391">
        <v>1018.51</v>
      </c>
      <c r="I1391">
        <v>73.2</v>
      </c>
      <c r="J1391" s="5">
        <v>46060</v>
      </c>
      <c r="K1391">
        <f t="shared" si="21"/>
        <v>75.010000000000005</v>
      </c>
      <c r="L1391" t="str" cm="1">
        <f t="array" ref="L1391">_xlfn.IFS(E1391&gt;=52000000,"Platinum",E1391&gt;=37000000,"Gold",E1391&gt;=30000000,"Sliver",E1391&lt;30000000,"Bronze")</f>
        <v>Sliver</v>
      </c>
    </row>
    <row r="1392" spans="1:12" x14ac:dyDescent="0.25">
      <c r="A1392">
        <v>1391</v>
      </c>
      <c r="B1392" t="s">
        <v>1412</v>
      </c>
      <c r="C1392" t="s">
        <v>46</v>
      </c>
      <c r="D1392" t="s">
        <v>13</v>
      </c>
      <c r="E1392" s="4">
        <v>25838373</v>
      </c>
      <c r="F1392">
        <v>46.08</v>
      </c>
      <c r="G1392">
        <v>9.8699999999999992</v>
      </c>
      <c r="H1392">
        <v>592.33000000000004</v>
      </c>
      <c r="I1392">
        <v>21.42</v>
      </c>
      <c r="J1392" s="5">
        <v>46060</v>
      </c>
      <c r="K1392">
        <f t="shared" si="21"/>
        <v>37.67</v>
      </c>
      <c r="L1392" t="str" cm="1">
        <f t="array" ref="L1392">_xlfn.IFS(E1392&gt;=52000000,"Platinum",E1392&gt;=37000000,"Gold",E1392&gt;=30000000,"Sliver",E1392&lt;30000000,"Bronze")</f>
        <v>Bronze</v>
      </c>
    </row>
    <row r="1393" spans="1:12" x14ac:dyDescent="0.25">
      <c r="A1393">
        <v>1392</v>
      </c>
      <c r="B1393" t="s">
        <v>1413</v>
      </c>
      <c r="C1393" t="s">
        <v>16</v>
      </c>
      <c r="D1393" t="s">
        <v>17</v>
      </c>
      <c r="E1393" s="4">
        <v>24056446</v>
      </c>
      <c r="F1393" s="1">
        <f>CALCULATION!$C$11</f>
        <v>42.81</v>
      </c>
      <c r="G1393" s="1">
        <v>7.48</v>
      </c>
      <c r="H1393">
        <v>448.57</v>
      </c>
      <c r="I1393">
        <v>14.03</v>
      </c>
      <c r="J1393" s="5">
        <v>46060</v>
      </c>
      <c r="K1393">
        <f t="shared" si="21"/>
        <v>35.61</v>
      </c>
      <c r="L1393" t="str" cm="1">
        <f t="array" ref="L1393">_xlfn.IFS(E1393&gt;=52000000,"Platinum",E1393&gt;=37000000,"Gold",E1393&gt;=30000000,"Sliver",E1393&lt;30000000,"Bronze")</f>
        <v>Bronze</v>
      </c>
    </row>
    <row r="1394" spans="1:12" x14ac:dyDescent="0.25">
      <c r="A1394">
        <v>1393</v>
      </c>
      <c r="B1394" t="s">
        <v>1414</v>
      </c>
      <c r="C1394" t="s">
        <v>10</v>
      </c>
      <c r="D1394" t="s">
        <v>25</v>
      </c>
      <c r="E1394" s="4">
        <v>24818122</v>
      </c>
      <c r="F1394">
        <v>32.67</v>
      </c>
      <c r="G1394">
        <v>7.41</v>
      </c>
      <c r="H1394">
        <v>444.64</v>
      </c>
      <c r="I1394">
        <v>22.68</v>
      </c>
      <c r="J1394" s="5">
        <v>46060</v>
      </c>
      <c r="K1394">
        <f t="shared" si="21"/>
        <v>45.01</v>
      </c>
      <c r="L1394" t="str" cm="1">
        <f t="array" ref="L1394">_xlfn.IFS(E1394&gt;=52000000,"Platinum",E1394&gt;=37000000,"Gold",E1394&gt;=30000000,"Sliver",E1394&lt;30000000,"Bronze")</f>
        <v>Bronze</v>
      </c>
    </row>
    <row r="1395" spans="1:12" x14ac:dyDescent="0.25">
      <c r="A1395">
        <v>1394</v>
      </c>
      <c r="B1395" t="s">
        <v>1415</v>
      </c>
      <c r="C1395" t="s">
        <v>21</v>
      </c>
      <c r="D1395" t="s">
        <v>11</v>
      </c>
      <c r="E1395" s="4">
        <v>29933832</v>
      </c>
      <c r="F1395">
        <v>44.6</v>
      </c>
      <c r="G1395">
        <v>2.1800000000000002</v>
      </c>
      <c r="H1395">
        <v>130.83000000000001</v>
      </c>
      <c r="I1395">
        <v>4.8899999999999997</v>
      </c>
      <c r="J1395" s="5">
        <v>46060</v>
      </c>
      <c r="K1395">
        <f t="shared" si="21"/>
        <v>30.15</v>
      </c>
      <c r="L1395" t="str" cm="1">
        <f t="array" ref="L1395">_xlfn.IFS(E1395&gt;=52000000,"Platinum",E1395&gt;=37000000,"Gold",E1395&gt;=30000000,"Sliver",E1395&lt;30000000,"Bronze")</f>
        <v>Bronze</v>
      </c>
    </row>
    <row r="1396" spans="1:12" x14ac:dyDescent="0.25">
      <c r="A1396">
        <v>1395</v>
      </c>
      <c r="B1396" t="s">
        <v>1416</v>
      </c>
      <c r="C1396" t="s">
        <v>16</v>
      </c>
      <c r="D1396" t="s">
        <v>32</v>
      </c>
      <c r="E1396" s="4">
        <v>23088052</v>
      </c>
      <c r="F1396">
        <v>31.22</v>
      </c>
      <c r="G1396">
        <v>2.21</v>
      </c>
      <c r="H1396">
        <v>132.83000000000001</v>
      </c>
      <c r="I1396">
        <v>7.09</v>
      </c>
      <c r="J1396" s="5">
        <v>46060</v>
      </c>
      <c r="K1396">
        <f t="shared" si="21"/>
        <v>37.94</v>
      </c>
      <c r="L1396" t="str" cm="1">
        <f t="array" ref="L1396">_xlfn.IFS(E1396&gt;=52000000,"Platinum",E1396&gt;=37000000,"Gold",E1396&gt;=30000000,"Sliver",E1396&lt;30000000,"Bronze")</f>
        <v>Bronze</v>
      </c>
    </row>
    <row r="1397" spans="1:12" x14ac:dyDescent="0.25">
      <c r="A1397">
        <v>1396</v>
      </c>
      <c r="B1397" t="s">
        <v>1417</v>
      </c>
      <c r="C1397" t="s">
        <v>10</v>
      </c>
      <c r="D1397" t="s">
        <v>11</v>
      </c>
      <c r="E1397" s="4">
        <v>31125863</v>
      </c>
      <c r="F1397">
        <v>42.06</v>
      </c>
      <c r="G1397">
        <v>2.23</v>
      </c>
      <c r="H1397">
        <v>133.59</v>
      </c>
      <c r="I1397">
        <v>5.29</v>
      </c>
      <c r="J1397" s="5">
        <v>46060</v>
      </c>
      <c r="K1397">
        <f t="shared" si="21"/>
        <v>31.62</v>
      </c>
      <c r="L1397" t="str" cm="1">
        <f t="array" ref="L1397">_xlfn.IFS(E1397&gt;=52000000,"Platinum",E1397&gt;=37000000,"Gold",E1397&gt;=30000000,"Sliver",E1397&lt;30000000,"Bronze")</f>
        <v>Sliver</v>
      </c>
    </row>
    <row r="1398" spans="1:12" x14ac:dyDescent="0.25">
      <c r="A1398">
        <v>1397</v>
      </c>
      <c r="B1398" t="s">
        <v>1418</v>
      </c>
      <c r="C1398" t="s">
        <v>27</v>
      </c>
      <c r="D1398" t="s">
        <v>17</v>
      </c>
      <c r="E1398" s="4">
        <v>21913381</v>
      </c>
      <c r="F1398">
        <v>18.010000000000002</v>
      </c>
      <c r="G1398">
        <v>27.61</v>
      </c>
      <c r="H1398">
        <v>1656.57</v>
      </c>
      <c r="I1398">
        <v>153.30000000000001</v>
      </c>
      <c r="J1398" s="5">
        <v>46060</v>
      </c>
      <c r="K1398">
        <f t="shared" si="21"/>
        <v>117.65</v>
      </c>
      <c r="L1398" t="str" cm="1">
        <f t="array" ref="L1398">_xlfn.IFS(E1398&gt;=52000000,"Platinum",E1398&gt;=37000000,"Gold",E1398&gt;=30000000,"Sliver",E1398&lt;30000000,"Bronze")</f>
        <v>Bronze</v>
      </c>
    </row>
    <row r="1399" spans="1:12" x14ac:dyDescent="0.25">
      <c r="A1399">
        <v>1398</v>
      </c>
      <c r="B1399" t="s">
        <v>1419</v>
      </c>
      <c r="C1399" t="s">
        <v>46</v>
      </c>
      <c r="D1399" t="s">
        <v>13</v>
      </c>
      <c r="E1399" s="4">
        <v>27603838</v>
      </c>
      <c r="F1399">
        <v>35.49</v>
      </c>
      <c r="G1399">
        <v>3.45</v>
      </c>
      <c r="H1399">
        <v>207.27</v>
      </c>
      <c r="I1399">
        <v>9.73</v>
      </c>
      <c r="J1399" s="5">
        <v>46060</v>
      </c>
      <c r="K1399">
        <f t="shared" si="21"/>
        <v>37.119999999999997</v>
      </c>
      <c r="L1399" t="str" cm="1">
        <f t="array" ref="L1399">_xlfn.IFS(E1399&gt;=52000000,"Platinum",E1399&gt;=37000000,"Gold",E1399&gt;=30000000,"Sliver",E1399&lt;30000000,"Bronze")</f>
        <v>Bronze</v>
      </c>
    </row>
    <row r="1400" spans="1:12" x14ac:dyDescent="0.25">
      <c r="A1400">
        <v>1399</v>
      </c>
      <c r="B1400" t="s">
        <v>1420</v>
      </c>
      <c r="C1400" t="s">
        <v>27</v>
      </c>
      <c r="D1400" t="s">
        <v>17</v>
      </c>
      <c r="E1400" s="4">
        <v>23869858</v>
      </c>
      <c r="F1400">
        <v>20.03</v>
      </c>
      <c r="G1400">
        <v>14.34</v>
      </c>
      <c r="H1400">
        <v>860.5</v>
      </c>
      <c r="I1400">
        <v>71.599999999999994</v>
      </c>
      <c r="J1400" s="5">
        <v>46060</v>
      </c>
      <c r="K1400">
        <f t="shared" si="21"/>
        <v>75.790000000000006</v>
      </c>
      <c r="L1400" t="str" cm="1">
        <f t="array" ref="L1400">_xlfn.IFS(E1400&gt;=52000000,"Platinum",E1400&gt;=37000000,"Gold",E1400&gt;=30000000,"Sliver",E1400&lt;30000000,"Bronze")</f>
        <v>Bronze</v>
      </c>
    </row>
    <row r="1401" spans="1:12" x14ac:dyDescent="0.25">
      <c r="A1401">
        <v>1400</v>
      </c>
      <c r="B1401" t="s">
        <v>1421</v>
      </c>
      <c r="C1401" t="s">
        <v>27</v>
      </c>
      <c r="D1401" t="s">
        <v>17</v>
      </c>
      <c r="E1401" s="4">
        <v>21783344</v>
      </c>
      <c r="F1401">
        <v>26.3</v>
      </c>
      <c r="G1401">
        <v>37.369999999999997</v>
      </c>
      <c r="H1401">
        <v>2242.4699999999998</v>
      </c>
      <c r="I1401">
        <v>142.11000000000001</v>
      </c>
      <c r="J1401" s="5">
        <v>46060</v>
      </c>
      <c r="K1401">
        <f t="shared" si="21"/>
        <v>107.91</v>
      </c>
      <c r="L1401" t="str" cm="1">
        <f t="array" ref="L1401">_xlfn.IFS(E1401&gt;=52000000,"Platinum",E1401&gt;=37000000,"Gold",E1401&gt;=30000000,"Sliver",E1401&lt;30000000,"Bronze")</f>
        <v>Bronze</v>
      </c>
    </row>
    <row r="1402" spans="1:12" x14ac:dyDescent="0.25">
      <c r="A1402">
        <v>1401</v>
      </c>
      <c r="B1402" t="s">
        <v>1422</v>
      </c>
      <c r="C1402" t="s">
        <v>10</v>
      </c>
      <c r="D1402" t="s">
        <v>25</v>
      </c>
      <c r="E1402" s="4">
        <v>27830591</v>
      </c>
      <c r="F1402">
        <v>33.380000000000003</v>
      </c>
      <c r="G1402">
        <v>9.25</v>
      </c>
      <c r="H1402">
        <v>554.73</v>
      </c>
      <c r="I1402">
        <v>27.7</v>
      </c>
      <c r="J1402" s="5">
        <v>46060</v>
      </c>
      <c r="K1402">
        <f t="shared" si="21"/>
        <v>47.16</v>
      </c>
      <c r="L1402" t="str" cm="1">
        <f t="array" ref="L1402">_xlfn.IFS(E1402&gt;=52000000,"Platinum",E1402&gt;=37000000,"Gold",E1402&gt;=30000000,"Sliver",E1402&lt;30000000,"Bronze")</f>
        <v>Bronze</v>
      </c>
    </row>
    <row r="1403" spans="1:12" x14ac:dyDescent="0.25">
      <c r="A1403">
        <v>1402</v>
      </c>
      <c r="B1403" t="s">
        <v>1423</v>
      </c>
      <c r="C1403" t="s">
        <v>21</v>
      </c>
      <c r="D1403" t="s">
        <v>32</v>
      </c>
      <c r="E1403" s="4">
        <v>22939515</v>
      </c>
      <c r="F1403">
        <v>40.98</v>
      </c>
      <c r="G1403">
        <v>2.17</v>
      </c>
      <c r="H1403">
        <v>130.06</v>
      </c>
      <c r="I1403">
        <v>5.29</v>
      </c>
      <c r="J1403" s="5">
        <v>46060</v>
      </c>
      <c r="K1403">
        <f t="shared" si="21"/>
        <v>32.159999999999997</v>
      </c>
      <c r="L1403" t="str" cm="1">
        <f t="array" ref="L1403">_xlfn.IFS(E1403&gt;=52000000,"Platinum",E1403&gt;=37000000,"Gold",E1403&gt;=30000000,"Sliver",E1403&lt;30000000,"Bronze")</f>
        <v>Bronze</v>
      </c>
    </row>
    <row r="1404" spans="1:12" x14ac:dyDescent="0.25">
      <c r="A1404">
        <v>1403</v>
      </c>
      <c r="B1404" t="s">
        <v>1424</v>
      </c>
      <c r="C1404" t="s">
        <v>16</v>
      </c>
      <c r="D1404" t="s">
        <v>11</v>
      </c>
      <c r="E1404" s="4">
        <v>27024841</v>
      </c>
      <c r="F1404">
        <v>39.6</v>
      </c>
      <c r="G1404">
        <v>2.5</v>
      </c>
      <c r="H1404">
        <v>150.16999999999999</v>
      </c>
      <c r="I1404">
        <v>6.32</v>
      </c>
      <c r="J1404" s="5">
        <v>46060</v>
      </c>
      <c r="K1404">
        <f t="shared" si="21"/>
        <v>33.36</v>
      </c>
      <c r="L1404" t="str" cm="1">
        <f t="array" ref="L1404">_xlfn.IFS(E1404&gt;=52000000,"Platinum",E1404&gt;=37000000,"Gold",E1404&gt;=30000000,"Sliver",E1404&lt;30000000,"Bronze")</f>
        <v>Bronze</v>
      </c>
    </row>
    <row r="1405" spans="1:12" x14ac:dyDescent="0.25">
      <c r="A1405">
        <v>1404</v>
      </c>
      <c r="B1405" t="s">
        <v>1425</v>
      </c>
      <c r="C1405" t="s">
        <v>21</v>
      </c>
      <c r="D1405" t="s">
        <v>13</v>
      </c>
      <c r="E1405" s="4">
        <v>24360097</v>
      </c>
      <c r="F1405">
        <v>36.67</v>
      </c>
      <c r="G1405">
        <v>2.11</v>
      </c>
      <c r="H1405">
        <v>126.74</v>
      </c>
      <c r="I1405">
        <v>5.76</v>
      </c>
      <c r="J1405" s="5">
        <v>46060</v>
      </c>
      <c r="K1405">
        <f t="shared" si="21"/>
        <v>34.549999999999997</v>
      </c>
      <c r="L1405" t="str" cm="1">
        <f t="array" ref="L1405">_xlfn.IFS(E1405&gt;=52000000,"Platinum",E1405&gt;=37000000,"Gold",E1405&gt;=30000000,"Sliver",E1405&lt;30000000,"Bronze")</f>
        <v>Bronze</v>
      </c>
    </row>
    <row r="1406" spans="1:12" x14ac:dyDescent="0.25">
      <c r="A1406">
        <v>1405</v>
      </c>
      <c r="B1406" t="s">
        <v>1426</v>
      </c>
      <c r="C1406" t="s">
        <v>29</v>
      </c>
      <c r="D1406" t="s">
        <v>25</v>
      </c>
      <c r="E1406" s="4">
        <v>27753126</v>
      </c>
      <c r="F1406">
        <v>46.97</v>
      </c>
      <c r="G1406">
        <v>7.71</v>
      </c>
      <c r="H1406">
        <v>462.39</v>
      </c>
      <c r="I1406">
        <v>16.41</v>
      </c>
      <c r="J1406" s="5">
        <v>46060</v>
      </c>
      <c r="K1406">
        <f t="shared" si="21"/>
        <v>34.72</v>
      </c>
      <c r="L1406" t="str" cm="1">
        <f t="array" ref="L1406">_xlfn.IFS(E1406&gt;=52000000,"Platinum",E1406&gt;=37000000,"Gold",E1406&gt;=30000000,"Sliver",E1406&lt;30000000,"Bronze")</f>
        <v>Bronze</v>
      </c>
    </row>
    <row r="1407" spans="1:12" x14ac:dyDescent="0.25">
      <c r="A1407">
        <v>1406</v>
      </c>
      <c r="B1407" t="s">
        <v>1427</v>
      </c>
      <c r="C1407" t="s">
        <v>10</v>
      </c>
      <c r="D1407" t="s">
        <v>17</v>
      </c>
      <c r="E1407" s="4">
        <v>23998930</v>
      </c>
      <c r="F1407">
        <v>38.340000000000003</v>
      </c>
      <c r="G1407">
        <v>3.97</v>
      </c>
      <c r="H1407">
        <v>237.92</v>
      </c>
      <c r="I1407">
        <v>10.34</v>
      </c>
      <c r="J1407" s="5">
        <v>46060</v>
      </c>
      <c r="K1407">
        <f t="shared" si="21"/>
        <v>36</v>
      </c>
      <c r="L1407" t="str" cm="1">
        <f t="array" ref="L1407">_xlfn.IFS(E1407&gt;=52000000,"Platinum",E1407&gt;=37000000,"Gold",E1407&gt;=30000000,"Sliver",E1407&lt;30000000,"Bronze")</f>
        <v>Bronze</v>
      </c>
    </row>
    <row r="1408" spans="1:12" x14ac:dyDescent="0.25">
      <c r="A1408">
        <v>1407</v>
      </c>
      <c r="B1408" t="s">
        <v>1428</v>
      </c>
      <c r="C1408" t="s">
        <v>19</v>
      </c>
      <c r="D1408" t="s">
        <v>22</v>
      </c>
      <c r="E1408" s="4">
        <v>26443495</v>
      </c>
      <c r="F1408">
        <v>36.31</v>
      </c>
      <c r="G1408">
        <v>6.89</v>
      </c>
      <c r="H1408">
        <v>413.57</v>
      </c>
      <c r="I1408">
        <v>18.98</v>
      </c>
      <c r="J1408" s="5">
        <v>46060</v>
      </c>
      <c r="K1408">
        <f t="shared" si="21"/>
        <v>41.34</v>
      </c>
      <c r="L1408" t="str" cm="1">
        <f t="array" ref="L1408">_xlfn.IFS(E1408&gt;=52000000,"Platinum",E1408&gt;=37000000,"Gold",E1408&gt;=30000000,"Sliver",E1408&lt;30000000,"Bronze")</f>
        <v>Bronze</v>
      </c>
    </row>
    <row r="1409" spans="1:12" x14ac:dyDescent="0.25">
      <c r="A1409">
        <v>1408</v>
      </c>
      <c r="B1409" t="s">
        <v>1429</v>
      </c>
      <c r="C1409" t="s">
        <v>16</v>
      </c>
      <c r="D1409" t="s">
        <v>22</v>
      </c>
      <c r="E1409" s="4">
        <v>26556056</v>
      </c>
      <c r="F1409">
        <v>59.11</v>
      </c>
      <c r="G1409">
        <v>5.71</v>
      </c>
      <c r="H1409">
        <v>342.86</v>
      </c>
      <c r="I1409">
        <v>9.67</v>
      </c>
      <c r="J1409" s="5">
        <v>46060</v>
      </c>
      <c r="K1409">
        <f t="shared" si="21"/>
        <v>25.28</v>
      </c>
      <c r="L1409" t="str" cm="1">
        <f t="array" ref="L1409">_xlfn.IFS(E1409&gt;=52000000,"Platinum",E1409&gt;=37000000,"Gold",E1409&gt;=30000000,"Sliver",E1409&lt;30000000,"Bronze")</f>
        <v>Bronze</v>
      </c>
    </row>
    <row r="1410" spans="1:12" x14ac:dyDescent="0.25">
      <c r="A1410">
        <v>1409</v>
      </c>
      <c r="B1410" t="s">
        <v>1430</v>
      </c>
      <c r="C1410" s="1" t="s">
        <v>21</v>
      </c>
      <c r="D1410" t="s">
        <v>17</v>
      </c>
      <c r="E1410" s="4">
        <v>22768978</v>
      </c>
      <c r="F1410">
        <v>54.1</v>
      </c>
      <c r="G1410">
        <v>9.26</v>
      </c>
      <c r="H1410">
        <v>555.77</v>
      </c>
      <c r="I1410">
        <v>17.12</v>
      </c>
      <c r="J1410" s="5">
        <v>46060</v>
      </c>
      <c r="K1410">
        <f t="shared" si="21"/>
        <v>31.51</v>
      </c>
      <c r="L1410" t="str" cm="1">
        <f t="array" ref="L1410">_xlfn.IFS(E1410&gt;=52000000,"Platinum",E1410&gt;=37000000,"Gold",E1410&gt;=30000000,"Sliver",E1410&lt;30000000,"Bronze")</f>
        <v>Bronze</v>
      </c>
    </row>
    <row r="1411" spans="1:12" x14ac:dyDescent="0.25">
      <c r="A1411">
        <v>1410</v>
      </c>
      <c r="B1411" t="s">
        <v>1431</v>
      </c>
      <c r="C1411" t="s">
        <v>21</v>
      </c>
      <c r="D1411" t="s">
        <v>25</v>
      </c>
      <c r="E1411" s="4">
        <v>28674151</v>
      </c>
      <c r="F1411">
        <v>39.979999999999997</v>
      </c>
      <c r="G1411">
        <v>1.02</v>
      </c>
      <c r="H1411">
        <v>61.06</v>
      </c>
      <c r="I1411">
        <v>2.5499999999999998</v>
      </c>
      <c r="J1411" s="5">
        <v>46060</v>
      </c>
      <c r="K1411">
        <f t="shared" ref="K1411:K1474" si="22">ROUND((100-F1411)*0.5 + I1411*0.5,2)</f>
        <v>31.29</v>
      </c>
      <c r="L1411" t="str" cm="1">
        <f t="array" ref="L1411">_xlfn.IFS(E1411&gt;=52000000,"Platinum",E1411&gt;=37000000,"Gold",E1411&gt;=30000000,"Sliver",E1411&lt;30000000,"Bronze")</f>
        <v>Bronze</v>
      </c>
    </row>
    <row r="1412" spans="1:12" x14ac:dyDescent="0.25">
      <c r="A1412">
        <v>1411</v>
      </c>
      <c r="B1412" t="s">
        <v>1432</v>
      </c>
      <c r="C1412" t="s">
        <v>10</v>
      </c>
      <c r="D1412" t="s">
        <v>11</v>
      </c>
      <c r="E1412" s="4">
        <v>25443096</v>
      </c>
      <c r="F1412">
        <v>37.880000000000003</v>
      </c>
      <c r="G1412">
        <v>5.73</v>
      </c>
      <c r="H1412">
        <v>343.81</v>
      </c>
      <c r="I1412">
        <v>15.13</v>
      </c>
      <c r="J1412" s="5">
        <v>46060</v>
      </c>
      <c r="K1412">
        <f t="shared" si="22"/>
        <v>38.630000000000003</v>
      </c>
      <c r="L1412" t="str" cm="1">
        <f t="array" ref="L1412">_xlfn.IFS(E1412&gt;=52000000,"Platinum",E1412&gt;=37000000,"Gold",E1412&gt;=30000000,"Sliver",E1412&lt;30000000,"Bronze")</f>
        <v>Bronze</v>
      </c>
    </row>
    <row r="1413" spans="1:12" x14ac:dyDescent="0.25">
      <c r="A1413">
        <v>1412</v>
      </c>
      <c r="B1413" t="s">
        <v>1433</v>
      </c>
      <c r="C1413" t="s">
        <v>10</v>
      </c>
      <c r="D1413" t="s">
        <v>25</v>
      </c>
      <c r="E1413" s="4">
        <v>22966748</v>
      </c>
      <c r="F1413">
        <v>52.41</v>
      </c>
      <c r="G1413">
        <v>4.0999999999999996</v>
      </c>
      <c r="H1413">
        <v>246.01</v>
      </c>
      <c r="I1413">
        <v>7.82</v>
      </c>
      <c r="J1413" s="5">
        <v>46060</v>
      </c>
      <c r="K1413">
        <f t="shared" si="22"/>
        <v>27.71</v>
      </c>
      <c r="L1413" t="str" cm="1">
        <f t="array" ref="L1413">_xlfn.IFS(E1413&gt;=52000000,"Platinum",E1413&gt;=37000000,"Gold",E1413&gt;=30000000,"Sliver",E1413&lt;30000000,"Bronze")</f>
        <v>Bronze</v>
      </c>
    </row>
    <row r="1414" spans="1:12" x14ac:dyDescent="0.25">
      <c r="A1414">
        <v>1413</v>
      </c>
      <c r="B1414" t="s">
        <v>1434</v>
      </c>
      <c r="C1414" t="s">
        <v>27</v>
      </c>
      <c r="D1414" t="s">
        <v>11</v>
      </c>
      <c r="E1414" s="4">
        <v>22700932</v>
      </c>
      <c r="F1414">
        <v>21.3</v>
      </c>
      <c r="G1414">
        <v>15.03</v>
      </c>
      <c r="H1414">
        <v>901.85</v>
      </c>
      <c r="I1414">
        <v>70.569999999999993</v>
      </c>
      <c r="J1414" s="5">
        <v>46060</v>
      </c>
      <c r="K1414">
        <f t="shared" si="22"/>
        <v>74.64</v>
      </c>
      <c r="L1414" t="str" cm="1">
        <f t="array" ref="L1414">_xlfn.IFS(E1414&gt;=52000000,"Platinum",E1414&gt;=37000000,"Gold",E1414&gt;=30000000,"Sliver",E1414&lt;30000000,"Bronze")</f>
        <v>Bronze</v>
      </c>
    </row>
    <row r="1415" spans="1:12" x14ac:dyDescent="0.25">
      <c r="A1415">
        <v>1414</v>
      </c>
      <c r="B1415" t="s">
        <v>1435</v>
      </c>
      <c r="C1415" t="s">
        <v>29</v>
      </c>
      <c r="D1415" t="s">
        <v>11</v>
      </c>
      <c r="E1415" s="4">
        <v>21861494</v>
      </c>
      <c r="F1415">
        <v>53.55</v>
      </c>
      <c r="G1415">
        <v>9.68</v>
      </c>
      <c r="H1415">
        <v>580.73</v>
      </c>
      <c r="I1415">
        <v>18.07</v>
      </c>
      <c r="J1415" s="5">
        <v>46060</v>
      </c>
      <c r="K1415">
        <f t="shared" si="22"/>
        <v>32.26</v>
      </c>
      <c r="L1415" t="str" cm="1">
        <f t="array" ref="L1415">_xlfn.IFS(E1415&gt;=52000000,"Platinum",E1415&gt;=37000000,"Gold",E1415&gt;=30000000,"Sliver",E1415&lt;30000000,"Bronze")</f>
        <v>Bronze</v>
      </c>
    </row>
    <row r="1416" spans="1:12" x14ac:dyDescent="0.25">
      <c r="A1416">
        <v>1415</v>
      </c>
      <c r="B1416" t="s">
        <v>1436</v>
      </c>
      <c r="C1416" t="s">
        <v>46</v>
      </c>
      <c r="D1416" t="s">
        <v>13</v>
      </c>
      <c r="E1416" s="4">
        <v>21508159</v>
      </c>
      <c r="F1416">
        <v>40.03</v>
      </c>
      <c r="G1416">
        <v>8.15</v>
      </c>
      <c r="H1416">
        <v>488.95</v>
      </c>
      <c r="I1416">
        <v>20.36</v>
      </c>
      <c r="J1416" s="5">
        <v>46060</v>
      </c>
      <c r="K1416">
        <f t="shared" si="22"/>
        <v>40.17</v>
      </c>
      <c r="L1416" t="str" cm="1">
        <f t="array" ref="L1416">_xlfn.IFS(E1416&gt;=52000000,"Platinum",E1416&gt;=37000000,"Gold",E1416&gt;=30000000,"Sliver",E1416&lt;30000000,"Bronze")</f>
        <v>Bronze</v>
      </c>
    </row>
    <row r="1417" spans="1:12" x14ac:dyDescent="0.25">
      <c r="A1417">
        <v>1416</v>
      </c>
      <c r="B1417" t="s">
        <v>1437</v>
      </c>
      <c r="C1417" t="s">
        <v>19</v>
      </c>
      <c r="D1417" t="s">
        <v>17</v>
      </c>
      <c r="E1417" s="4">
        <v>25511717</v>
      </c>
      <c r="F1417">
        <v>31.53</v>
      </c>
      <c r="G1417">
        <v>8.61</v>
      </c>
      <c r="H1417">
        <v>516.87</v>
      </c>
      <c r="I1417">
        <v>27.32</v>
      </c>
      <c r="J1417" s="5">
        <v>46060</v>
      </c>
      <c r="K1417">
        <f t="shared" si="22"/>
        <v>47.9</v>
      </c>
      <c r="L1417" t="str" cm="1">
        <f t="array" ref="L1417">_xlfn.IFS(E1417&gt;=52000000,"Platinum",E1417&gt;=37000000,"Gold",E1417&gt;=30000000,"Sliver",E1417&lt;30000000,"Bronze")</f>
        <v>Bronze</v>
      </c>
    </row>
    <row r="1418" spans="1:12" x14ac:dyDescent="0.25">
      <c r="A1418">
        <v>1417</v>
      </c>
      <c r="B1418" t="s">
        <v>1438</v>
      </c>
      <c r="C1418" t="s">
        <v>29</v>
      </c>
      <c r="D1418" t="s">
        <v>22</v>
      </c>
      <c r="E1418" s="4">
        <v>22978385</v>
      </c>
      <c r="F1418">
        <v>49.19</v>
      </c>
      <c r="G1418">
        <v>5.71</v>
      </c>
      <c r="H1418">
        <v>342.74</v>
      </c>
      <c r="I1418">
        <v>11.61</v>
      </c>
      <c r="J1418" s="5">
        <v>46060</v>
      </c>
      <c r="K1418">
        <f t="shared" si="22"/>
        <v>31.21</v>
      </c>
      <c r="L1418" t="str" cm="1">
        <f t="array" ref="L1418">_xlfn.IFS(E1418&gt;=52000000,"Platinum",E1418&gt;=37000000,"Gold",E1418&gt;=30000000,"Sliver",E1418&lt;30000000,"Bronze")</f>
        <v>Bronze</v>
      </c>
    </row>
    <row r="1419" spans="1:12" x14ac:dyDescent="0.25">
      <c r="A1419">
        <v>1418</v>
      </c>
      <c r="B1419" t="s">
        <v>1439</v>
      </c>
      <c r="C1419" t="s">
        <v>10</v>
      </c>
      <c r="D1419" t="s">
        <v>22</v>
      </c>
      <c r="E1419" s="4">
        <v>22211945</v>
      </c>
      <c r="F1419">
        <v>33.21</v>
      </c>
      <c r="G1419">
        <v>9.36</v>
      </c>
      <c r="H1419">
        <v>561.67999999999995</v>
      </c>
      <c r="I1419">
        <v>28.19</v>
      </c>
      <c r="J1419" s="5">
        <v>46060</v>
      </c>
      <c r="K1419">
        <f t="shared" si="22"/>
        <v>47.49</v>
      </c>
      <c r="L1419" t="str" cm="1">
        <f t="array" ref="L1419">_xlfn.IFS(E1419&gt;=52000000,"Platinum",E1419&gt;=37000000,"Gold",E1419&gt;=30000000,"Sliver",E1419&lt;30000000,"Bronze")</f>
        <v>Bronze</v>
      </c>
    </row>
    <row r="1420" spans="1:12" x14ac:dyDescent="0.25">
      <c r="A1420">
        <v>1419</v>
      </c>
      <c r="B1420" t="s">
        <v>1440</v>
      </c>
      <c r="C1420" t="s">
        <v>16</v>
      </c>
      <c r="D1420" t="s">
        <v>17</v>
      </c>
      <c r="E1420" s="4">
        <v>30754826</v>
      </c>
      <c r="F1420">
        <v>34.18</v>
      </c>
      <c r="G1420">
        <v>9.5</v>
      </c>
      <c r="H1420">
        <v>570.02</v>
      </c>
      <c r="I1420">
        <v>27.8</v>
      </c>
      <c r="J1420" s="5">
        <v>46060</v>
      </c>
      <c r="K1420">
        <f t="shared" si="22"/>
        <v>46.81</v>
      </c>
      <c r="L1420" t="str" cm="1">
        <f t="array" ref="L1420">_xlfn.IFS(E1420&gt;=52000000,"Platinum",E1420&gt;=37000000,"Gold",E1420&gt;=30000000,"Sliver",E1420&lt;30000000,"Bronze")</f>
        <v>Sliver</v>
      </c>
    </row>
    <row r="1421" spans="1:12" x14ac:dyDescent="0.25">
      <c r="A1421">
        <v>1420</v>
      </c>
      <c r="B1421" t="s">
        <v>1441</v>
      </c>
      <c r="C1421" t="s">
        <v>10</v>
      </c>
      <c r="D1421" t="s">
        <v>13</v>
      </c>
      <c r="E1421" s="4">
        <v>21653583</v>
      </c>
      <c r="F1421" s="1">
        <f>CALCULATION!$C$11</f>
        <v>42.81</v>
      </c>
      <c r="G1421" s="1">
        <v>4.87</v>
      </c>
      <c r="H1421">
        <v>292.29000000000002</v>
      </c>
      <c r="I1421">
        <v>12.57</v>
      </c>
      <c r="J1421" s="5">
        <v>46060</v>
      </c>
      <c r="K1421">
        <f t="shared" si="22"/>
        <v>34.880000000000003</v>
      </c>
      <c r="L1421" t="str" cm="1">
        <f t="array" ref="L1421">_xlfn.IFS(E1421&gt;=52000000,"Platinum",E1421&gt;=37000000,"Gold",E1421&gt;=30000000,"Sliver",E1421&lt;30000000,"Bronze")</f>
        <v>Bronze</v>
      </c>
    </row>
    <row r="1422" spans="1:12" x14ac:dyDescent="0.25">
      <c r="A1422">
        <v>1421</v>
      </c>
      <c r="B1422" t="s">
        <v>1442</v>
      </c>
      <c r="C1422" t="s">
        <v>29</v>
      </c>
      <c r="D1422" t="s">
        <v>32</v>
      </c>
      <c r="E1422" s="4">
        <v>31352356</v>
      </c>
      <c r="F1422">
        <v>57.54</v>
      </c>
      <c r="G1422">
        <v>8.2899999999999991</v>
      </c>
      <c r="H1422">
        <v>497.63</v>
      </c>
      <c r="I1422">
        <v>14.41</v>
      </c>
      <c r="J1422" s="5">
        <v>46060</v>
      </c>
      <c r="K1422">
        <f t="shared" si="22"/>
        <v>28.44</v>
      </c>
      <c r="L1422" t="str" cm="1">
        <f t="array" ref="L1422">_xlfn.IFS(E1422&gt;=52000000,"Platinum",E1422&gt;=37000000,"Gold",E1422&gt;=30000000,"Sliver",E1422&lt;30000000,"Bronze")</f>
        <v>Sliver</v>
      </c>
    </row>
    <row r="1423" spans="1:12" x14ac:dyDescent="0.25">
      <c r="A1423">
        <v>1422</v>
      </c>
      <c r="B1423" t="s">
        <v>1443</v>
      </c>
      <c r="C1423" t="s">
        <v>16</v>
      </c>
      <c r="D1423" t="s">
        <v>25</v>
      </c>
      <c r="E1423" s="4">
        <v>21823963</v>
      </c>
      <c r="F1423">
        <v>45.19</v>
      </c>
      <c r="G1423">
        <v>2.35</v>
      </c>
      <c r="H1423">
        <v>141.07</v>
      </c>
      <c r="I1423">
        <v>5.2</v>
      </c>
      <c r="J1423" s="5">
        <v>46060</v>
      </c>
      <c r="K1423">
        <f t="shared" si="22"/>
        <v>30.01</v>
      </c>
      <c r="L1423" t="str" cm="1">
        <f t="array" ref="L1423">_xlfn.IFS(E1423&gt;=52000000,"Platinum",E1423&gt;=37000000,"Gold",E1423&gt;=30000000,"Sliver",E1423&lt;30000000,"Bronze")</f>
        <v>Bronze</v>
      </c>
    </row>
    <row r="1424" spans="1:12" x14ac:dyDescent="0.25">
      <c r="A1424">
        <v>1423</v>
      </c>
      <c r="B1424" t="s">
        <v>1444</v>
      </c>
      <c r="C1424" t="s">
        <v>21</v>
      </c>
      <c r="D1424" t="s">
        <v>22</v>
      </c>
      <c r="E1424" s="4">
        <v>30525313</v>
      </c>
      <c r="F1424">
        <v>38.799999999999997</v>
      </c>
      <c r="G1424">
        <v>2.35</v>
      </c>
      <c r="H1424">
        <v>141.07</v>
      </c>
      <c r="I1424">
        <v>6.06</v>
      </c>
      <c r="J1424" s="5">
        <v>46060</v>
      </c>
      <c r="K1424">
        <f t="shared" si="22"/>
        <v>33.630000000000003</v>
      </c>
      <c r="L1424" t="str" cm="1">
        <f t="array" ref="L1424">_xlfn.IFS(E1424&gt;=52000000,"Platinum",E1424&gt;=37000000,"Gold",E1424&gt;=30000000,"Sliver",E1424&lt;30000000,"Bronze")</f>
        <v>Sliver</v>
      </c>
    </row>
    <row r="1425" spans="1:12" x14ac:dyDescent="0.25">
      <c r="A1425">
        <v>1424</v>
      </c>
      <c r="B1425" t="s">
        <v>1445</v>
      </c>
      <c r="C1425" t="s">
        <v>16</v>
      </c>
      <c r="D1425" t="s">
        <v>32</v>
      </c>
      <c r="E1425" s="4">
        <v>24017826</v>
      </c>
      <c r="F1425">
        <v>42.85</v>
      </c>
      <c r="G1425">
        <v>4.6399999999999997</v>
      </c>
      <c r="H1425">
        <v>278.43</v>
      </c>
      <c r="I1425">
        <v>10.83</v>
      </c>
      <c r="J1425" s="5">
        <v>46060</v>
      </c>
      <c r="K1425">
        <f t="shared" si="22"/>
        <v>33.99</v>
      </c>
      <c r="L1425" t="str" cm="1">
        <f t="array" ref="L1425">_xlfn.IFS(E1425&gt;=52000000,"Platinum",E1425&gt;=37000000,"Gold",E1425&gt;=30000000,"Sliver",E1425&lt;30000000,"Bronze")</f>
        <v>Bronze</v>
      </c>
    </row>
    <row r="1426" spans="1:12" x14ac:dyDescent="0.25">
      <c r="A1426">
        <v>1425</v>
      </c>
      <c r="B1426" t="s">
        <v>1446</v>
      </c>
      <c r="C1426" t="s">
        <v>21</v>
      </c>
      <c r="D1426" t="s">
        <v>17</v>
      </c>
      <c r="E1426" s="4">
        <v>26036448</v>
      </c>
      <c r="F1426">
        <v>39.1</v>
      </c>
      <c r="G1426">
        <v>1.57</v>
      </c>
      <c r="H1426">
        <v>94.26</v>
      </c>
      <c r="I1426">
        <v>4.0199999999999996</v>
      </c>
      <c r="J1426" s="5">
        <v>46060</v>
      </c>
      <c r="K1426">
        <f t="shared" si="22"/>
        <v>32.46</v>
      </c>
      <c r="L1426" t="str" cm="1">
        <f t="array" ref="L1426">_xlfn.IFS(E1426&gt;=52000000,"Platinum",E1426&gt;=37000000,"Gold",E1426&gt;=30000000,"Sliver",E1426&lt;30000000,"Bronze")</f>
        <v>Bronze</v>
      </c>
    </row>
    <row r="1427" spans="1:12" x14ac:dyDescent="0.25">
      <c r="A1427">
        <v>1426</v>
      </c>
      <c r="B1427" t="s">
        <v>1447</v>
      </c>
      <c r="C1427" t="s">
        <v>16</v>
      </c>
      <c r="D1427" t="s">
        <v>13</v>
      </c>
      <c r="E1427" s="4">
        <v>24830927</v>
      </c>
      <c r="F1427">
        <v>38.340000000000003</v>
      </c>
      <c r="G1427">
        <v>7.84</v>
      </c>
      <c r="H1427">
        <v>470.57</v>
      </c>
      <c r="I1427">
        <v>20.46</v>
      </c>
      <c r="J1427" s="5">
        <v>46060</v>
      </c>
      <c r="K1427">
        <f t="shared" si="22"/>
        <v>41.06</v>
      </c>
      <c r="L1427" t="str" cm="1">
        <f t="array" ref="L1427">_xlfn.IFS(E1427&gt;=52000000,"Platinum",E1427&gt;=37000000,"Gold",E1427&gt;=30000000,"Sliver",E1427&lt;30000000,"Bronze")</f>
        <v>Bronze</v>
      </c>
    </row>
    <row r="1428" spans="1:12" x14ac:dyDescent="0.25">
      <c r="A1428">
        <v>1427</v>
      </c>
      <c r="B1428" t="s">
        <v>1448</v>
      </c>
      <c r="C1428" t="s">
        <v>10</v>
      </c>
      <c r="D1428" t="s">
        <v>32</v>
      </c>
      <c r="E1428" s="4">
        <v>28649110</v>
      </c>
      <c r="F1428">
        <v>44.86</v>
      </c>
      <c r="G1428">
        <v>9.89</v>
      </c>
      <c r="H1428">
        <v>593.55999999999995</v>
      </c>
      <c r="I1428">
        <v>22.05</v>
      </c>
      <c r="J1428" s="5">
        <v>46060</v>
      </c>
      <c r="K1428">
        <f t="shared" si="22"/>
        <v>38.6</v>
      </c>
      <c r="L1428" t="str" cm="1">
        <f t="array" ref="L1428">_xlfn.IFS(E1428&gt;=52000000,"Platinum",E1428&gt;=37000000,"Gold",E1428&gt;=30000000,"Sliver",E1428&lt;30000000,"Bronze")</f>
        <v>Bronze</v>
      </c>
    </row>
    <row r="1429" spans="1:12" x14ac:dyDescent="0.25">
      <c r="A1429">
        <v>1428</v>
      </c>
      <c r="B1429" t="s">
        <v>1449</v>
      </c>
      <c r="C1429" t="s">
        <v>19</v>
      </c>
      <c r="D1429" t="s">
        <v>17</v>
      </c>
      <c r="E1429" s="4">
        <v>27013686</v>
      </c>
      <c r="F1429">
        <v>31.6</v>
      </c>
      <c r="G1429">
        <v>5.73</v>
      </c>
      <c r="H1429">
        <v>343.89</v>
      </c>
      <c r="I1429">
        <v>18.14</v>
      </c>
      <c r="J1429" s="5">
        <v>46060</v>
      </c>
      <c r="K1429">
        <f t="shared" si="22"/>
        <v>43.27</v>
      </c>
      <c r="L1429" t="str" cm="1">
        <f t="array" ref="L1429">_xlfn.IFS(E1429&gt;=52000000,"Platinum",E1429&gt;=37000000,"Gold",E1429&gt;=30000000,"Sliver",E1429&lt;30000000,"Bronze")</f>
        <v>Bronze</v>
      </c>
    </row>
    <row r="1430" spans="1:12" x14ac:dyDescent="0.25">
      <c r="A1430">
        <v>1429</v>
      </c>
      <c r="B1430" t="s">
        <v>1450</v>
      </c>
      <c r="C1430" t="s">
        <v>27</v>
      </c>
      <c r="D1430" t="s">
        <v>25</v>
      </c>
      <c r="E1430" s="4">
        <v>26109824</v>
      </c>
      <c r="F1430">
        <v>15.13</v>
      </c>
      <c r="G1430">
        <v>38.22</v>
      </c>
      <c r="H1430">
        <v>2293.31</v>
      </c>
      <c r="I1430">
        <v>252.62</v>
      </c>
      <c r="J1430" s="5">
        <v>46060</v>
      </c>
      <c r="K1430">
        <f t="shared" si="22"/>
        <v>168.75</v>
      </c>
      <c r="L1430" t="str" cm="1">
        <f t="array" ref="L1430">_xlfn.IFS(E1430&gt;=52000000,"Platinum",E1430&gt;=37000000,"Gold",E1430&gt;=30000000,"Sliver",E1430&lt;30000000,"Bronze")</f>
        <v>Bronze</v>
      </c>
    </row>
    <row r="1431" spans="1:12" x14ac:dyDescent="0.25">
      <c r="A1431">
        <v>1430</v>
      </c>
      <c r="B1431" t="s">
        <v>1451</v>
      </c>
      <c r="C1431" t="s">
        <v>10</v>
      </c>
      <c r="D1431" t="s">
        <v>25</v>
      </c>
      <c r="E1431" s="4">
        <v>27268194</v>
      </c>
      <c r="F1431">
        <v>53.22</v>
      </c>
      <c r="G1431">
        <v>2.15</v>
      </c>
      <c r="H1431">
        <v>129.29</v>
      </c>
      <c r="I1431">
        <v>4.05</v>
      </c>
      <c r="J1431" s="5">
        <v>46060</v>
      </c>
      <c r="K1431">
        <f t="shared" si="22"/>
        <v>25.42</v>
      </c>
      <c r="L1431" t="str" cm="1">
        <f t="array" ref="L1431">_xlfn.IFS(E1431&gt;=52000000,"Platinum",E1431&gt;=37000000,"Gold",E1431&gt;=30000000,"Sliver",E1431&lt;30000000,"Bronze")</f>
        <v>Bronze</v>
      </c>
    </row>
    <row r="1432" spans="1:12" x14ac:dyDescent="0.25">
      <c r="A1432">
        <v>1431</v>
      </c>
      <c r="B1432" t="s">
        <v>1452</v>
      </c>
      <c r="C1432" t="s">
        <v>21</v>
      </c>
      <c r="D1432" t="s">
        <v>17</v>
      </c>
      <c r="E1432" s="4">
        <v>29972908</v>
      </c>
      <c r="F1432">
        <v>44.01</v>
      </c>
      <c r="G1432">
        <v>2.27</v>
      </c>
      <c r="H1432">
        <v>136.13999999999999</v>
      </c>
      <c r="I1432">
        <v>5.16</v>
      </c>
      <c r="J1432" s="5">
        <v>46060</v>
      </c>
      <c r="K1432">
        <f t="shared" si="22"/>
        <v>30.58</v>
      </c>
      <c r="L1432" t="str" cm="1">
        <f t="array" ref="L1432">_xlfn.IFS(E1432&gt;=52000000,"Platinum",E1432&gt;=37000000,"Gold",E1432&gt;=30000000,"Sliver",E1432&lt;30000000,"Bronze")</f>
        <v>Bronze</v>
      </c>
    </row>
    <row r="1433" spans="1:12" x14ac:dyDescent="0.25">
      <c r="A1433">
        <v>1432</v>
      </c>
      <c r="B1433" t="s">
        <v>1453</v>
      </c>
      <c r="C1433" t="s">
        <v>27</v>
      </c>
      <c r="D1433" t="s">
        <v>13</v>
      </c>
      <c r="E1433" s="4">
        <v>30521268</v>
      </c>
      <c r="F1433">
        <v>15.88</v>
      </c>
      <c r="G1433">
        <v>12.33</v>
      </c>
      <c r="H1433">
        <v>739.59</v>
      </c>
      <c r="I1433">
        <v>77.62</v>
      </c>
      <c r="J1433" s="5">
        <v>46060</v>
      </c>
      <c r="K1433">
        <f t="shared" si="22"/>
        <v>80.87</v>
      </c>
      <c r="L1433" t="str" cm="1">
        <f t="array" ref="L1433">_xlfn.IFS(E1433&gt;=52000000,"Platinum",E1433&gt;=37000000,"Gold",E1433&gt;=30000000,"Sliver",E1433&lt;30000000,"Bronze")</f>
        <v>Sliver</v>
      </c>
    </row>
    <row r="1434" spans="1:12" x14ac:dyDescent="0.25">
      <c r="A1434">
        <v>1433</v>
      </c>
      <c r="B1434" t="s">
        <v>1454</v>
      </c>
      <c r="C1434" t="s">
        <v>27</v>
      </c>
      <c r="D1434" t="s">
        <v>13</v>
      </c>
      <c r="E1434" s="4">
        <v>22449846</v>
      </c>
      <c r="F1434" s="1">
        <f>CALCULATION!$C$11</f>
        <v>42.81</v>
      </c>
      <c r="G1434" s="1">
        <v>18.34</v>
      </c>
      <c r="H1434">
        <v>1100.3</v>
      </c>
      <c r="I1434">
        <v>64.87</v>
      </c>
      <c r="J1434" s="5">
        <v>46060</v>
      </c>
      <c r="K1434">
        <f t="shared" si="22"/>
        <v>61.03</v>
      </c>
      <c r="L1434" t="str" cm="1">
        <f t="array" ref="L1434">_xlfn.IFS(E1434&gt;=52000000,"Platinum",E1434&gt;=37000000,"Gold",E1434&gt;=30000000,"Sliver",E1434&lt;30000000,"Bronze")</f>
        <v>Bronze</v>
      </c>
    </row>
    <row r="1435" spans="1:12" x14ac:dyDescent="0.25">
      <c r="A1435">
        <v>1434</v>
      </c>
      <c r="B1435" t="s">
        <v>1455</v>
      </c>
      <c r="C1435" t="s">
        <v>10</v>
      </c>
      <c r="D1435" t="s">
        <v>22</v>
      </c>
      <c r="E1435" s="4">
        <v>24501121</v>
      </c>
      <c r="F1435">
        <v>48.67</v>
      </c>
      <c r="G1435">
        <v>6.25</v>
      </c>
      <c r="H1435">
        <v>374.72</v>
      </c>
      <c r="I1435">
        <v>12.83</v>
      </c>
      <c r="J1435" s="5">
        <v>46060</v>
      </c>
      <c r="K1435">
        <f t="shared" si="22"/>
        <v>32.08</v>
      </c>
      <c r="L1435" t="str" cm="1">
        <f t="array" ref="L1435">_xlfn.IFS(E1435&gt;=52000000,"Platinum",E1435&gt;=37000000,"Gold",E1435&gt;=30000000,"Sliver",E1435&lt;30000000,"Bronze")</f>
        <v>Bronze</v>
      </c>
    </row>
    <row r="1436" spans="1:12" x14ac:dyDescent="0.25">
      <c r="A1436">
        <v>1435</v>
      </c>
      <c r="B1436" t="s">
        <v>1456</v>
      </c>
      <c r="C1436" s="1" t="s">
        <v>21</v>
      </c>
      <c r="D1436" t="s">
        <v>17</v>
      </c>
      <c r="E1436" s="4">
        <v>27374080</v>
      </c>
      <c r="F1436">
        <v>45.52</v>
      </c>
      <c r="G1436">
        <v>3.61</v>
      </c>
      <c r="H1436">
        <v>216.46</v>
      </c>
      <c r="I1436">
        <v>7.93</v>
      </c>
      <c r="J1436" s="5">
        <v>46060</v>
      </c>
      <c r="K1436">
        <f t="shared" si="22"/>
        <v>31.21</v>
      </c>
      <c r="L1436" t="str" cm="1">
        <f t="array" ref="L1436">_xlfn.IFS(E1436&gt;=52000000,"Platinum",E1436&gt;=37000000,"Gold",E1436&gt;=30000000,"Sliver",E1436&lt;30000000,"Bronze")</f>
        <v>Bronze</v>
      </c>
    </row>
    <row r="1437" spans="1:12" x14ac:dyDescent="0.25">
      <c r="A1437">
        <v>1436</v>
      </c>
      <c r="B1437" t="s">
        <v>1457</v>
      </c>
      <c r="C1437" t="s">
        <v>21</v>
      </c>
      <c r="D1437" t="s">
        <v>25</v>
      </c>
      <c r="E1437" s="4">
        <v>23873389</v>
      </c>
      <c r="F1437">
        <v>36.799999999999997</v>
      </c>
      <c r="G1437">
        <v>2.77</v>
      </c>
      <c r="H1437">
        <v>165.94</v>
      </c>
      <c r="I1437">
        <v>7.52</v>
      </c>
      <c r="J1437" s="5">
        <v>46060</v>
      </c>
      <c r="K1437">
        <f t="shared" si="22"/>
        <v>35.36</v>
      </c>
      <c r="L1437" t="str" cm="1">
        <f t="array" ref="L1437">_xlfn.IFS(E1437&gt;=52000000,"Platinum",E1437&gt;=37000000,"Gold",E1437&gt;=30000000,"Sliver",E1437&lt;30000000,"Bronze")</f>
        <v>Bronze</v>
      </c>
    </row>
    <row r="1438" spans="1:12" x14ac:dyDescent="0.25">
      <c r="A1438">
        <v>1437</v>
      </c>
      <c r="B1438" t="s">
        <v>1458</v>
      </c>
      <c r="C1438" t="s">
        <v>19</v>
      </c>
      <c r="D1438" t="s">
        <v>13</v>
      </c>
      <c r="E1438" s="4">
        <v>27928959</v>
      </c>
      <c r="F1438">
        <v>39.51</v>
      </c>
      <c r="G1438">
        <v>5.72</v>
      </c>
      <c r="H1438" s="1">
        <f>CALCULATION!$D$11</f>
        <v>343.315</v>
      </c>
      <c r="I1438">
        <v>14.22</v>
      </c>
      <c r="J1438" s="5">
        <v>46060</v>
      </c>
      <c r="K1438">
        <f t="shared" si="22"/>
        <v>37.36</v>
      </c>
      <c r="L1438" t="str" cm="1">
        <f t="array" ref="L1438">_xlfn.IFS(E1438&gt;=52000000,"Platinum",E1438&gt;=37000000,"Gold",E1438&gt;=30000000,"Sliver",E1438&lt;30000000,"Bronze")</f>
        <v>Bronze</v>
      </c>
    </row>
    <row r="1439" spans="1:12" x14ac:dyDescent="0.25">
      <c r="A1439">
        <v>1438</v>
      </c>
      <c r="B1439" t="s">
        <v>1459</v>
      </c>
      <c r="C1439" t="s">
        <v>29</v>
      </c>
      <c r="D1439" t="s">
        <v>13</v>
      </c>
      <c r="E1439" s="4">
        <v>24314558</v>
      </c>
      <c r="F1439">
        <v>38.46</v>
      </c>
      <c r="G1439">
        <v>2.57</v>
      </c>
      <c r="H1439">
        <v>154.29</v>
      </c>
      <c r="I1439">
        <v>6.69</v>
      </c>
      <c r="J1439" s="5">
        <v>46060</v>
      </c>
      <c r="K1439">
        <f t="shared" si="22"/>
        <v>34.119999999999997</v>
      </c>
      <c r="L1439" t="str" cm="1">
        <f t="array" ref="L1439">_xlfn.IFS(E1439&gt;=52000000,"Platinum",E1439&gt;=37000000,"Gold",E1439&gt;=30000000,"Sliver",E1439&lt;30000000,"Bronze")</f>
        <v>Bronze</v>
      </c>
    </row>
    <row r="1440" spans="1:12" x14ac:dyDescent="0.25">
      <c r="A1440">
        <v>1439</v>
      </c>
      <c r="B1440" t="s">
        <v>1460</v>
      </c>
      <c r="C1440" t="s">
        <v>21</v>
      </c>
      <c r="D1440" t="s">
        <v>17</v>
      </c>
      <c r="E1440" s="4">
        <v>31119601</v>
      </c>
      <c r="F1440">
        <v>46.23</v>
      </c>
      <c r="G1440">
        <v>2.0499999999999998</v>
      </c>
      <c r="H1440">
        <v>122.73</v>
      </c>
      <c r="I1440">
        <v>4.42</v>
      </c>
      <c r="J1440" s="5">
        <v>46060</v>
      </c>
      <c r="K1440">
        <f t="shared" si="22"/>
        <v>29.1</v>
      </c>
      <c r="L1440" t="str" cm="1">
        <f t="array" ref="L1440">_xlfn.IFS(E1440&gt;=52000000,"Platinum",E1440&gt;=37000000,"Gold",E1440&gt;=30000000,"Sliver",E1440&lt;30000000,"Bronze")</f>
        <v>Sliver</v>
      </c>
    </row>
    <row r="1441" spans="1:12" x14ac:dyDescent="0.25">
      <c r="A1441">
        <v>1440</v>
      </c>
      <c r="B1441" t="s">
        <v>1461</v>
      </c>
      <c r="C1441" t="s">
        <v>46</v>
      </c>
      <c r="D1441" t="s">
        <v>25</v>
      </c>
      <c r="E1441" s="4">
        <v>26959612</v>
      </c>
      <c r="F1441">
        <v>56.42</v>
      </c>
      <c r="G1441">
        <v>4.0199999999999996</v>
      </c>
      <c r="H1441">
        <v>241.05</v>
      </c>
      <c r="I1441">
        <v>7.12</v>
      </c>
      <c r="J1441" s="5">
        <v>46060</v>
      </c>
      <c r="K1441">
        <f t="shared" si="22"/>
        <v>25.35</v>
      </c>
      <c r="L1441" t="str" cm="1">
        <f t="array" ref="L1441">_xlfn.IFS(E1441&gt;=52000000,"Platinum",E1441&gt;=37000000,"Gold",E1441&gt;=30000000,"Sliver",E1441&lt;30000000,"Bronze")</f>
        <v>Bronze</v>
      </c>
    </row>
    <row r="1442" spans="1:12" x14ac:dyDescent="0.25">
      <c r="A1442">
        <v>1441</v>
      </c>
      <c r="B1442" t="s">
        <v>1462</v>
      </c>
      <c r="C1442" t="s">
        <v>16</v>
      </c>
      <c r="D1442" t="s">
        <v>11</v>
      </c>
      <c r="E1442" s="4">
        <v>31473087</v>
      </c>
      <c r="F1442">
        <v>49.39</v>
      </c>
      <c r="G1442">
        <v>5.28</v>
      </c>
      <c r="H1442">
        <v>316.97000000000003</v>
      </c>
      <c r="I1442">
        <v>10.7</v>
      </c>
      <c r="J1442" s="5">
        <v>46060</v>
      </c>
      <c r="K1442">
        <f t="shared" si="22"/>
        <v>30.66</v>
      </c>
      <c r="L1442" t="str" cm="1">
        <f t="array" ref="L1442">_xlfn.IFS(E1442&gt;=52000000,"Platinum",E1442&gt;=37000000,"Gold",E1442&gt;=30000000,"Sliver",E1442&lt;30000000,"Bronze")</f>
        <v>Sliver</v>
      </c>
    </row>
    <row r="1443" spans="1:12" x14ac:dyDescent="0.25">
      <c r="A1443">
        <v>1442</v>
      </c>
      <c r="B1443" t="s">
        <v>1463</v>
      </c>
      <c r="C1443" t="s">
        <v>46</v>
      </c>
      <c r="D1443" t="s">
        <v>11</v>
      </c>
      <c r="E1443" s="4">
        <v>24090050</v>
      </c>
      <c r="F1443">
        <v>33.83</v>
      </c>
      <c r="G1443">
        <v>3.56</v>
      </c>
      <c r="H1443">
        <v>213.43</v>
      </c>
      <c r="I1443">
        <v>10.51</v>
      </c>
      <c r="J1443" s="5">
        <v>46060</v>
      </c>
      <c r="K1443">
        <f t="shared" si="22"/>
        <v>38.340000000000003</v>
      </c>
      <c r="L1443" t="str" cm="1">
        <f t="array" ref="L1443">_xlfn.IFS(E1443&gt;=52000000,"Platinum",E1443&gt;=37000000,"Gold",E1443&gt;=30000000,"Sliver",E1443&lt;30000000,"Bronze")</f>
        <v>Bronze</v>
      </c>
    </row>
    <row r="1444" spans="1:12" x14ac:dyDescent="0.25">
      <c r="A1444">
        <v>1443</v>
      </c>
      <c r="B1444" t="s">
        <v>1464</v>
      </c>
      <c r="C1444" t="s">
        <v>19</v>
      </c>
      <c r="D1444" t="s">
        <v>11</v>
      </c>
      <c r="E1444" s="4">
        <v>22544754</v>
      </c>
      <c r="F1444">
        <v>39.76</v>
      </c>
      <c r="G1444">
        <v>3.55</v>
      </c>
      <c r="H1444">
        <v>213.17</v>
      </c>
      <c r="I1444">
        <v>8.94</v>
      </c>
      <c r="J1444" s="5">
        <v>46060</v>
      </c>
      <c r="K1444">
        <f t="shared" si="22"/>
        <v>34.590000000000003</v>
      </c>
      <c r="L1444" t="str" cm="1">
        <f t="array" ref="L1444">_xlfn.IFS(E1444&gt;=52000000,"Platinum",E1444&gt;=37000000,"Gold",E1444&gt;=30000000,"Sliver",E1444&lt;30000000,"Bronze")</f>
        <v>Bronze</v>
      </c>
    </row>
    <row r="1445" spans="1:12" x14ac:dyDescent="0.25">
      <c r="A1445">
        <v>1444</v>
      </c>
      <c r="B1445" t="s">
        <v>1465</v>
      </c>
      <c r="C1445" t="s">
        <v>46</v>
      </c>
      <c r="D1445" t="s">
        <v>13</v>
      </c>
      <c r="E1445" s="4">
        <v>21411412</v>
      </c>
      <c r="F1445">
        <v>31.68</v>
      </c>
      <c r="G1445">
        <v>7.48</v>
      </c>
      <c r="H1445">
        <v>448.76</v>
      </c>
      <c r="I1445">
        <v>23.61</v>
      </c>
      <c r="J1445" s="5">
        <v>46060</v>
      </c>
      <c r="K1445">
        <f t="shared" si="22"/>
        <v>45.97</v>
      </c>
      <c r="L1445" t="str" cm="1">
        <f t="array" ref="L1445">_xlfn.IFS(E1445&gt;=52000000,"Platinum",E1445&gt;=37000000,"Gold",E1445&gt;=30000000,"Sliver",E1445&lt;30000000,"Bronze")</f>
        <v>Bronze</v>
      </c>
    </row>
    <row r="1446" spans="1:12" x14ac:dyDescent="0.25">
      <c r="A1446">
        <v>1445</v>
      </c>
      <c r="B1446" t="s">
        <v>1466</v>
      </c>
      <c r="C1446" t="s">
        <v>29</v>
      </c>
      <c r="D1446" s="1" t="s">
        <v>32</v>
      </c>
      <c r="E1446" s="4">
        <v>28946582</v>
      </c>
      <c r="F1446">
        <v>39.6</v>
      </c>
      <c r="G1446">
        <v>9.23</v>
      </c>
      <c r="H1446">
        <v>553.84</v>
      </c>
      <c r="I1446">
        <v>23.31</v>
      </c>
      <c r="J1446" s="5">
        <v>46060</v>
      </c>
      <c r="K1446">
        <f t="shared" si="22"/>
        <v>41.86</v>
      </c>
      <c r="L1446" t="str" cm="1">
        <f t="array" ref="L1446">_xlfn.IFS(E1446&gt;=52000000,"Platinum",E1446&gt;=37000000,"Gold",E1446&gt;=30000000,"Sliver",E1446&lt;30000000,"Bronze")</f>
        <v>Bronze</v>
      </c>
    </row>
    <row r="1447" spans="1:12" x14ac:dyDescent="0.25">
      <c r="A1447">
        <v>1446</v>
      </c>
      <c r="B1447" t="s">
        <v>1467</v>
      </c>
      <c r="C1447" t="s">
        <v>46</v>
      </c>
      <c r="D1447" t="s">
        <v>13</v>
      </c>
      <c r="E1447" s="4">
        <v>26048923</v>
      </c>
      <c r="F1447">
        <v>56.36</v>
      </c>
      <c r="G1447">
        <v>5.94</v>
      </c>
      <c r="H1447">
        <v>356.35</v>
      </c>
      <c r="I1447">
        <v>10.54</v>
      </c>
      <c r="J1447" s="5">
        <v>46060</v>
      </c>
      <c r="K1447">
        <f t="shared" si="22"/>
        <v>27.09</v>
      </c>
      <c r="L1447" t="str" cm="1">
        <f t="array" ref="L1447">_xlfn.IFS(E1447&gt;=52000000,"Platinum",E1447&gt;=37000000,"Gold",E1447&gt;=30000000,"Sliver",E1447&lt;30000000,"Bronze")</f>
        <v>Bronze</v>
      </c>
    </row>
    <row r="1448" spans="1:12" x14ac:dyDescent="0.25">
      <c r="A1448">
        <v>1447</v>
      </c>
      <c r="B1448" t="s">
        <v>1468</v>
      </c>
      <c r="C1448" t="s">
        <v>16</v>
      </c>
      <c r="D1448" t="s">
        <v>25</v>
      </c>
      <c r="E1448" s="4">
        <v>27651414</v>
      </c>
      <c r="F1448">
        <v>58.7</v>
      </c>
      <c r="G1448">
        <v>5.96</v>
      </c>
      <c r="H1448">
        <v>357.81</v>
      </c>
      <c r="I1448">
        <v>10.16</v>
      </c>
      <c r="J1448" s="5">
        <v>46060</v>
      </c>
      <c r="K1448">
        <f t="shared" si="22"/>
        <v>25.73</v>
      </c>
      <c r="L1448" t="str" cm="1">
        <f t="array" ref="L1448">_xlfn.IFS(E1448&gt;=52000000,"Platinum",E1448&gt;=37000000,"Gold",E1448&gt;=30000000,"Sliver",E1448&lt;30000000,"Bronze")</f>
        <v>Bronze</v>
      </c>
    </row>
    <row r="1449" spans="1:12" x14ac:dyDescent="0.25">
      <c r="A1449">
        <v>1448</v>
      </c>
      <c r="B1449" t="s">
        <v>1469</v>
      </c>
      <c r="C1449" t="s">
        <v>29</v>
      </c>
      <c r="D1449" t="s">
        <v>25</v>
      </c>
      <c r="E1449" s="4">
        <v>21368867</v>
      </c>
      <c r="F1449">
        <v>52.83</v>
      </c>
      <c r="G1449">
        <v>8.8800000000000008</v>
      </c>
      <c r="H1449">
        <v>532.52</v>
      </c>
      <c r="I1449">
        <v>16.8</v>
      </c>
      <c r="J1449" s="5">
        <v>46060</v>
      </c>
      <c r="K1449">
        <f t="shared" si="22"/>
        <v>31.99</v>
      </c>
      <c r="L1449" t="str" cm="1">
        <f t="array" ref="L1449">_xlfn.IFS(E1449&gt;=52000000,"Platinum",E1449&gt;=37000000,"Gold",E1449&gt;=30000000,"Sliver",E1449&lt;30000000,"Bronze")</f>
        <v>Bronze</v>
      </c>
    </row>
    <row r="1450" spans="1:12" x14ac:dyDescent="0.25">
      <c r="A1450">
        <v>1449</v>
      </c>
      <c r="B1450" t="s">
        <v>1470</v>
      </c>
      <c r="C1450" t="s">
        <v>19</v>
      </c>
      <c r="D1450" t="s">
        <v>13</v>
      </c>
      <c r="E1450" s="4">
        <v>21462727</v>
      </c>
      <c r="F1450">
        <v>41.44</v>
      </c>
      <c r="G1450">
        <v>2.23</v>
      </c>
      <c r="H1450">
        <v>133.96</v>
      </c>
      <c r="I1450">
        <v>5.39</v>
      </c>
      <c r="J1450" s="5">
        <v>46060</v>
      </c>
      <c r="K1450">
        <f t="shared" si="22"/>
        <v>31.98</v>
      </c>
      <c r="L1450" t="str" cm="1">
        <f t="array" ref="L1450">_xlfn.IFS(E1450&gt;=52000000,"Platinum",E1450&gt;=37000000,"Gold",E1450&gt;=30000000,"Sliver",E1450&lt;30000000,"Bronze")</f>
        <v>Bronze</v>
      </c>
    </row>
    <row r="1451" spans="1:12" x14ac:dyDescent="0.25">
      <c r="A1451">
        <v>1450</v>
      </c>
      <c r="B1451" t="s">
        <v>1471</v>
      </c>
      <c r="C1451" t="s">
        <v>27</v>
      </c>
      <c r="D1451" t="s">
        <v>32</v>
      </c>
      <c r="E1451" s="4">
        <v>26879517</v>
      </c>
      <c r="F1451">
        <v>24.69</v>
      </c>
      <c r="G1451">
        <v>20.7</v>
      </c>
      <c r="H1451">
        <v>1242.22</v>
      </c>
      <c r="I1451">
        <v>83.85</v>
      </c>
      <c r="J1451" s="5">
        <v>46060</v>
      </c>
      <c r="K1451">
        <f t="shared" si="22"/>
        <v>79.58</v>
      </c>
      <c r="L1451" t="str" cm="1">
        <f t="array" ref="L1451">_xlfn.IFS(E1451&gt;=52000000,"Platinum",E1451&gt;=37000000,"Gold",E1451&gt;=30000000,"Sliver",E1451&lt;30000000,"Bronze")</f>
        <v>Bronze</v>
      </c>
    </row>
    <row r="1452" spans="1:12" x14ac:dyDescent="0.25">
      <c r="A1452">
        <v>1451</v>
      </c>
      <c r="B1452" t="s">
        <v>1472</v>
      </c>
      <c r="C1452" t="s">
        <v>29</v>
      </c>
      <c r="D1452" t="s">
        <v>17</v>
      </c>
      <c r="E1452" s="4">
        <v>27819133</v>
      </c>
      <c r="F1452">
        <v>30.08</v>
      </c>
      <c r="G1452">
        <v>7.74</v>
      </c>
      <c r="H1452">
        <v>464.54</v>
      </c>
      <c r="I1452">
        <v>25.74</v>
      </c>
      <c r="J1452" s="5">
        <v>46060</v>
      </c>
      <c r="K1452">
        <f t="shared" si="22"/>
        <v>47.83</v>
      </c>
      <c r="L1452" t="str" cm="1">
        <f t="array" ref="L1452">_xlfn.IFS(E1452&gt;=52000000,"Platinum",E1452&gt;=37000000,"Gold",E1452&gt;=30000000,"Sliver",E1452&lt;30000000,"Bronze")</f>
        <v>Bronze</v>
      </c>
    </row>
    <row r="1453" spans="1:12" x14ac:dyDescent="0.25">
      <c r="A1453">
        <v>1452</v>
      </c>
      <c r="B1453" t="s">
        <v>1473</v>
      </c>
      <c r="C1453" t="s">
        <v>16</v>
      </c>
      <c r="D1453" t="s">
        <v>32</v>
      </c>
      <c r="E1453" s="4">
        <v>21428527</v>
      </c>
      <c r="F1453">
        <v>33.15</v>
      </c>
      <c r="G1453">
        <v>6.14</v>
      </c>
      <c r="H1453">
        <v>368.43</v>
      </c>
      <c r="I1453">
        <v>18.52</v>
      </c>
      <c r="J1453" s="5">
        <v>46060</v>
      </c>
      <c r="K1453">
        <f t="shared" si="22"/>
        <v>42.69</v>
      </c>
      <c r="L1453" t="str" cm="1">
        <f t="array" ref="L1453">_xlfn.IFS(E1453&gt;=52000000,"Platinum",E1453&gt;=37000000,"Gold",E1453&gt;=30000000,"Sliver",E1453&lt;30000000,"Bronze")</f>
        <v>Bronze</v>
      </c>
    </row>
    <row r="1454" spans="1:12" x14ac:dyDescent="0.25">
      <c r="A1454">
        <v>1453</v>
      </c>
      <c r="B1454" t="s">
        <v>1474</v>
      </c>
      <c r="C1454" t="s">
        <v>46</v>
      </c>
      <c r="D1454" t="s">
        <v>22</v>
      </c>
      <c r="E1454" s="4">
        <v>25473869</v>
      </c>
      <c r="F1454" s="1">
        <f>CALCULATION!$C$11</f>
        <v>42.81</v>
      </c>
      <c r="G1454" s="1">
        <v>2.59</v>
      </c>
      <c r="H1454">
        <v>155.63999999999999</v>
      </c>
      <c r="I1454">
        <v>6.51</v>
      </c>
      <c r="J1454" s="5">
        <v>46060</v>
      </c>
      <c r="K1454">
        <f t="shared" si="22"/>
        <v>31.85</v>
      </c>
      <c r="L1454" t="str" cm="1">
        <f t="array" ref="L1454">_xlfn.IFS(E1454&gt;=52000000,"Platinum",E1454&gt;=37000000,"Gold",E1454&gt;=30000000,"Sliver",E1454&lt;30000000,"Bronze")</f>
        <v>Bronze</v>
      </c>
    </row>
    <row r="1455" spans="1:12" x14ac:dyDescent="0.25">
      <c r="A1455">
        <v>1454</v>
      </c>
      <c r="B1455" t="s">
        <v>1475</v>
      </c>
      <c r="C1455" t="s">
        <v>27</v>
      </c>
      <c r="D1455" s="1" t="s">
        <v>32</v>
      </c>
      <c r="E1455" s="4">
        <v>21950654</v>
      </c>
      <c r="F1455">
        <v>15.03</v>
      </c>
      <c r="G1455">
        <v>23.53</v>
      </c>
      <c r="H1455">
        <v>1411.51</v>
      </c>
      <c r="I1455">
        <v>156.52000000000001</v>
      </c>
      <c r="J1455" s="5">
        <v>46060</v>
      </c>
      <c r="K1455">
        <f t="shared" si="22"/>
        <v>120.75</v>
      </c>
      <c r="L1455" t="str" cm="1">
        <f t="array" ref="L1455">_xlfn.IFS(E1455&gt;=52000000,"Platinum",E1455&gt;=37000000,"Gold",E1455&gt;=30000000,"Sliver",E1455&lt;30000000,"Bronze")</f>
        <v>Bronze</v>
      </c>
    </row>
    <row r="1456" spans="1:12" x14ac:dyDescent="0.25">
      <c r="A1456">
        <v>1455</v>
      </c>
      <c r="B1456" t="s">
        <v>1476</v>
      </c>
      <c r="C1456" t="s">
        <v>27</v>
      </c>
      <c r="D1456" t="s">
        <v>22</v>
      </c>
      <c r="E1456" s="4">
        <v>24422844</v>
      </c>
      <c r="F1456">
        <v>29.39</v>
      </c>
      <c r="G1456">
        <v>29.43</v>
      </c>
      <c r="H1456">
        <v>1765.89</v>
      </c>
      <c r="I1456">
        <v>100.14</v>
      </c>
      <c r="J1456" s="5">
        <v>46060</v>
      </c>
      <c r="K1456">
        <f t="shared" si="22"/>
        <v>85.38</v>
      </c>
      <c r="L1456" t="str" cm="1">
        <f t="array" ref="L1456">_xlfn.IFS(E1456&gt;=52000000,"Platinum",E1456&gt;=37000000,"Gold",E1456&gt;=30000000,"Sliver",E1456&lt;30000000,"Bronze")</f>
        <v>Bronze</v>
      </c>
    </row>
    <row r="1457" spans="1:12" x14ac:dyDescent="0.25">
      <c r="A1457">
        <v>1456</v>
      </c>
      <c r="B1457" t="s">
        <v>1477</v>
      </c>
      <c r="C1457" t="s">
        <v>21</v>
      </c>
      <c r="D1457" t="s">
        <v>11</v>
      </c>
      <c r="E1457" s="4">
        <v>30282308</v>
      </c>
      <c r="F1457">
        <v>46.01</v>
      </c>
      <c r="G1457">
        <v>2.56</v>
      </c>
      <c r="H1457">
        <v>153.77000000000001</v>
      </c>
      <c r="I1457">
        <v>5.57</v>
      </c>
      <c r="J1457" s="5">
        <v>46060</v>
      </c>
      <c r="K1457">
        <f t="shared" si="22"/>
        <v>29.78</v>
      </c>
      <c r="L1457" t="str" cm="1">
        <f t="array" ref="L1457">_xlfn.IFS(E1457&gt;=52000000,"Platinum",E1457&gt;=37000000,"Gold",E1457&gt;=30000000,"Sliver",E1457&lt;30000000,"Bronze")</f>
        <v>Sliver</v>
      </c>
    </row>
    <row r="1458" spans="1:12" x14ac:dyDescent="0.25">
      <c r="A1458">
        <v>1457</v>
      </c>
      <c r="B1458" t="s">
        <v>1478</v>
      </c>
      <c r="C1458" t="s">
        <v>19</v>
      </c>
      <c r="D1458" t="s">
        <v>32</v>
      </c>
      <c r="E1458" s="4">
        <v>22664591</v>
      </c>
      <c r="F1458">
        <v>31.69</v>
      </c>
      <c r="G1458">
        <v>8.02</v>
      </c>
      <c r="H1458">
        <v>481.01</v>
      </c>
      <c r="I1458">
        <v>25.3</v>
      </c>
      <c r="J1458" s="5">
        <v>46060</v>
      </c>
      <c r="K1458">
        <f t="shared" si="22"/>
        <v>46.81</v>
      </c>
      <c r="L1458" t="str" cm="1">
        <f t="array" ref="L1458">_xlfn.IFS(E1458&gt;=52000000,"Platinum",E1458&gt;=37000000,"Gold",E1458&gt;=30000000,"Sliver",E1458&lt;30000000,"Bronze")</f>
        <v>Bronze</v>
      </c>
    </row>
    <row r="1459" spans="1:12" x14ac:dyDescent="0.25">
      <c r="A1459">
        <v>1458</v>
      </c>
      <c r="B1459" t="s">
        <v>1479</v>
      </c>
      <c r="C1459" t="s">
        <v>16</v>
      </c>
      <c r="D1459" t="s">
        <v>17</v>
      </c>
      <c r="E1459" s="4">
        <v>22214874</v>
      </c>
      <c r="F1459">
        <v>59.23</v>
      </c>
      <c r="G1459">
        <v>3.78</v>
      </c>
      <c r="H1459">
        <v>226.84</v>
      </c>
      <c r="I1459">
        <v>6.38</v>
      </c>
      <c r="J1459" s="5">
        <v>46060</v>
      </c>
      <c r="K1459">
        <f t="shared" si="22"/>
        <v>23.58</v>
      </c>
      <c r="L1459" t="str" cm="1">
        <f t="array" ref="L1459">_xlfn.IFS(E1459&gt;=52000000,"Platinum",E1459&gt;=37000000,"Gold",E1459&gt;=30000000,"Sliver",E1459&lt;30000000,"Bronze")</f>
        <v>Bronze</v>
      </c>
    </row>
    <row r="1460" spans="1:12" x14ac:dyDescent="0.25">
      <c r="A1460">
        <v>1459</v>
      </c>
      <c r="B1460" t="s">
        <v>1480</v>
      </c>
      <c r="C1460" t="s">
        <v>46</v>
      </c>
      <c r="D1460" t="s">
        <v>25</v>
      </c>
      <c r="E1460" s="4">
        <v>31145805</v>
      </c>
      <c r="F1460">
        <v>50.66</v>
      </c>
      <c r="G1460">
        <v>8.7100000000000009</v>
      </c>
      <c r="H1460">
        <v>522.74</v>
      </c>
      <c r="I1460">
        <v>17.2</v>
      </c>
      <c r="J1460" s="5">
        <v>46060</v>
      </c>
      <c r="K1460">
        <f t="shared" si="22"/>
        <v>33.270000000000003</v>
      </c>
      <c r="L1460" t="str" cm="1">
        <f t="array" ref="L1460">_xlfn.IFS(E1460&gt;=52000000,"Platinum",E1460&gt;=37000000,"Gold",E1460&gt;=30000000,"Sliver",E1460&lt;30000000,"Bronze")</f>
        <v>Sliver</v>
      </c>
    </row>
    <row r="1461" spans="1:12" x14ac:dyDescent="0.25">
      <c r="A1461">
        <v>1460</v>
      </c>
      <c r="B1461" t="s">
        <v>1481</v>
      </c>
      <c r="C1461" t="s">
        <v>46</v>
      </c>
      <c r="D1461" t="s">
        <v>25</v>
      </c>
      <c r="E1461" s="4">
        <v>22428086</v>
      </c>
      <c r="F1461">
        <v>51.26</v>
      </c>
      <c r="G1461">
        <v>4.8899999999999997</v>
      </c>
      <c r="H1461">
        <v>293.17</v>
      </c>
      <c r="I1461">
        <v>9.5299999999999994</v>
      </c>
      <c r="J1461" s="5">
        <v>46060</v>
      </c>
      <c r="K1461">
        <f t="shared" si="22"/>
        <v>29.14</v>
      </c>
      <c r="L1461" t="str" cm="1">
        <f t="array" ref="L1461">_xlfn.IFS(E1461&gt;=52000000,"Platinum",E1461&gt;=37000000,"Gold",E1461&gt;=30000000,"Sliver",E1461&lt;30000000,"Bronze")</f>
        <v>Bronze</v>
      </c>
    </row>
    <row r="1462" spans="1:12" x14ac:dyDescent="0.25">
      <c r="A1462">
        <v>1461</v>
      </c>
      <c r="B1462" t="s">
        <v>1482</v>
      </c>
      <c r="C1462" t="s">
        <v>21</v>
      </c>
      <c r="D1462" t="s">
        <v>25</v>
      </c>
      <c r="E1462" s="4">
        <v>23129587</v>
      </c>
      <c r="F1462">
        <v>48.24</v>
      </c>
      <c r="G1462">
        <v>1.48</v>
      </c>
      <c r="H1462">
        <v>88.61</v>
      </c>
      <c r="I1462">
        <v>3.06</v>
      </c>
      <c r="J1462" s="5">
        <v>46060</v>
      </c>
      <c r="K1462">
        <f t="shared" si="22"/>
        <v>27.41</v>
      </c>
      <c r="L1462" t="str" cm="1">
        <f t="array" ref="L1462">_xlfn.IFS(E1462&gt;=52000000,"Platinum",E1462&gt;=37000000,"Gold",E1462&gt;=30000000,"Sliver",E1462&lt;30000000,"Bronze")</f>
        <v>Bronze</v>
      </c>
    </row>
    <row r="1463" spans="1:12" x14ac:dyDescent="0.25">
      <c r="A1463">
        <v>1462</v>
      </c>
      <c r="B1463" t="s">
        <v>1483</v>
      </c>
      <c r="C1463" t="s">
        <v>21</v>
      </c>
      <c r="D1463" t="s">
        <v>11</v>
      </c>
      <c r="E1463" s="4">
        <v>25244323</v>
      </c>
      <c r="F1463">
        <v>38.93</v>
      </c>
      <c r="G1463">
        <v>2.2799999999999998</v>
      </c>
      <c r="H1463">
        <v>136.76</v>
      </c>
      <c r="I1463">
        <v>5.85</v>
      </c>
      <c r="J1463" s="5">
        <v>46060</v>
      </c>
      <c r="K1463">
        <f t="shared" si="22"/>
        <v>33.46</v>
      </c>
      <c r="L1463" t="str" cm="1">
        <f t="array" ref="L1463">_xlfn.IFS(E1463&gt;=52000000,"Platinum",E1463&gt;=37000000,"Gold",E1463&gt;=30000000,"Sliver",E1463&lt;30000000,"Bronze")</f>
        <v>Bronze</v>
      </c>
    </row>
    <row r="1464" spans="1:12" x14ac:dyDescent="0.25">
      <c r="A1464">
        <v>1463</v>
      </c>
      <c r="B1464" t="s">
        <v>1484</v>
      </c>
      <c r="C1464" s="1" t="s">
        <v>21</v>
      </c>
      <c r="D1464" t="s">
        <v>25</v>
      </c>
      <c r="E1464" s="4">
        <v>28460446</v>
      </c>
      <c r="F1464">
        <v>44.52</v>
      </c>
      <c r="G1464">
        <v>1.03</v>
      </c>
      <c r="H1464">
        <v>61.72</v>
      </c>
      <c r="I1464">
        <v>2.31</v>
      </c>
      <c r="J1464" s="5">
        <v>46060</v>
      </c>
      <c r="K1464">
        <f t="shared" si="22"/>
        <v>28.9</v>
      </c>
      <c r="L1464" t="str" cm="1">
        <f t="array" ref="L1464">_xlfn.IFS(E1464&gt;=52000000,"Platinum",E1464&gt;=37000000,"Gold",E1464&gt;=30000000,"Sliver",E1464&lt;30000000,"Bronze")</f>
        <v>Bronze</v>
      </c>
    </row>
    <row r="1465" spans="1:12" x14ac:dyDescent="0.25">
      <c r="A1465">
        <v>1464</v>
      </c>
      <c r="B1465" t="s">
        <v>1485</v>
      </c>
      <c r="C1465" t="s">
        <v>27</v>
      </c>
      <c r="D1465" t="s">
        <v>22</v>
      </c>
      <c r="E1465" s="4">
        <v>27169015</v>
      </c>
      <c r="F1465">
        <v>26.4</v>
      </c>
      <c r="G1465">
        <v>20.39</v>
      </c>
      <c r="H1465">
        <v>1223.28</v>
      </c>
      <c r="I1465">
        <v>77.23</v>
      </c>
      <c r="J1465" s="5">
        <v>46060</v>
      </c>
      <c r="K1465">
        <f t="shared" si="22"/>
        <v>75.42</v>
      </c>
      <c r="L1465" t="str" cm="1">
        <f t="array" ref="L1465">_xlfn.IFS(E1465&gt;=52000000,"Platinum",E1465&gt;=37000000,"Gold",E1465&gt;=30000000,"Sliver",E1465&lt;30000000,"Bronze")</f>
        <v>Bronze</v>
      </c>
    </row>
    <row r="1466" spans="1:12" x14ac:dyDescent="0.25">
      <c r="A1466">
        <v>1465</v>
      </c>
      <c r="B1466" t="s">
        <v>1486</v>
      </c>
      <c r="C1466" t="s">
        <v>19</v>
      </c>
      <c r="D1466" t="s">
        <v>11</v>
      </c>
      <c r="E1466" s="4">
        <v>22300056</v>
      </c>
      <c r="F1466">
        <v>40.729999999999997</v>
      </c>
      <c r="G1466">
        <v>8.9</v>
      </c>
      <c r="H1466">
        <v>533.91999999999996</v>
      </c>
      <c r="I1466">
        <v>21.85</v>
      </c>
      <c r="J1466" s="5">
        <v>46060</v>
      </c>
      <c r="K1466">
        <f t="shared" si="22"/>
        <v>40.56</v>
      </c>
      <c r="L1466" t="str" cm="1">
        <f t="array" ref="L1466">_xlfn.IFS(E1466&gt;=52000000,"Platinum",E1466&gt;=37000000,"Gold",E1466&gt;=30000000,"Sliver",E1466&lt;30000000,"Bronze")</f>
        <v>Bronze</v>
      </c>
    </row>
    <row r="1467" spans="1:12" x14ac:dyDescent="0.25">
      <c r="A1467">
        <v>1466</v>
      </c>
      <c r="B1467" t="s">
        <v>1487</v>
      </c>
      <c r="C1467" t="s">
        <v>27</v>
      </c>
      <c r="D1467" t="s">
        <v>25</v>
      </c>
      <c r="E1467" s="4">
        <v>24931798</v>
      </c>
      <c r="F1467">
        <v>19.91</v>
      </c>
      <c r="G1467">
        <v>14.29</v>
      </c>
      <c r="H1467">
        <v>857.41</v>
      </c>
      <c r="I1467">
        <v>71.77</v>
      </c>
      <c r="J1467" s="5">
        <v>46060</v>
      </c>
      <c r="K1467">
        <f t="shared" si="22"/>
        <v>75.930000000000007</v>
      </c>
      <c r="L1467" t="str" cm="1">
        <f t="array" ref="L1467">_xlfn.IFS(E1467&gt;=52000000,"Platinum",E1467&gt;=37000000,"Gold",E1467&gt;=30000000,"Sliver",E1467&lt;30000000,"Bronze")</f>
        <v>Bronze</v>
      </c>
    </row>
    <row r="1468" spans="1:12" x14ac:dyDescent="0.25">
      <c r="A1468">
        <v>1467</v>
      </c>
      <c r="B1468" t="s">
        <v>1488</v>
      </c>
      <c r="C1468" t="s">
        <v>16</v>
      </c>
      <c r="D1468" t="s">
        <v>13</v>
      </c>
      <c r="E1468" s="4">
        <v>25872618</v>
      </c>
      <c r="F1468">
        <v>43.77</v>
      </c>
      <c r="G1468">
        <v>8.6</v>
      </c>
      <c r="H1468">
        <v>516.19000000000005</v>
      </c>
      <c r="I1468">
        <v>19.66</v>
      </c>
      <c r="J1468" s="5">
        <v>46060</v>
      </c>
      <c r="K1468">
        <f t="shared" si="22"/>
        <v>37.950000000000003</v>
      </c>
      <c r="L1468" t="str" cm="1">
        <f t="array" ref="L1468">_xlfn.IFS(E1468&gt;=52000000,"Platinum",E1468&gt;=37000000,"Gold",E1468&gt;=30000000,"Sliver",E1468&lt;30000000,"Bronze")</f>
        <v>Bronze</v>
      </c>
    </row>
    <row r="1469" spans="1:12" x14ac:dyDescent="0.25">
      <c r="A1469">
        <v>1468</v>
      </c>
      <c r="B1469" t="s">
        <v>1489</v>
      </c>
      <c r="C1469" t="s">
        <v>19</v>
      </c>
      <c r="D1469" t="s">
        <v>11</v>
      </c>
      <c r="E1469" s="4">
        <v>21497004</v>
      </c>
      <c r="F1469">
        <v>41.63</v>
      </c>
      <c r="G1469">
        <v>9.41</v>
      </c>
      <c r="H1469">
        <v>564.79</v>
      </c>
      <c r="I1469">
        <v>22.61</v>
      </c>
      <c r="J1469" s="5">
        <v>46060</v>
      </c>
      <c r="K1469">
        <f t="shared" si="22"/>
        <v>40.49</v>
      </c>
      <c r="L1469" t="str" cm="1">
        <f t="array" ref="L1469">_xlfn.IFS(E1469&gt;=52000000,"Platinum",E1469&gt;=37000000,"Gold",E1469&gt;=30000000,"Sliver",E1469&lt;30000000,"Bronze")</f>
        <v>Bronze</v>
      </c>
    </row>
    <row r="1470" spans="1:12" x14ac:dyDescent="0.25">
      <c r="A1470">
        <v>1469</v>
      </c>
      <c r="B1470" t="s">
        <v>1490</v>
      </c>
      <c r="C1470" t="s">
        <v>27</v>
      </c>
      <c r="D1470" t="s">
        <v>13</v>
      </c>
      <c r="E1470" s="4">
        <v>24276017</v>
      </c>
      <c r="F1470">
        <v>22.83</v>
      </c>
      <c r="G1470">
        <v>19.16</v>
      </c>
      <c r="H1470">
        <v>1149.42</v>
      </c>
      <c r="I1470">
        <v>83.91</v>
      </c>
      <c r="J1470" s="5">
        <v>46060</v>
      </c>
      <c r="K1470">
        <f t="shared" si="22"/>
        <v>80.540000000000006</v>
      </c>
      <c r="L1470" t="str" cm="1">
        <f t="array" ref="L1470">_xlfn.IFS(E1470&gt;=52000000,"Platinum",E1470&gt;=37000000,"Gold",E1470&gt;=30000000,"Sliver",E1470&lt;30000000,"Bronze")</f>
        <v>Bronze</v>
      </c>
    </row>
    <row r="1471" spans="1:12" x14ac:dyDescent="0.25">
      <c r="A1471">
        <v>1470</v>
      </c>
      <c r="B1471" t="s">
        <v>1491</v>
      </c>
      <c r="C1471" t="s">
        <v>46</v>
      </c>
      <c r="D1471" t="s">
        <v>32</v>
      </c>
      <c r="E1471" s="4">
        <v>31297752</v>
      </c>
      <c r="F1471">
        <v>39.94</v>
      </c>
      <c r="G1471">
        <v>9.57</v>
      </c>
      <c r="H1471">
        <v>574.04999999999995</v>
      </c>
      <c r="I1471">
        <v>23.95</v>
      </c>
      <c r="J1471" s="5">
        <v>46060</v>
      </c>
      <c r="K1471">
        <f t="shared" si="22"/>
        <v>42.01</v>
      </c>
      <c r="L1471" t="str" cm="1">
        <f t="array" ref="L1471">_xlfn.IFS(E1471&gt;=52000000,"Platinum",E1471&gt;=37000000,"Gold",E1471&gt;=30000000,"Sliver",E1471&lt;30000000,"Bronze")</f>
        <v>Sliver</v>
      </c>
    </row>
    <row r="1472" spans="1:12" x14ac:dyDescent="0.25">
      <c r="A1472">
        <v>1471</v>
      </c>
      <c r="B1472" t="s">
        <v>1492</v>
      </c>
      <c r="C1472" t="s">
        <v>19</v>
      </c>
      <c r="D1472" t="s">
        <v>11</v>
      </c>
      <c r="E1472" s="4">
        <v>29819161</v>
      </c>
      <c r="F1472" s="1">
        <f>CALCULATION!$C$11</f>
        <v>42.81</v>
      </c>
      <c r="G1472" s="1">
        <v>4.08</v>
      </c>
      <c r="H1472">
        <v>244.93</v>
      </c>
      <c r="I1472">
        <v>8.0299999999999994</v>
      </c>
      <c r="J1472" s="5">
        <v>46060</v>
      </c>
      <c r="K1472">
        <f t="shared" si="22"/>
        <v>32.61</v>
      </c>
      <c r="L1472" t="str" cm="1">
        <f t="array" ref="L1472">_xlfn.IFS(E1472&gt;=52000000,"Platinum",E1472&gt;=37000000,"Gold",E1472&gt;=30000000,"Sliver",E1472&lt;30000000,"Bronze")</f>
        <v>Bronze</v>
      </c>
    </row>
    <row r="1473" spans="1:12" x14ac:dyDescent="0.25">
      <c r="A1473">
        <v>1472</v>
      </c>
      <c r="B1473" t="s">
        <v>1493</v>
      </c>
      <c r="C1473" t="s">
        <v>29</v>
      </c>
      <c r="D1473" t="s">
        <v>25</v>
      </c>
      <c r="E1473" s="4">
        <v>29470223</v>
      </c>
      <c r="F1473">
        <v>33.17</v>
      </c>
      <c r="G1473">
        <v>5.72</v>
      </c>
      <c r="H1473" s="1">
        <f>CALCULATION!$D$11</f>
        <v>343.315</v>
      </c>
      <c r="I1473">
        <v>21.06</v>
      </c>
      <c r="J1473" s="5">
        <v>46060</v>
      </c>
      <c r="K1473">
        <f t="shared" si="22"/>
        <v>43.95</v>
      </c>
      <c r="L1473" t="str" cm="1">
        <f t="array" ref="L1473">_xlfn.IFS(E1473&gt;=52000000,"Platinum",E1473&gt;=37000000,"Gold",E1473&gt;=30000000,"Sliver",E1473&lt;30000000,"Bronze")</f>
        <v>Bronze</v>
      </c>
    </row>
    <row r="1474" spans="1:12" x14ac:dyDescent="0.25">
      <c r="A1474">
        <v>1473</v>
      </c>
      <c r="B1474" t="s">
        <v>1494</v>
      </c>
      <c r="C1474" t="s">
        <v>27</v>
      </c>
      <c r="D1474" t="s">
        <v>32</v>
      </c>
      <c r="E1474" s="4">
        <v>29134660</v>
      </c>
      <c r="F1474">
        <v>16.850000000000001</v>
      </c>
      <c r="G1474">
        <v>31.2</v>
      </c>
      <c r="H1474">
        <v>1871.85</v>
      </c>
      <c r="I1474">
        <v>185.15</v>
      </c>
      <c r="J1474" s="5">
        <v>46060</v>
      </c>
      <c r="K1474">
        <f t="shared" si="22"/>
        <v>134.15</v>
      </c>
      <c r="L1474" t="str" cm="1">
        <f t="array" ref="L1474">_xlfn.IFS(E1474&gt;=52000000,"Platinum",E1474&gt;=37000000,"Gold",E1474&gt;=30000000,"Sliver",E1474&lt;30000000,"Bronze")</f>
        <v>Bronze</v>
      </c>
    </row>
    <row r="1475" spans="1:12" x14ac:dyDescent="0.25">
      <c r="A1475">
        <v>1474</v>
      </c>
      <c r="B1475" t="s">
        <v>1495</v>
      </c>
      <c r="C1475" t="s">
        <v>21</v>
      </c>
      <c r="D1475" s="1" t="s">
        <v>32</v>
      </c>
      <c r="E1475" s="4">
        <v>24761204</v>
      </c>
      <c r="F1475">
        <v>46.12</v>
      </c>
      <c r="G1475">
        <v>1.64</v>
      </c>
      <c r="H1475">
        <v>98.64</v>
      </c>
      <c r="I1475">
        <v>3.56</v>
      </c>
      <c r="J1475" s="5">
        <v>46060</v>
      </c>
      <c r="K1475">
        <f t="shared" ref="K1475:K1501" si="23">ROUND((100-F1475)*0.5 + I1475*0.5,2)</f>
        <v>28.72</v>
      </c>
      <c r="L1475" t="str" cm="1">
        <f t="array" ref="L1475">_xlfn.IFS(E1475&gt;=52000000,"Platinum",E1475&gt;=37000000,"Gold",E1475&gt;=30000000,"Sliver",E1475&lt;30000000,"Bronze")</f>
        <v>Bronze</v>
      </c>
    </row>
    <row r="1476" spans="1:12" x14ac:dyDescent="0.25">
      <c r="A1476">
        <v>1475</v>
      </c>
      <c r="B1476" t="s">
        <v>1496</v>
      </c>
      <c r="C1476" t="s">
        <v>10</v>
      </c>
      <c r="D1476" t="s">
        <v>25</v>
      </c>
      <c r="E1476" s="4">
        <v>27935114</v>
      </c>
      <c r="F1476">
        <v>35.450000000000003</v>
      </c>
      <c r="G1476">
        <v>4.63</v>
      </c>
      <c r="H1476">
        <v>277.64</v>
      </c>
      <c r="I1476">
        <v>13.05</v>
      </c>
      <c r="J1476" s="5">
        <v>46060</v>
      </c>
      <c r="K1476">
        <f t="shared" si="23"/>
        <v>38.799999999999997</v>
      </c>
      <c r="L1476" t="str" cm="1">
        <f t="array" ref="L1476">_xlfn.IFS(E1476&gt;=52000000,"Platinum",E1476&gt;=37000000,"Gold",E1476&gt;=30000000,"Sliver",E1476&lt;30000000,"Bronze")</f>
        <v>Bronze</v>
      </c>
    </row>
    <row r="1477" spans="1:12" x14ac:dyDescent="0.25">
      <c r="A1477">
        <v>1476</v>
      </c>
      <c r="B1477" t="s">
        <v>1497</v>
      </c>
      <c r="C1477" t="s">
        <v>21</v>
      </c>
      <c r="D1477" t="s">
        <v>22</v>
      </c>
      <c r="E1477" s="4">
        <v>25072703</v>
      </c>
      <c r="F1477">
        <v>42.89</v>
      </c>
      <c r="G1477">
        <v>2.88</v>
      </c>
      <c r="H1477">
        <v>172.79</v>
      </c>
      <c r="I1477">
        <v>6.71</v>
      </c>
      <c r="J1477" s="5">
        <v>46060</v>
      </c>
      <c r="K1477">
        <f t="shared" si="23"/>
        <v>31.91</v>
      </c>
      <c r="L1477" t="str" cm="1">
        <f t="array" ref="L1477">_xlfn.IFS(E1477&gt;=52000000,"Platinum",E1477&gt;=37000000,"Gold",E1477&gt;=30000000,"Sliver",E1477&lt;30000000,"Bronze")</f>
        <v>Bronze</v>
      </c>
    </row>
    <row r="1478" spans="1:12" x14ac:dyDescent="0.25">
      <c r="A1478">
        <v>1477</v>
      </c>
      <c r="B1478" t="s">
        <v>1498</v>
      </c>
      <c r="C1478" t="s">
        <v>16</v>
      </c>
      <c r="D1478" t="s">
        <v>22</v>
      </c>
      <c r="E1478" s="4">
        <v>22939239</v>
      </c>
      <c r="F1478">
        <v>55.15</v>
      </c>
      <c r="G1478">
        <v>7.3</v>
      </c>
      <c r="H1478">
        <v>438.17</v>
      </c>
      <c r="I1478">
        <v>13.24</v>
      </c>
      <c r="J1478" s="5">
        <v>46060</v>
      </c>
      <c r="K1478">
        <f t="shared" si="23"/>
        <v>29.05</v>
      </c>
      <c r="L1478" t="str" cm="1">
        <f t="array" ref="L1478">_xlfn.IFS(E1478&gt;=52000000,"Platinum",E1478&gt;=37000000,"Gold",E1478&gt;=30000000,"Sliver",E1478&lt;30000000,"Bronze")</f>
        <v>Bronze</v>
      </c>
    </row>
    <row r="1479" spans="1:12" x14ac:dyDescent="0.25">
      <c r="A1479">
        <v>1478</v>
      </c>
      <c r="B1479" t="s">
        <v>1499</v>
      </c>
      <c r="C1479" t="s">
        <v>10</v>
      </c>
      <c r="D1479" t="s">
        <v>11</v>
      </c>
      <c r="E1479" s="4">
        <v>28012805</v>
      </c>
      <c r="F1479">
        <v>56.58</v>
      </c>
      <c r="G1479">
        <v>5.72</v>
      </c>
      <c r="H1479" s="1">
        <f>CALCULATION!$D$11</f>
        <v>343.315</v>
      </c>
      <c r="I1479">
        <v>9.4</v>
      </c>
      <c r="J1479" s="5">
        <v>46060</v>
      </c>
      <c r="K1479">
        <f t="shared" si="23"/>
        <v>26.41</v>
      </c>
      <c r="L1479" t="str" cm="1">
        <f t="array" ref="L1479">_xlfn.IFS(E1479&gt;=52000000,"Platinum",E1479&gt;=37000000,"Gold",E1479&gt;=30000000,"Sliver",E1479&lt;30000000,"Bronze")</f>
        <v>Bronze</v>
      </c>
    </row>
    <row r="1480" spans="1:12" x14ac:dyDescent="0.25">
      <c r="A1480">
        <v>1479</v>
      </c>
      <c r="B1480" t="s">
        <v>1500</v>
      </c>
      <c r="C1480" t="s">
        <v>19</v>
      </c>
      <c r="D1480" t="s">
        <v>32</v>
      </c>
      <c r="E1480" s="4">
        <v>22487343</v>
      </c>
      <c r="F1480">
        <v>33.81</v>
      </c>
      <c r="G1480">
        <v>2.4900000000000002</v>
      </c>
      <c r="H1480">
        <v>149.44</v>
      </c>
      <c r="I1480">
        <v>7.37</v>
      </c>
      <c r="J1480" s="5">
        <v>46060</v>
      </c>
      <c r="K1480">
        <f t="shared" si="23"/>
        <v>36.78</v>
      </c>
      <c r="L1480" t="str" cm="1">
        <f t="array" ref="L1480">_xlfn.IFS(E1480&gt;=52000000,"Platinum",E1480&gt;=37000000,"Gold",E1480&gt;=30000000,"Sliver",E1480&lt;30000000,"Bronze")</f>
        <v>Bronze</v>
      </c>
    </row>
    <row r="1481" spans="1:12" x14ac:dyDescent="0.25">
      <c r="A1481">
        <v>1480</v>
      </c>
      <c r="B1481" t="s">
        <v>1501</v>
      </c>
      <c r="C1481" t="s">
        <v>10</v>
      </c>
      <c r="D1481" t="s">
        <v>13</v>
      </c>
      <c r="E1481" s="4">
        <v>22213377</v>
      </c>
      <c r="F1481">
        <v>49.34</v>
      </c>
      <c r="G1481">
        <v>6.6</v>
      </c>
      <c r="H1481">
        <v>396.29</v>
      </c>
      <c r="I1481">
        <v>13.39</v>
      </c>
      <c r="J1481" s="5">
        <v>46060</v>
      </c>
      <c r="K1481">
        <f t="shared" si="23"/>
        <v>32.03</v>
      </c>
      <c r="L1481" t="str" cm="1">
        <f t="array" ref="L1481">_xlfn.IFS(E1481&gt;=52000000,"Platinum",E1481&gt;=37000000,"Gold",E1481&gt;=30000000,"Sliver",E1481&lt;30000000,"Bronze")</f>
        <v>Bronze</v>
      </c>
    </row>
    <row r="1482" spans="1:12" x14ac:dyDescent="0.25">
      <c r="A1482">
        <v>1481</v>
      </c>
      <c r="B1482" t="s">
        <v>1502</v>
      </c>
      <c r="C1482" t="s">
        <v>10</v>
      </c>
      <c r="D1482" s="1" t="s">
        <v>32</v>
      </c>
      <c r="E1482" s="4">
        <v>21586474</v>
      </c>
      <c r="F1482">
        <v>46.86</v>
      </c>
      <c r="G1482">
        <v>3.11</v>
      </c>
      <c r="H1482">
        <v>186.89</v>
      </c>
      <c r="I1482">
        <v>6.65</v>
      </c>
      <c r="J1482" s="5">
        <v>46060</v>
      </c>
      <c r="K1482">
        <f t="shared" si="23"/>
        <v>29.9</v>
      </c>
      <c r="L1482" t="str" cm="1">
        <f t="array" ref="L1482">_xlfn.IFS(E1482&gt;=52000000,"Platinum",E1482&gt;=37000000,"Gold",E1482&gt;=30000000,"Sliver",E1482&lt;30000000,"Bronze")</f>
        <v>Bronze</v>
      </c>
    </row>
    <row r="1483" spans="1:12" x14ac:dyDescent="0.25">
      <c r="A1483">
        <v>1482</v>
      </c>
      <c r="B1483" t="s">
        <v>1503</v>
      </c>
      <c r="C1483" t="s">
        <v>16</v>
      </c>
      <c r="D1483" t="s">
        <v>13</v>
      </c>
      <c r="E1483" s="4">
        <v>24603087</v>
      </c>
      <c r="F1483">
        <v>30.88</v>
      </c>
      <c r="G1483">
        <v>6.53</v>
      </c>
      <c r="H1483">
        <v>391.88</v>
      </c>
      <c r="I1483">
        <v>21.15</v>
      </c>
      <c r="J1483" s="5">
        <v>46060</v>
      </c>
      <c r="K1483">
        <f t="shared" si="23"/>
        <v>45.14</v>
      </c>
      <c r="L1483" t="str" cm="1">
        <f t="array" ref="L1483">_xlfn.IFS(E1483&gt;=52000000,"Platinum",E1483&gt;=37000000,"Gold",E1483&gt;=30000000,"Sliver",E1483&lt;30000000,"Bronze")</f>
        <v>Bronze</v>
      </c>
    </row>
    <row r="1484" spans="1:12" x14ac:dyDescent="0.25">
      <c r="A1484">
        <v>1483</v>
      </c>
      <c r="B1484" t="s">
        <v>1504</v>
      </c>
      <c r="C1484" t="s">
        <v>19</v>
      </c>
      <c r="D1484" t="s">
        <v>32</v>
      </c>
      <c r="E1484" s="4">
        <v>25202803</v>
      </c>
      <c r="F1484">
        <v>37.76</v>
      </c>
      <c r="G1484">
        <v>5.14</v>
      </c>
      <c r="H1484">
        <v>308.2</v>
      </c>
      <c r="I1484">
        <v>13.6</v>
      </c>
      <c r="J1484" s="5">
        <v>46060</v>
      </c>
      <c r="K1484">
        <f t="shared" si="23"/>
        <v>37.92</v>
      </c>
      <c r="L1484" t="str" cm="1">
        <f t="array" ref="L1484">_xlfn.IFS(E1484&gt;=52000000,"Platinum",E1484&gt;=37000000,"Gold",E1484&gt;=30000000,"Sliver",E1484&lt;30000000,"Bronze")</f>
        <v>Bronze</v>
      </c>
    </row>
    <row r="1485" spans="1:12" x14ac:dyDescent="0.25">
      <c r="A1485">
        <v>1484</v>
      </c>
      <c r="B1485" t="s">
        <v>1505</v>
      </c>
      <c r="C1485" t="s">
        <v>19</v>
      </c>
      <c r="D1485" t="s">
        <v>32</v>
      </c>
      <c r="E1485" s="4">
        <v>25450394</v>
      </c>
      <c r="F1485">
        <v>30.29</v>
      </c>
      <c r="G1485">
        <v>6.78</v>
      </c>
      <c r="H1485">
        <v>406.52</v>
      </c>
      <c r="I1485">
        <v>22.37</v>
      </c>
      <c r="J1485" s="5">
        <v>46060</v>
      </c>
      <c r="K1485">
        <f t="shared" si="23"/>
        <v>46.04</v>
      </c>
      <c r="L1485" t="str" cm="1">
        <f t="array" ref="L1485">_xlfn.IFS(E1485&gt;=52000000,"Platinum",E1485&gt;=37000000,"Gold",E1485&gt;=30000000,"Sliver",E1485&lt;30000000,"Bronze")</f>
        <v>Bronze</v>
      </c>
    </row>
    <row r="1486" spans="1:12" x14ac:dyDescent="0.25">
      <c r="A1486">
        <v>1485</v>
      </c>
      <c r="B1486" t="s">
        <v>1506</v>
      </c>
      <c r="C1486" t="s">
        <v>21</v>
      </c>
      <c r="D1486" t="s">
        <v>11</v>
      </c>
      <c r="E1486" s="4">
        <v>25205775</v>
      </c>
      <c r="F1486">
        <v>43.08</v>
      </c>
      <c r="G1486">
        <v>2.76</v>
      </c>
      <c r="H1486">
        <v>165.38</v>
      </c>
      <c r="I1486">
        <v>6.4</v>
      </c>
      <c r="J1486" s="5">
        <v>46060</v>
      </c>
      <c r="K1486">
        <f t="shared" si="23"/>
        <v>31.66</v>
      </c>
      <c r="L1486" t="str" cm="1">
        <f t="array" ref="L1486">_xlfn.IFS(E1486&gt;=52000000,"Platinum",E1486&gt;=37000000,"Gold",E1486&gt;=30000000,"Sliver",E1486&lt;30000000,"Bronze")</f>
        <v>Bronze</v>
      </c>
    </row>
    <row r="1487" spans="1:12" x14ac:dyDescent="0.25">
      <c r="A1487">
        <v>1486</v>
      </c>
      <c r="B1487" t="s">
        <v>1507</v>
      </c>
      <c r="C1487" t="s">
        <v>10</v>
      </c>
      <c r="D1487" t="s">
        <v>11</v>
      </c>
      <c r="E1487" s="4">
        <v>31009317</v>
      </c>
      <c r="F1487">
        <v>43.01</v>
      </c>
      <c r="G1487">
        <v>9.3800000000000008</v>
      </c>
      <c r="H1487">
        <v>562.95000000000005</v>
      </c>
      <c r="I1487">
        <v>21.81</v>
      </c>
      <c r="J1487" s="5">
        <v>46060</v>
      </c>
      <c r="K1487">
        <f t="shared" si="23"/>
        <v>39.4</v>
      </c>
      <c r="L1487" t="str" cm="1">
        <f t="array" ref="L1487">_xlfn.IFS(E1487&gt;=52000000,"Platinum",E1487&gt;=37000000,"Gold",E1487&gt;=30000000,"Sliver",E1487&lt;30000000,"Bronze")</f>
        <v>Sliver</v>
      </c>
    </row>
    <row r="1488" spans="1:12" x14ac:dyDescent="0.25">
      <c r="A1488">
        <v>1487</v>
      </c>
      <c r="B1488" t="s">
        <v>1508</v>
      </c>
      <c r="C1488" t="s">
        <v>46</v>
      </c>
      <c r="D1488" t="s">
        <v>13</v>
      </c>
      <c r="E1488" s="4">
        <v>25576050</v>
      </c>
      <c r="F1488">
        <v>55.14</v>
      </c>
      <c r="G1488">
        <v>4.33</v>
      </c>
      <c r="H1488">
        <v>260.08999999999997</v>
      </c>
      <c r="I1488">
        <v>7.86</v>
      </c>
      <c r="J1488" s="5">
        <v>46060</v>
      </c>
      <c r="K1488">
        <f t="shared" si="23"/>
        <v>26.36</v>
      </c>
      <c r="L1488" t="str" cm="1">
        <f t="array" ref="L1488">_xlfn.IFS(E1488&gt;=52000000,"Platinum",E1488&gt;=37000000,"Gold",E1488&gt;=30000000,"Sliver",E1488&lt;30000000,"Bronze")</f>
        <v>Bronze</v>
      </c>
    </row>
    <row r="1489" spans="1:12" x14ac:dyDescent="0.25">
      <c r="A1489">
        <v>1488</v>
      </c>
      <c r="B1489" t="s">
        <v>1509</v>
      </c>
      <c r="C1489" t="s">
        <v>10</v>
      </c>
      <c r="D1489" t="s">
        <v>22</v>
      </c>
      <c r="E1489" s="4">
        <v>30170519</v>
      </c>
      <c r="F1489">
        <v>42.58</v>
      </c>
      <c r="G1489">
        <v>8.15</v>
      </c>
      <c r="H1489">
        <v>488.99</v>
      </c>
      <c r="I1489">
        <v>19.14</v>
      </c>
      <c r="J1489" s="5">
        <v>46060</v>
      </c>
      <c r="K1489">
        <f t="shared" si="23"/>
        <v>38.28</v>
      </c>
      <c r="L1489" t="str" cm="1">
        <f t="array" ref="L1489">_xlfn.IFS(E1489&gt;=52000000,"Platinum",E1489&gt;=37000000,"Gold",E1489&gt;=30000000,"Sliver",E1489&lt;30000000,"Bronze")</f>
        <v>Sliver</v>
      </c>
    </row>
    <row r="1490" spans="1:12" x14ac:dyDescent="0.25">
      <c r="A1490">
        <v>1489</v>
      </c>
      <c r="B1490" t="s">
        <v>1510</v>
      </c>
      <c r="C1490" t="s">
        <v>10</v>
      </c>
      <c r="D1490" t="s">
        <v>17</v>
      </c>
      <c r="E1490" s="4">
        <v>22605219</v>
      </c>
      <c r="F1490">
        <v>39.4</v>
      </c>
      <c r="G1490">
        <v>4.74</v>
      </c>
      <c r="H1490">
        <v>284.11</v>
      </c>
      <c r="I1490">
        <v>12.02</v>
      </c>
      <c r="J1490" s="5">
        <v>46060</v>
      </c>
      <c r="K1490">
        <f t="shared" si="23"/>
        <v>36.31</v>
      </c>
      <c r="L1490" t="str" cm="1">
        <f t="array" ref="L1490">_xlfn.IFS(E1490&gt;=52000000,"Platinum",E1490&gt;=37000000,"Gold",E1490&gt;=30000000,"Sliver",E1490&lt;30000000,"Bronze")</f>
        <v>Bronze</v>
      </c>
    </row>
    <row r="1491" spans="1:12" x14ac:dyDescent="0.25">
      <c r="A1491">
        <v>1490</v>
      </c>
      <c r="B1491" t="s">
        <v>1511</v>
      </c>
      <c r="C1491" t="s">
        <v>10</v>
      </c>
      <c r="D1491" t="s">
        <v>13</v>
      </c>
      <c r="E1491" s="4">
        <v>31078815</v>
      </c>
      <c r="F1491">
        <v>52.98</v>
      </c>
      <c r="G1491">
        <v>9.07</v>
      </c>
      <c r="H1491">
        <v>543.91</v>
      </c>
      <c r="I1491">
        <v>17.11</v>
      </c>
      <c r="J1491" s="5">
        <v>46060</v>
      </c>
      <c r="K1491">
        <f t="shared" si="23"/>
        <v>32.07</v>
      </c>
      <c r="L1491" t="str" cm="1">
        <f t="array" ref="L1491">_xlfn.IFS(E1491&gt;=52000000,"Platinum",E1491&gt;=37000000,"Gold",E1491&gt;=30000000,"Sliver",E1491&lt;30000000,"Bronze")</f>
        <v>Sliver</v>
      </c>
    </row>
    <row r="1492" spans="1:12" x14ac:dyDescent="0.25">
      <c r="A1492">
        <v>1491</v>
      </c>
      <c r="B1492" t="s">
        <v>1512</v>
      </c>
      <c r="C1492" t="s">
        <v>10</v>
      </c>
      <c r="D1492" t="s">
        <v>22</v>
      </c>
      <c r="E1492" s="4">
        <v>22349589</v>
      </c>
      <c r="F1492">
        <v>57.91</v>
      </c>
      <c r="G1492">
        <v>5.72</v>
      </c>
      <c r="H1492" s="1">
        <f>CALCULATION!$D$11</f>
        <v>343.315</v>
      </c>
      <c r="I1492">
        <v>3.76</v>
      </c>
      <c r="J1492" s="5">
        <v>46060</v>
      </c>
      <c r="K1492">
        <f t="shared" si="23"/>
        <v>22.93</v>
      </c>
      <c r="L1492" t="str" cm="1">
        <f t="array" ref="L1492">_xlfn.IFS(E1492&gt;=52000000,"Platinum",E1492&gt;=37000000,"Gold",E1492&gt;=30000000,"Sliver",E1492&lt;30000000,"Bronze")</f>
        <v>Bronze</v>
      </c>
    </row>
    <row r="1493" spans="1:12" x14ac:dyDescent="0.25">
      <c r="A1493">
        <v>1492</v>
      </c>
      <c r="B1493" t="s">
        <v>1513</v>
      </c>
      <c r="C1493" t="s">
        <v>16</v>
      </c>
      <c r="D1493" t="s">
        <v>25</v>
      </c>
      <c r="E1493" s="4">
        <v>26912907</v>
      </c>
      <c r="F1493" s="1">
        <f>CALCULATION!$C$11</f>
        <v>42.81</v>
      </c>
      <c r="G1493" s="1">
        <v>3.18</v>
      </c>
      <c r="H1493">
        <v>190.68</v>
      </c>
      <c r="I1493">
        <v>9.9</v>
      </c>
      <c r="J1493" s="5">
        <v>46060</v>
      </c>
      <c r="K1493">
        <f t="shared" si="23"/>
        <v>33.549999999999997</v>
      </c>
      <c r="L1493" t="str" cm="1">
        <f t="array" ref="L1493">_xlfn.IFS(E1493&gt;=52000000,"Platinum",E1493&gt;=37000000,"Gold",E1493&gt;=30000000,"Sliver",E1493&lt;30000000,"Bronze")</f>
        <v>Bronze</v>
      </c>
    </row>
    <row r="1494" spans="1:12" x14ac:dyDescent="0.25">
      <c r="A1494">
        <v>1493</v>
      </c>
      <c r="B1494" t="s">
        <v>1514</v>
      </c>
      <c r="C1494" t="s">
        <v>19</v>
      </c>
      <c r="D1494" t="s">
        <v>13</v>
      </c>
      <c r="E1494" s="4">
        <v>27116115</v>
      </c>
      <c r="F1494">
        <v>41.54</v>
      </c>
      <c r="G1494">
        <v>2.76</v>
      </c>
      <c r="H1494">
        <v>165.76</v>
      </c>
      <c r="I1494">
        <v>6.65</v>
      </c>
      <c r="J1494" s="5">
        <v>46060</v>
      </c>
      <c r="K1494">
        <f t="shared" si="23"/>
        <v>32.56</v>
      </c>
      <c r="L1494" t="str" cm="1">
        <f t="array" ref="L1494">_xlfn.IFS(E1494&gt;=52000000,"Platinum",E1494&gt;=37000000,"Gold",E1494&gt;=30000000,"Sliver",E1494&lt;30000000,"Bronze")</f>
        <v>Bronze</v>
      </c>
    </row>
    <row r="1495" spans="1:12" x14ac:dyDescent="0.25">
      <c r="A1495">
        <v>1494</v>
      </c>
      <c r="B1495" t="s">
        <v>1515</v>
      </c>
      <c r="C1495" s="1" t="s">
        <v>21</v>
      </c>
      <c r="D1495" t="s">
        <v>32</v>
      </c>
      <c r="E1495" s="4">
        <v>24095275</v>
      </c>
      <c r="F1495">
        <v>18.48</v>
      </c>
      <c r="G1495">
        <v>31.42</v>
      </c>
      <c r="H1495">
        <v>1885.39</v>
      </c>
      <c r="I1495">
        <v>170.04</v>
      </c>
      <c r="J1495" s="5">
        <v>46060</v>
      </c>
      <c r="K1495">
        <f t="shared" si="23"/>
        <v>125.78</v>
      </c>
      <c r="L1495" t="str" cm="1">
        <f t="array" ref="L1495">_xlfn.IFS(E1495&gt;=52000000,"Platinum",E1495&gt;=37000000,"Gold",E1495&gt;=30000000,"Sliver",E1495&lt;30000000,"Bronze")</f>
        <v>Bronze</v>
      </c>
    </row>
    <row r="1496" spans="1:12" x14ac:dyDescent="0.25">
      <c r="A1496">
        <v>1495</v>
      </c>
      <c r="B1496" t="s">
        <v>1516</v>
      </c>
      <c r="C1496" t="s">
        <v>16</v>
      </c>
      <c r="D1496" t="s">
        <v>22</v>
      </c>
      <c r="E1496" s="4">
        <v>31013201</v>
      </c>
      <c r="F1496">
        <v>37.01</v>
      </c>
      <c r="G1496">
        <v>7.15</v>
      </c>
      <c r="H1496">
        <v>429.23</v>
      </c>
      <c r="I1496">
        <v>19.329999999999998</v>
      </c>
      <c r="J1496" s="5">
        <v>46060</v>
      </c>
      <c r="K1496">
        <f t="shared" si="23"/>
        <v>41.16</v>
      </c>
      <c r="L1496" t="str" cm="1">
        <f t="array" ref="L1496">_xlfn.IFS(E1496&gt;=52000000,"Platinum",E1496&gt;=37000000,"Gold",E1496&gt;=30000000,"Sliver",E1496&lt;30000000,"Bronze")</f>
        <v>Sliver</v>
      </c>
    </row>
    <row r="1497" spans="1:12" x14ac:dyDescent="0.25">
      <c r="A1497">
        <v>1496</v>
      </c>
      <c r="B1497" t="s">
        <v>1517</v>
      </c>
      <c r="C1497" t="s">
        <v>29</v>
      </c>
      <c r="D1497" t="s">
        <v>22</v>
      </c>
      <c r="E1497" s="4">
        <v>20930511</v>
      </c>
      <c r="F1497">
        <v>38.630000000000003</v>
      </c>
      <c r="G1497">
        <v>7.88</v>
      </c>
      <c r="H1497">
        <v>472.98</v>
      </c>
      <c r="I1497">
        <v>20.41</v>
      </c>
      <c r="J1497" s="5">
        <v>46060</v>
      </c>
      <c r="K1497">
        <f t="shared" si="23"/>
        <v>40.89</v>
      </c>
      <c r="L1497" t="str" cm="1">
        <f t="array" ref="L1497">_xlfn.IFS(E1497&gt;=52000000,"Platinum",E1497&gt;=37000000,"Gold",E1497&gt;=30000000,"Sliver",E1497&lt;30000000,"Bronze")</f>
        <v>Bronze</v>
      </c>
    </row>
    <row r="1498" spans="1:12" x14ac:dyDescent="0.25">
      <c r="A1498">
        <v>1497</v>
      </c>
      <c r="B1498" t="s">
        <v>1518</v>
      </c>
      <c r="C1498" t="s">
        <v>16</v>
      </c>
      <c r="D1498" t="s">
        <v>17</v>
      </c>
      <c r="E1498" s="4">
        <v>27302400</v>
      </c>
      <c r="F1498">
        <v>36.770000000000003</v>
      </c>
      <c r="G1498">
        <v>5.89</v>
      </c>
      <c r="H1498">
        <v>353.43</v>
      </c>
      <c r="I1498">
        <v>16.02</v>
      </c>
      <c r="J1498" s="5">
        <v>46060</v>
      </c>
      <c r="K1498">
        <f t="shared" si="23"/>
        <v>39.630000000000003</v>
      </c>
      <c r="L1498" t="str" cm="1">
        <f t="array" ref="L1498">_xlfn.IFS(E1498&gt;=52000000,"Platinum",E1498&gt;=37000000,"Gold",E1498&gt;=30000000,"Sliver",E1498&lt;30000000,"Bronze")</f>
        <v>Bronze</v>
      </c>
    </row>
    <row r="1499" spans="1:12" x14ac:dyDescent="0.25">
      <c r="A1499">
        <v>1498</v>
      </c>
      <c r="B1499" t="s">
        <v>1519</v>
      </c>
      <c r="C1499" t="s">
        <v>10</v>
      </c>
      <c r="D1499" t="s">
        <v>22</v>
      </c>
      <c r="E1499" s="4">
        <v>21909453</v>
      </c>
      <c r="F1499">
        <v>35.72</v>
      </c>
      <c r="G1499">
        <v>2.37</v>
      </c>
      <c r="H1499">
        <v>142.36000000000001</v>
      </c>
      <c r="I1499">
        <v>6.64</v>
      </c>
      <c r="J1499" s="5">
        <v>46060</v>
      </c>
      <c r="K1499">
        <f t="shared" si="23"/>
        <v>35.46</v>
      </c>
      <c r="L1499" t="str" cm="1">
        <f t="array" ref="L1499">_xlfn.IFS(E1499&gt;=52000000,"Platinum",E1499&gt;=37000000,"Gold",E1499&gt;=30000000,"Sliver",E1499&lt;30000000,"Bronze")</f>
        <v>Bronze</v>
      </c>
    </row>
    <row r="1500" spans="1:12" x14ac:dyDescent="0.25">
      <c r="A1500">
        <v>1499</v>
      </c>
      <c r="B1500" t="s">
        <v>1520</v>
      </c>
      <c r="C1500" t="s">
        <v>46</v>
      </c>
      <c r="D1500" t="s">
        <v>11</v>
      </c>
      <c r="E1500" s="4">
        <v>24416246</v>
      </c>
      <c r="F1500">
        <v>36.68</v>
      </c>
      <c r="G1500">
        <v>9.27</v>
      </c>
      <c r="H1500">
        <v>556.25</v>
      </c>
      <c r="I1500">
        <v>25.27</v>
      </c>
      <c r="J1500" s="5">
        <v>46060</v>
      </c>
      <c r="K1500">
        <f t="shared" si="23"/>
        <v>44.3</v>
      </c>
      <c r="L1500" t="str" cm="1">
        <f t="array" ref="L1500">_xlfn.IFS(E1500&gt;=52000000,"Platinum",E1500&gt;=37000000,"Gold",E1500&gt;=30000000,"Sliver",E1500&lt;30000000,"Bronze")</f>
        <v>Bronze</v>
      </c>
    </row>
    <row r="1501" spans="1:12" x14ac:dyDescent="0.25">
      <c r="A1501">
        <v>1500</v>
      </c>
      <c r="B1501" t="s">
        <v>1521</v>
      </c>
      <c r="C1501" t="s">
        <v>46</v>
      </c>
      <c r="D1501" t="s">
        <v>17</v>
      </c>
      <c r="E1501" s="4">
        <v>28322283</v>
      </c>
      <c r="F1501">
        <v>37.82</v>
      </c>
      <c r="G1501">
        <v>5.91</v>
      </c>
      <c r="H1501">
        <v>354.48</v>
      </c>
      <c r="I1501">
        <v>15.62</v>
      </c>
      <c r="J1501" s="5">
        <v>46060</v>
      </c>
      <c r="K1501">
        <f t="shared" si="23"/>
        <v>38.9</v>
      </c>
      <c r="L1501" t="str" cm="1">
        <f t="array" ref="L1501">_xlfn.IFS(E1501&gt;=52000000,"Platinum",E1501&gt;=37000000,"Gold",E1501&gt;=30000000,"Sliver",E1501&lt;30000000,"Bronze")</f>
        <v>Bronze</v>
      </c>
    </row>
  </sheetData>
  <autoFilter ref="A1:L1" xr:uid="{84ABF7D0-B1B3-4F7F-A6EC-6A54CC1A4D3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BE4F7-E83C-4C39-9932-8516E567C954}">
  <dimension ref="B3:H19"/>
  <sheetViews>
    <sheetView workbookViewId="0">
      <selection activeCell="F24" sqref="F24"/>
    </sheetView>
  </sheetViews>
  <sheetFormatPr defaultRowHeight="15" x14ac:dyDescent="0.25"/>
  <cols>
    <col min="3" max="3" width="16.7109375" customWidth="1"/>
    <col min="4" max="4" width="24.140625" customWidth="1"/>
    <col min="7" max="7" width="24.85546875" customWidth="1"/>
  </cols>
  <sheetData>
    <row r="3" spans="2:8" x14ac:dyDescent="0.25">
      <c r="C3" t="s">
        <v>5</v>
      </c>
      <c r="D3" t="s">
        <v>6</v>
      </c>
    </row>
    <row r="4" spans="2:8" x14ac:dyDescent="0.25">
      <c r="B4" t="s">
        <v>1522</v>
      </c>
      <c r="C4" s="3">
        <f>AVERAGE(' web traffic_2026 '!F2:F1501)</f>
        <v>42.023039999999966</v>
      </c>
      <c r="D4" s="3">
        <f>AVERAGE(' web traffic_2026 '!H2:H1501)</f>
        <v>471.59507333333238</v>
      </c>
    </row>
    <row r="5" spans="2:8" x14ac:dyDescent="0.25">
      <c r="B5" t="s">
        <v>1523</v>
      </c>
      <c r="C5" s="3">
        <f>MEDIAN(' web traffic_2026 '!F2:F1501)</f>
        <v>42.81</v>
      </c>
      <c r="D5" s="3">
        <f>MEDIAN(' web traffic_2026 '!H2:H1501)</f>
        <v>343.315</v>
      </c>
    </row>
    <row r="6" spans="2:8" x14ac:dyDescent="0.25">
      <c r="B6" t="s">
        <v>1524</v>
      </c>
      <c r="C6" s="3">
        <f>MODE(' web traffic_2026 '!F2:F1501)</f>
        <v>42.81</v>
      </c>
      <c r="D6" s="3">
        <f>MODE(' web traffic_2026 '!H2:H1501)</f>
        <v>343.315</v>
      </c>
    </row>
    <row r="11" spans="2:8" x14ac:dyDescent="0.25">
      <c r="B11" t="s">
        <v>1525</v>
      </c>
      <c r="C11">
        <v>42.81</v>
      </c>
      <c r="D11">
        <v>343.315</v>
      </c>
    </row>
    <row r="14" spans="2:8" x14ac:dyDescent="0.25">
      <c r="D14" t="s">
        <v>1532</v>
      </c>
      <c r="G14" t="s">
        <v>1526</v>
      </c>
      <c r="H14" s="2" t="str" cm="1">
        <f t="array" ref="H14">INDEX(' web traffic_2026 '!D2:D1501,MATCH(MAX(COUNTIF(' web traffic_2026 '!D2:D1501,' web traffic_2026 '!D2:D1501)),COUNTIF(' web traffic_2026 '!D2:D1501,' web traffic_2026 '!D2:D1501),0))</f>
        <v>US</v>
      </c>
    </row>
    <row r="16" spans="2:8" x14ac:dyDescent="0.25">
      <c r="C16" t="s">
        <v>1533</v>
      </c>
      <c r="D16">
        <f>_xlfn.QUARTILE.EXC(' web traffic_2026 '!E2:E1501,1)</f>
        <v>30205846</v>
      </c>
      <c r="G16" t="s">
        <v>1527</v>
      </c>
      <c r="H16" t="str" cm="1">
        <f t="array" ref="H16">INDEX(' web traffic_2026 '!C2:C1501,MATCH(MAX(COUNTIF(' web traffic_2026 '!C2:C1501,' web traffic_2026 '!C2:C1501)),COUNTIF(' web traffic_2026 '!C2:C1501,' web traffic_2026 '!C2:C1501),0))</f>
        <v>Search</v>
      </c>
    </row>
    <row r="17" spans="3:4" x14ac:dyDescent="0.25">
      <c r="C17" t="s">
        <v>1534</v>
      </c>
      <c r="D17">
        <f>_xlfn.QUARTILE.EXC(' web traffic_2026 '!E3:E1501,2)</f>
        <v>36844437</v>
      </c>
    </row>
    <row r="18" spans="3:4" x14ac:dyDescent="0.25">
      <c r="C18" t="s">
        <v>1535</v>
      </c>
      <c r="D18">
        <f>_xlfn.QUARTILE.EXC(' web traffic_2026 '!E2:E1501,3)</f>
        <v>51853510.5</v>
      </c>
    </row>
    <row r="19" spans="3:4" x14ac:dyDescent="0.25">
      <c r="C19" t="s">
        <v>1536</v>
      </c>
      <c r="D19" s="4">
        <f>MAX(' web traffic_2026 '!E2:E1501)</f>
        <v>996572612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F542D-EB5F-412A-8734-4B9F1DB8E3ED}">
  <sheetPr>
    <tabColor theme="5" tint="0.39997558519241921"/>
  </sheetPr>
  <dimension ref="A1:N70"/>
  <sheetViews>
    <sheetView zoomScale="67" workbookViewId="0">
      <selection activeCell="N11" sqref="N11"/>
    </sheetView>
  </sheetViews>
  <sheetFormatPr defaultRowHeight="15" x14ac:dyDescent="0.25"/>
  <cols>
    <col min="1" max="1" width="19.28515625" bestFit="1" customWidth="1"/>
    <col min="2" max="2" width="36.5703125" bestFit="1" customWidth="1"/>
    <col min="13" max="13" width="20.85546875" bestFit="1" customWidth="1"/>
    <col min="14" max="14" width="37.42578125" bestFit="1" customWidth="1"/>
    <col min="15" max="15" width="16.5703125" bestFit="1" customWidth="1"/>
    <col min="16" max="16" width="26.42578125" bestFit="1" customWidth="1"/>
  </cols>
  <sheetData>
    <row r="1" spans="1:2" x14ac:dyDescent="0.25">
      <c r="A1" s="6" t="s">
        <v>1537</v>
      </c>
      <c r="B1" t="s">
        <v>1539</v>
      </c>
    </row>
    <row r="2" spans="1:2" x14ac:dyDescent="0.25">
      <c r="A2" s="7" t="s">
        <v>1518</v>
      </c>
      <c r="B2" s="15">
        <v>1497</v>
      </c>
    </row>
    <row r="3" spans="1:2" x14ac:dyDescent="0.25">
      <c r="A3" s="7" t="s">
        <v>1512</v>
      </c>
      <c r="B3" s="15">
        <v>1491</v>
      </c>
    </row>
    <row r="4" spans="1:2" x14ac:dyDescent="0.25">
      <c r="A4" s="7" t="s">
        <v>1517</v>
      </c>
      <c r="B4" s="15">
        <v>1496</v>
      </c>
    </row>
    <row r="5" spans="1:2" x14ac:dyDescent="0.25">
      <c r="A5" s="7" t="s">
        <v>1514</v>
      </c>
      <c r="B5" s="15">
        <v>1493</v>
      </c>
    </row>
    <row r="6" spans="1:2" x14ac:dyDescent="0.25">
      <c r="A6" s="7" t="s">
        <v>1520</v>
      </c>
      <c r="B6" s="15">
        <v>1499</v>
      </c>
    </row>
    <row r="7" spans="1:2" x14ac:dyDescent="0.25">
      <c r="A7" s="7" t="s">
        <v>1519</v>
      </c>
      <c r="B7" s="15">
        <v>1498</v>
      </c>
    </row>
    <row r="8" spans="1:2" x14ac:dyDescent="0.25">
      <c r="A8" s="7" t="s">
        <v>1513</v>
      </c>
      <c r="B8" s="15">
        <v>1492</v>
      </c>
    </row>
    <row r="9" spans="1:2" x14ac:dyDescent="0.25">
      <c r="A9" s="7" t="s">
        <v>1516</v>
      </c>
      <c r="B9" s="15">
        <v>1495</v>
      </c>
    </row>
    <row r="10" spans="1:2" x14ac:dyDescent="0.25">
      <c r="A10" s="7" t="s">
        <v>1521</v>
      </c>
      <c r="B10" s="15">
        <v>1500</v>
      </c>
    </row>
    <row r="11" spans="1:2" x14ac:dyDescent="0.25">
      <c r="A11" s="7" t="s">
        <v>1515</v>
      </c>
      <c r="B11" s="15">
        <v>1494</v>
      </c>
    </row>
    <row r="12" spans="1:2" x14ac:dyDescent="0.25">
      <c r="A12" s="7" t="s">
        <v>1538</v>
      </c>
      <c r="B12" s="15">
        <v>1491</v>
      </c>
    </row>
    <row r="20" spans="1:14" x14ac:dyDescent="0.25">
      <c r="A20" s="6" t="s">
        <v>1537</v>
      </c>
      <c r="B20" t="s">
        <v>1541</v>
      </c>
    </row>
    <row r="21" spans="1:14" x14ac:dyDescent="0.25">
      <c r="A21" s="7" t="s">
        <v>34</v>
      </c>
      <c r="B21" s="13">
        <v>307122589</v>
      </c>
      <c r="M21" s="6" t="s">
        <v>1537</v>
      </c>
      <c r="N21" t="s">
        <v>1543</v>
      </c>
    </row>
    <row r="22" spans="1:14" x14ac:dyDescent="0.25">
      <c r="A22" s="7" t="s">
        <v>24</v>
      </c>
      <c r="B22" s="13">
        <v>415012900</v>
      </c>
      <c r="M22" s="7" t="s">
        <v>151</v>
      </c>
      <c r="N22" s="15">
        <v>38.880000000000003</v>
      </c>
    </row>
    <row r="23" spans="1:14" x14ac:dyDescent="0.25">
      <c r="A23" s="7" t="s">
        <v>20</v>
      </c>
      <c r="B23" s="13">
        <v>334143655</v>
      </c>
      <c r="M23" s="7" t="s">
        <v>37</v>
      </c>
      <c r="N23" s="15">
        <v>39.15</v>
      </c>
    </row>
    <row r="24" spans="1:14" x14ac:dyDescent="0.25">
      <c r="A24" s="7" t="s">
        <v>31</v>
      </c>
      <c r="B24" s="13">
        <v>346164172</v>
      </c>
      <c r="M24" s="7" t="s">
        <v>292</v>
      </c>
      <c r="N24" s="15">
        <v>38.69</v>
      </c>
    </row>
    <row r="25" spans="1:14" x14ac:dyDescent="0.25">
      <c r="A25" s="7" t="s">
        <v>15</v>
      </c>
      <c r="B25" s="13">
        <v>589445551</v>
      </c>
      <c r="M25" s="7" t="s">
        <v>623</v>
      </c>
      <c r="N25" s="15">
        <v>39.76</v>
      </c>
    </row>
    <row r="26" spans="1:14" x14ac:dyDescent="0.25">
      <c r="A26" s="7" t="s">
        <v>9</v>
      </c>
      <c r="B26" s="13">
        <v>996572612</v>
      </c>
      <c r="M26" s="7" t="s">
        <v>619</v>
      </c>
      <c r="N26" s="15">
        <v>39.5</v>
      </c>
    </row>
    <row r="27" spans="1:14" x14ac:dyDescent="0.25">
      <c r="A27" s="7" t="s">
        <v>23</v>
      </c>
      <c r="B27" s="13">
        <v>376941229</v>
      </c>
      <c r="M27" s="7" t="s">
        <v>992</v>
      </c>
      <c r="N27" s="15">
        <v>39.81</v>
      </c>
    </row>
    <row r="28" spans="1:14" x14ac:dyDescent="0.25">
      <c r="A28" s="7" t="s">
        <v>12</v>
      </c>
      <c r="B28" s="13">
        <v>635529412</v>
      </c>
      <c r="M28" s="7" t="s">
        <v>794</v>
      </c>
      <c r="N28" s="15">
        <v>38.909999999999997</v>
      </c>
    </row>
    <row r="29" spans="1:14" x14ac:dyDescent="0.25">
      <c r="A29" s="7" t="s">
        <v>18</v>
      </c>
      <c r="B29" s="13">
        <v>402317681</v>
      </c>
      <c r="M29" s="7" t="s">
        <v>813</v>
      </c>
      <c r="N29" s="15">
        <v>39.909999999999997</v>
      </c>
    </row>
    <row r="30" spans="1:14" x14ac:dyDescent="0.25">
      <c r="A30" s="7" t="s">
        <v>14</v>
      </c>
      <c r="B30" s="13">
        <v>525892610</v>
      </c>
      <c r="M30" s="7" t="s">
        <v>204</v>
      </c>
      <c r="N30" s="15">
        <v>39.31</v>
      </c>
    </row>
    <row r="31" spans="1:14" x14ac:dyDescent="0.25">
      <c r="A31" s="7" t="s">
        <v>1538</v>
      </c>
      <c r="B31" s="13">
        <v>4929142411</v>
      </c>
      <c r="M31" s="7" t="s">
        <v>1291</v>
      </c>
      <c r="N31" s="15">
        <v>38.729999999999997</v>
      </c>
    </row>
    <row r="32" spans="1:14" x14ac:dyDescent="0.25">
      <c r="M32" s="7" t="s">
        <v>1538</v>
      </c>
      <c r="N32" s="15">
        <v>39.265000000000001</v>
      </c>
    </row>
    <row r="37" spans="1:14" x14ac:dyDescent="0.25">
      <c r="A37" s="6" t="s">
        <v>1537</v>
      </c>
      <c r="B37" t="s">
        <v>1542</v>
      </c>
    </row>
    <row r="38" spans="1:14" x14ac:dyDescent="0.25">
      <c r="A38" s="7" t="s">
        <v>831</v>
      </c>
      <c r="B38" s="15">
        <v>59.95</v>
      </c>
    </row>
    <row r="39" spans="1:14" x14ac:dyDescent="0.25">
      <c r="A39" s="7" t="s">
        <v>523</v>
      </c>
      <c r="B39" s="15">
        <v>59.88</v>
      </c>
    </row>
    <row r="40" spans="1:14" x14ac:dyDescent="0.25">
      <c r="A40" s="7" t="s">
        <v>683</v>
      </c>
      <c r="B40" s="15">
        <v>59.73</v>
      </c>
      <c r="M40" s="6" t="s">
        <v>1537</v>
      </c>
      <c r="N40" t="s">
        <v>1545</v>
      </c>
    </row>
    <row r="41" spans="1:14" x14ac:dyDescent="0.25">
      <c r="A41" s="7" t="s">
        <v>770</v>
      </c>
      <c r="B41" s="15">
        <v>59.65</v>
      </c>
      <c r="M41" s="7" t="s">
        <v>151</v>
      </c>
      <c r="N41" s="15">
        <v>153.44</v>
      </c>
    </row>
    <row r="42" spans="1:14" x14ac:dyDescent="0.25">
      <c r="A42" s="7" t="s">
        <v>14</v>
      </c>
      <c r="B42" s="15">
        <v>59.96</v>
      </c>
      <c r="M42" s="7" t="s">
        <v>571</v>
      </c>
      <c r="N42" s="15">
        <v>148.63</v>
      </c>
    </row>
    <row r="43" spans="1:14" x14ac:dyDescent="0.25">
      <c r="A43" s="7" t="s">
        <v>169</v>
      </c>
      <c r="B43" s="15">
        <v>59.83</v>
      </c>
      <c r="M43" s="7" t="s">
        <v>461</v>
      </c>
      <c r="N43" s="15">
        <v>156.83000000000001</v>
      </c>
    </row>
    <row r="44" spans="1:14" x14ac:dyDescent="0.25">
      <c r="A44" s="7" t="s">
        <v>1266</v>
      </c>
      <c r="B44" s="15">
        <v>59.91</v>
      </c>
      <c r="M44" s="7" t="s">
        <v>1450</v>
      </c>
      <c r="N44" s="15">
        <v>168.75</v>
      </c>
    </row>
    <row r="45" spans="1:14" x14ac:dyDescent="0.25">
      <c r="A45" s="7" t="s">
        <v>279</v>
      </c>
      <c r="B45" s="15">
        <v>59.72</v>
      </c>
      <c r="M45" s="7" t="s">
        <v>1351</v>
      </c>
      <c r="N45" s="15">
        <v>142.49</v>
      </c>
    </row>
    <row r="46" spans="1:14" x14ac:dyDescent="0.25">
      <c r="A46" s="7" t="s">
        <v>1067</v>
      </c>
      <c r="B46" s="15">
        <v>59.63</v>
      </c>
      <c r="M46" s="7" t="s">
        <v>824</v>
      </c>
      <c r="N46" s="15">
        <v>160.24</v>
      </c>
    </row>
    <row r="47" spans="1:14" x14ac:dyDescent="0.25">
      <c r="A47" s="7" t="s">
        <v>1292</v>
      </c>
      <c r="B47" s="15">
        <v>60</v>
      </c>
      <c r="M47" s="7" t="s">
        <v>531</v>
      </c>
      <c r="N47" s="15">
        <v>149.80000000000001</v>
      </c>
    </row>
    <row r="48" spans="1:14" x14ac:dyDescent="0.25">
      <c r="A48" s="7" t="s">
        <v>1538</v>
      </c>
      <c r="B48" s="15">
        <v>59.826000000000001</v>
      </c>
      <c r="M48" s="7" t="s">
        <v>120</v>
      </c>
      <c r="N48" s="15">
        <v>145.06</v>
      </c>
    </row>
    <row r="49" spans="13:14" x14ac:dyDescent="0.25">
      <c r="M49" s="7" t="s">
        <v>669</v>
      </c>
      <c r="N49" s="15">
        <v>141.32</v>
      </c>
    </row>
    <row r="50" spans="13:14" x14ac:dyDescent="0.25">
      <c r="M50" s="7" t="s">
        <v>1291</v>
      </c>
      <c r="N50" s="15">
        <v>169.18</v>
      </c>
    </row>
    <row r="51" spans="13:14" x14ac:dyDescent="0.25">
      <c r="M51" s="7" t="s">
        <v>1538</v>
      </c>
      <c r="N51" s="15">
        <v>153.57400000000001</v>
      </c>
    </row>
    <row r="59" spans="13:14" x14ac:dyDescent="0.25">
      <c r="M59" s="6" t="s">
        <v>1537</v>
      </c>
      <c r="N59" t="s">
        <v>1544</v>
      </c>
    </row>
    <row r="60" spans="13:14" x14ac:dyDescent="0.25">
      <c r="M60" s="7" t="s">
        <v>151</v>
      </c>
      <c r="N60" s="15">
        <v>224.22</v>
      </c>
    </row>
    <row r="61" spans="13:14" x14ac:dyDescent="0.25">
      <c r="M61" s="7" t="s">
        <v>571</v>
      </c>
      <c r="N61" s="15">
        <v>213.86</v>
      </c>
    </row>
    <row r="62" spans="13:14" x14ac:dyDescent="0.25">
      <c r="M62" s="7" t="s">
        <v>461</v>
      </c>
      <c r="N62" s="15">
        <v>256.45999999999998</v>
      </c>
    </row>
    <row r="63" spans="13:14" x14ac:dyDescent="0.25">
      <c r="M63" s="7" t="s">
        <v>1450</v>
      </c>
      <c r="N63" s="15">
        <v>252.62</v>
      </c>
    </row>
    <row r="64" spans="13:14" x14ac:dyDescent="0.25">
      <c r="M64" s="7" t="s">
        <v>1351</v>
      </c>
      <c r="N64" s="15">
        <v>200.32</v>
      </c>
    </row>
    <row r="65" spans="13:14" x14ac:dyDescent="0.25">
      <c r="M65" s="7" t="s">
        <v>824</v>
      </c>
      <c r="N65" s="15">
        <v>235.83</v>
      </c>
    </row>
    <row r="66" spans="13:14" x14ac:dyDescent="0.25">
      <c r="M66" s="7" t="s">
        <v>531</v>
      </c>
      <c r="N66" s="15">
        <v>216.8</v>
      </c>
    </row>
    <row r="67" spans="13:14" x14ac:dyDescent="0.25">
      <c r="M67" s="7" t="s">
        <v>120</v>
      </c>
      <c r="N67" s="15">
        <v>206.68</v>
      </c>
    </row>
    <row r="68" spans="13:14" x14ac:dyDescent="0.25">
      <c r="M68" s="7" t="s">
        <v>669</v>
      </c>
      <c r="N68" s="15">
        <v>197.9</v>
      </c>
    </row>
    <row r="69" spans="13:14" x14ac:dyDescent="0.25">
      <c r="M69" s="7" t="s">
        <v>1291</v>
      </c>
      <c r="N69" s="15">
        <v>253.62</v>
      </c>
    </row>
    <row r="70" spans="13:14" x14ac:dyDescent="0.25">
      <c r="M70" s="7" t="s">
        <v>1538</v>
      </c>
      <c r="N70" s="15">
        <v>225.83099999999999</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70460-937F-470A-B912-9810FDFEBDF5}">
  <sheetPr>
    <tabColor theme="8" tint="0.39997558519241921"/>
  </sheetPr>
  <dimension ref="A1:Z45"/>
  <sheetViews>
    <sheetView zoomScale="59" zoomScaleNormal="79" workbookViewId="0">
      <selection activeCell="M59" sqref="M59:N70"/>
    </sheetView>
  </sheetViews>
  <sheetFormatPr defaultRowHeight="15" x14ac:dyDescent="0.25"/>
  <cols>
    <col min="1" max="1" width="20" bestFit="1" customWidth="1"/>
    <col min="2" max="2" width="31.42578125" bestFit="1" customWidth="1"/>
    <col min="13" max="13" width="20" bestFit="1" customWidth="1"/>
    <col min="14" max="14" width="39.42578125" bestFit="1" customWidth="1"/>
    <col min="25" max="25" width="23.85546875" customWidth="1"/>
    <col min="26" max="26" width="23.28515625" customWidth="1"/>
  </cols>
  <sheetData>
    <row r="1" spans="1:26" x14ac:dyDescent="0.25">
      <c r="A1" s="6" t="s">
        <v>0</v>
      </c>
      <c r="B1" t="s">
        <v>1540</v>
      </c>
    </row>
    <row r="2" spans="1:26" x14ac:dyDescent="0.25">
      <c r="M2" s="6" t="s">
        <v>1537</v>
      </c>
      <c r="N2" t="s">
        <v>1542</v>
      </c>
    </row>
    <row r="3" spans="1:26" x14ac:dyDescent="0.25">
      <c r="A3" s="6" t="s">
        <v>1537</v>
      </c>
      <c r="B3" t="s">
        <v>1546</v>
      </c>
      <c r="M3" s="7" t="s">
        <v>46</v>
      </c>
      <c r="N3" s="15">
        <v>45.604075829383902</v>
      </c>
    </row>
    <row r="4" spans="1:26" x14ac:dyDescent="0.25">
      <c r="A4" s="7" t="s">
        <v>27</v>
      </c>
      <c r="B4" s="15">
        <v>709.66666666666663</v>
      </c>
      <c r="M4" s="7" t="s">
        <v>19</v>
      </c>
      <c r="N4" s="15">
        <v>45.57231884057974</v>
      </c>
    </row>
    <row r="5" spans="1:26" x14ac:dyDescent="0.25">
      <c r="A5" s="7" t="s">
        <v>19</v>
      </c>
      <c r="B5" s="15">
        <v>732.72946859903379</v>
      </c>
      <c r="M5" s="7" t="s">
        <v>29</v>
      </c>
      <c r="N5" s="15">
        <v>45.286060606060623</v>
      </c>
    </row>
    <row r="6" spans="1:26" x14ac:dyDescent="0.25">
      <c r="A6" s="7" t="s">
        <v>46</v>
      </c>
      <c r="B6" s="15">
        <v>740.34597156398104</v>
      </c>
      <c r="M6" s="7" t="s">
        <v>10</v>
      </c>
      <c r="N6" s="15">
        <v>45.15979591836733</v>
      </c>
    </row>
    <row r="7" spans="1:26" x14ac:dyDescent="0.25">
      <c r="A7" s="7" t="s">
        <v>29</v>
      </c>
      <c r="B7" s="15">
        <v>750.32828282828279</v>
      </c>
      <c r="M7" s="7" t="s">
        <v>16</v>
      </c>
      <c r="N7" s="15">
        <v>44.996809523809553</v>
      </c>
    </row>
    <row r="8" spans="1:26" x14ac:dyDescent="0.25">
      <c r="A8" s="7" t="s">
        <v>21</v>
      </c>
      <c r="B8" s="15">
        <v>761.62897526501763</v>
      </c>
      <c r="M8" s="7" t="s">
        <v>21</v>
      </c>
      <c r="N8" s="15">
        <v>42.056431095406374</v>
      </c>
    </row>
    <row r="9" spans="1:26" x14ac:dyDescent="0.25">
      <c r="A9" s="7" t="s">
        <v>16</v>
      </c>
      <c r="B9" s="15">
        <v>773.6</v>
      </c>
      <c r="M9" s="7" t="s">
        <v>27</v>
      </c>
      <c r="N9" s="15">
        <v>24.663435897435907</v>
      </c>
    </row>
    <row r="10" spans="1:26" x14ac:dyDescent="0.25">
      <c r="A10" s="7" t="s">
        <v>10</v>
      </c>
      <c r="B10" s="15">
        <v>780.17857142857144</v>
      </c>
      <c r="M10" s="7" t="s">
        <v>1538</v>
      </c>
      <c r="N10" s="15">
        <v>42.023039999999938</v>
      </c>
    </row>
    <row r="11" spans="1:26" x14ac:dyDescent="0.25">
      <c r="A11" s="7" t="s">
        <v>1538</v>
      </c>
      <c r="B11" s="15">
        <v>750.5</v>
      </c>
      <c r="Y11" t="s">
        <v>1537</v>
      </c>
      <c r="Z11" t="s">
        <v>1541</v>
      </c>
    </row>
    <row r="12" spans="1:26" x14ac:dyDescent="0.25">
      <c r="Y12" t="s">
        <v>21</v>
      </c>
      <c r="Z12">
        <v>13940507154</v>
      </c>
    </row>
    <row r="13" spans="1:26" x14ac:dyDescent="0.25">
      <c r="Y13" t="s">
        <v>10</v>
      </c>
      <c r="Z13">
        <v>11810682482</v>
      </c>
    </row>
    <row r="14" spans="1:26" x14ac:dyDescent="0.25">
      <c r="Y14" t="s">
        <v>19</v>
      </c>
      <c r="Z14">
        <v>10554953065</v>
      </c>
    </row>
    <row r="15" spans="1:26" x14ac:dyDescent="0.25">
      <c r="Y15" t="s">
        <v>16</v>
      </c>
      <c r="Z15">
        <v>10369181827</v>
      </c>
    </row>
    <row r="16" spans="1:26" x14ac:dyDescent="0.25">
      <c r="Y16" t="s">
        <v>27</v>
      </c>
      <c r="Z16">
        <v>10132988790</v>
      </c>
    </row>
    <row r="17" spans="1:26" x14ac:dyDescent="0.25">
      <c r="Y17" t="s">
        <v>46</v>
      </c>
      <c r="Z17">
        <v>9914194608</v>
      </c>
    </row>
    <row r="18" spans="1:26" x14ac:dyDescent="0.25">
      <c r="Y18" t="s">
        <v>29</v>
      </c>
      <c r="Z18">
        <v>9038603644</v>
      </c>
    </row>
    <row r="19" spans="1:26" x14ac:dyDescent="0.25">
      <c r="A19" s="6" t="s">
        <v>1537</v>
      </c>
      <c r="B19" t="s">
        <v>1541</v>
      </c>
    </row>
    <row r="20" spans="1:26" x14ac:dyDescent="0.25">
      <c r="A20" s="7" t="s">
        <v>21</v>
      </c>
      <c r="B20" s="4">
        <v>13940507154</v>
      </c>
      <c r="M20" s="6" t="s">
        <v>1537</v>
      </c>
      <c r="N20" t="s">
        <v>1543</v>
      </c>
    </row>
    <row r="21" spans="1:26" x14ac:dyDescent="0.25">
      <c r="A21" s="7" t="s">
        <v>10</v>
      </c>
      <c r="B21" s="4">
        <v>11810682482</v>
      </c>
      <c r="M21" s="7" t="s">
        <v>27</v>
      </c>
      <c r="N21" s="15">
        <v>24.541538461538451</v>
      </c>
    </row>
    <row r="22" spans="1:26" x14ac:dyDescent="0.25">
      <c r="A22" s="7" t="s">
        <v>19</v>
      </c>
      <c r="B22" s="4">
        <v>10554953065</v>
      </c>
      <c r="M22" s="7" t="s">
        <v>29</v>
      </c>
      <c r="N22" s="15">
        <v>6.1105050505050542</v>
      </c>
    </row>
    <row r="23" spans="1:26" x14ac:dyDescent="0.25">
      <c r="A23" s="7" t="s">
        <v>16</v>
      </c>
      <c r="B23" s="4">
        <v>10369181827</v>
      </c>
      <c r="M23" s="7" t="s">
        <v>19</v>
      </c>
      <c r="N23" s="15">
        <v>5.9381642512077288</v>
      </c>
    </row>
    <row r="24" spans="1:26" x14ac:dyDescent="0.25">
      <c r="A24" s="7" t="s">
        <v>27</v>
      </c>
      <c r="B24" s="4">
        <v>10132988790</v>
      </c>
      <c r="M24" s="7" t="s">
        <v>46</v>
      </c>
      <c r="N24" s="15">
        <v>5.9145497630331789</v>
      </c>
    </row>
    <row r="25" spans="1:26" x14ac:dyDescent="0.25">
      <c r="A25" s="7" t="s">
        <v>46</v>
      </c>
      <c r="B25" s="4">
        <v>9914194608</v>
      </c>
      <c r="M25" s="7" t="s">
        <v>16</v>
      </c>
      <c r="N25" s="15">
        <v>5.8828095238095273</v>
      </c>
    </row>
    <row r="26" spans="1:26" x14ac:dyDescent="0.25">
      <c r="A26" s="7" t="s">
        <v>29</v>
      </c>
      <c r="B26" s="4">
        <v>9038603644</v>
      </c>
      <c r="M26" s="7" t="s">
        <v>10</v>
      </c>
      <c r="N26" s="15">
        <v>5.867755102040821</v>
      </c>
    </row>
    <row r="27" spans="1:26" x14ac:dyDescent="0.25">
      <c r="A27" s="7" t="s">
        <v>1538</v>
      </c>
      <c r="B27" s="4">
        <v>75761111570</v>
      </c>
      <c r="M27" s="7" t="s">
        <v>21</v>
      </c>
      <c r="N27" s="15">
        <v>3.2919787985865732</v>
      </c>
    </row>
    <row r="28" spans="1:26" x14ac:dyDescent="0.25">
      <c r="M28" s="7" t="s">
        <v>1538</v>
      </c>
      <c r="N28" s="15">
        <v>7.8598333333333237</v>
      </c>
    </row>
    <row r="35" spans="1:14" x14ac:dyDescent="0.25">
      <c r="A35" s="6" t="s">
        <v>1537</v>
      </c>
      <c r="B35" t="s">
        <v>1544</v>
      </c>
    </row>
    <row r="36" spans="1:14" x14ac:dyDescent="0.25">
      <c r="A36" s="7" t="s">
        <v>27</v>
      </c>
      <c r="B36" s="8">
        <v>114.42435897435898</v>
      </c>
    </row>
    <row r="37" spans="1:14" x14ac:dyDescent="0.25">
      <c r="A37" s="7" t="s">
        <v>29</v>
      </c>
      <c r="B37" s="8">
        <v>14.038181818181814</v>
      </c>
      <c r="M37" s="6" t="s">
        <v>1537</v>
      </c>
      <c r="N37" t="s">
        <v>1545</v>
      </c>
    </row>
    <row r="38" spans="1:14" x14ac:dyDescent="0.25">
      <c r="A38" s="7" t="s">
        <v>16</v>
      </c>
      <c r="B38" s="8">
        <v>13.866142857142858</v>
      </c>
      <c r="M38" s="7" t="s">
        <v>27</v>
      </c>
      <c r="N38" s="8">
        <v>94.882974358974337</v>
      </c>
    </row>
    <row r="39" spans="1:14" x14ac:dyDescent="0.25">
      <c r="A39" s="7" t="s">
        <v>10</v>
      </c>
      <c r="B39" s="8">
        <v>13.439846938775519</v>
      </c>
      <c r="M39" s="7" t="s">
        <v>16</v>
      </c>
      <c r="N39" s="8">
        <v>34.437238095238087</v>
      </c>
    </row>
    <row r="40" spans="1:14" x14ac:dyDescent="0.25">
      <c r="A40" s="7" t="s">
        <v>46</v>
      </c>
      <c r="B40" s="8">
        <v>13.392843601895729</v>
      </c>
      <c r="M40" s="7" t="s">
        <v>29</v>
      </c>
      <c r="N40" s="8">
        <v>34.378535353535355</v>
      </c>
    </row>
    <row r="41" spans="1:14" x14ac:dyDescent="0.25">
      <c r="A41" s="7" t="s">
        <v>19</v>
      </c>
      <c r="B41" s="8">
        <v>13.380966183574882</v>
      </c>
      <c r="M41" s="7" t="s">
        <v>10</v>
      </c>
      <c r="N41" s="8">
        <v>34.142602040816328</v>
      </c>
    </row>
    <row r="42" spans="1:14" x14ac:dyDescent="0.25">
      <c r="A42" s="7" t="s">
        <v>21</v>
      </c>
      <c r="B42" s="8">
        <v>9.711802120141348</v>
      </c>
      <c r="M42" s="7" t="s">
        <v>19</v>
      </c>
      <c r="N42" s="8">
        <v>33.906956521739112</v>
      </c>
    </row>
    <row r="43" spans="1:14" x14ac:dyDescent="0.25">
      <c r="A43" s="7" t="s">
        <v>1538</v>
      </c>
      <c r="B43" s="8">
        <v>25.98840000000002</v>
      </c>
      <c r="M43" s="7" t="s">
        <v>46</v>
      </c>
      <c r="N43" s="8">
        <v>33.896540284360206</v>
      </c>
    </row>
    <row r="44" spans="1:14" x14ac:dyDescent="0.25">
      <c r="M44" s="7" t="s">
        <v>21</v>
      </c>
      <c r="N44" s="8">
        <v>33.830176678445198</v>
      </c>
    </row>
    <row r="45" spans="1:14" x14ac:dyDescent="0.25">
      <c r="M45" s="7" t="s">
        <v>1538</v>
      </c>
      <c r="N45" s="8">
        <v>41.985166666666679</v>
      </c>
    </row>
  </sheetData>
  <pageMargins left="0.7" right="0.7" top="0.75" bottom="0.75" header="0.3" footer="0.3"/>
  <drawing r:id="rId7"/>
  <tableParts count="1">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F72A9-54D3-492A-98B8-398CC9F80FE2}">
  <sheetPr>
    <tabColor rgb="FFB17ED8"/>
  </sheetPr>
  <dimension ref="A2:AA44"/>
  <sheetViews>
    <sheetView zoomScale="79" zoomScaleNormal="67" workbookViewId="0">
      <selection activeCell="N5" sqref="N5"/>
    </sheetView>
  </sheetViews>
  <sheetFormatPr defaultRowHeight="15" x14ac:dyDescent="0.25"/>
  <cols>
    <col min="1" max="1" width="14.28515625" bestFit="1" customWidth="1"/>
    <col min="2" max="2" width="25.28515625" bestFit="1" customWidth="1"/>
    <col min="13" max="13" width="14.28515625" bestFit="1" customWidth="1"/>
    <col min="14" max="14" width="36.28515625" bestFit="1" customWidth="1"/>
    <col min="26" max="26" width="12.7109375" customWidth="1"/>
    <col min="27" max="27" width="26" customWidth="1"/>
  </cols>
  <sheetData>
    <row r="2" spans="1:27" x14ac:dyDescent="0.25">
      <c r="M2" s="6" t="s">
        <v>1537</v>
      </c>
      <c r="N2" t="s">
        <v>1542</v>
      </c>
    </row>
    <row r="3" spans="1:27" x14ac:dyDescent="0.25">
      <c r="A3" s="6" t="s">
        <v>1537</v>
      </c>
      <c r="B3" t="s">
        <v>1546</v>
      </c>
      <c r="M3" s="7" t="s">
        <v>17</v>
      </c>
      <c r="N3" s="14">
        <v>41.089320000000015</v>
      </c>
    </row>
    <row r="4" spans="1:27" x14ac:dyDescent="0.25">
      <c r="A4" s="7" t="s">
        <v>17</v>
      </c>
      <c r="B4" s="15">
        <v>761.17200000000003</v>
      </c>
      <c r="M4" s="7" t="s">
        <v>11</v>
      </c>
      <c r="N4" s="14">
        <v>42.697226890756291</v>
      </c>
    </row>
    <row r="5" spans="1:27" x14ac:dyDescent="0.25">
      <c r="A5" s="7" t="s">
        <v>11</v>
      </c>
      <c r="B5" s="15">
        <v>764.20168067226894</v>
      </c>
      <c r="M5" s="7" t="s">
        <v>22</v>
      </c>
      <c r="N5" s="14">
        <v>41.797782608695634</v>
      </c>
    </row>
    <row r="6" spans="1:27" x14ac:dyDescent="0.25">
      <c r="A6" s="7" t="s">
        <v>22</v>
      </c>
      <c r="B6" s="15">
        <v>732.42173913043473</v>
      </c>
      <c r="M6" s="7" t="s">
        <v>13</v>
      </c>
      <c r="N6" s="14">
        <v>41.824323144104824</v>
      </c>
      <c r="Z6" t="s">
        <v>1537</v>
      </c>
      <c r="AA6" t="s">
        <v>1551</v>
      </c>
    </row>
    <row r="7" spans="1:27" x14ac:dyDescent="0.25">
      <c r="A7" s="7" t="s">
        <v>13</v>
      </c>
      <c r="B7" s="15">
        <v>734.31877729257644</v>
      </c>
      <c r="M7" s="7" t="s">
        <v>25</v>
      </c>
      <c r="N7" s="14">
        <v>41.663423076923053</v>
      </c>
      <c r="Z7" t="s">
        <v>17</v>
      </c>
      <c r="AA7">
        <v>51083492.840000004</v>
      </c>
    </row>
    <row r="8" spans="1:27" x14ac:dyDescent="0.25">
      <c r="A8" s="7" t="s">
        <v>25</v>
      </c>
      <c r="B8" s="15">
        <v>773.24230769230769</v>
      </c>
      <c r="M8" s="7" t="s">
        <v>32</v>
      </c>
      <c r="N8" s="14">
        <v>42.923344709897613</v>
      </c>
      <c r="Z8" t="s">
        <v>11</v>
      </c>
      <c r="AA8">
        <v>51970340.294117644</v>
      </c>
    </row>
    <row r="9" spans="1:27" x14ac:dyDescent="0.25">
      <c r="A9" s="7" t="s">
        <v>32</v>
      </c>
      <c r="B9" s="15">
        <v>736.92150170648461</v>
      </c>
      <c r="M9" s="7" t="s">
        <v>1538</v>
      </c>
      <c r="N9" s="14">
        <v>42.023040000000016</v>
      </c>
      <c r="Z9" t="s">
        <v>22</v>
      </c>
      <c r="AA9">
        <v>50869992.039130434</v>
      </c>
    </row>
    <row r="10" spans="1:27" x14ac:dyDescent="0.25">
      <c r="A10" s="7" t="s">
        <v>1538</v>
      </c>
      <c r="B10" s="15">
        <v>750.5</v>
      </c>
      <c r="Z10" t="s">
        <v>13</v>
      </c>
      <c r="AA10">
        <v>54336023.458515286</v>
      </c>
    </row>
    <row r="11" spans="1:27" x14ac:dyDescent="0.25">
      <c r="Z11" t="s">
        <v>25</v>
      </c>
      <c r="AA11">
        <v>46762960.553846151</v>
      </c>
    </row>
    <row r="12" spans="1:27" x14ac:dyDescent="0.25">
      <c r="Z12" t="s">
        <v>32</v>
      </c>
      <c r="AA12">
        <v>48873310.87030717</v>
      </c>
    </row>
    <row r="20" spans="1:14" x14ac:dyDescent="0.25">
      <c r="A20" s="6" t="s">
        <v>1537</v>
      </c>
      <c r="B20" t="s">
        <v>1551</v>
      </c>
    </row>
    <row r="21" spans="1:14" x14ac:dyDescent="0.25">
      <c r="A21" s="7" t="s">
        <v>17</v>
      </c>
      <c r="B21" s="4">
        <v>51083492.840000004</v>
      </c>
    </row>
    <row r="22" spans="1:14" x14ac:dyDescent="0.25">
      <c r="A22" s="7" t="s">
        <v>11</v>
      </c>
      <c r="B22" s="4">
        <v>51970340.294117644</v>
      </c>
      <c r="M22" s="6" t="s">
        <v>1537</v>
      </c>
      <c r="N22" t="s">
        <v>1543</v>
      </c>
    </row>
    <row r="23" spans="1:14" x14ac:dyDescent="0.25">
      <c r="A23" s="7" t="s">
        <v>22</v>
      </c>
      <c r="B23" s="4">
        <v>50869992.039130434</v>
      </c>
      <c r="M23" s="7" t="s">
        <v>17</v>
      </c>
      <c r="N23" s="8">
        <v>8.3013599999999972</v>
      </c>
    </row>
    <row r="24" spans="1:14" x14ac:dyDescent="0.25">
      <c r="A24" s="7" t="s">
        <v>13</v>
      </c>
      <c r="B24" s="4">
        <v>54336023.458515286</v>
      </c>
      <c r="M24" s="7" t="s">
        <v>11</v>
      </c>
      <c r="N24" s="8">
        <v>6.7930672268907637</v>
      </c>
    </row>
    <row r="25" spans="1:14" x14ac:dyDescent="0.25">
      <c r="A25" s="7" t="s">
        <v>25</v>
      </c>
      <c r="B25" s="4">
        <v>46762960.553846151</v>
      </c>
      <c r="M25" s="7" t="s">
        <v>22</v>
      </c>
      <c r="N25" s="8">
        <v>7.8017826086956603</v>
      </c>
    </row>
    <row r="26" spans="1:14" x14ac:dyDescent="0.25">
      <c r="A26" s="7" t="s">
        <v>32</v>
      </c>
      <c r="B26" s="4">
        <v>48873310.87030717</v>
      </c>
      <c r="M26" s="7" t="s">
        <v>13</v>
      </c>
      <c r="N26" s="8">
        <v>8.2979912663755417</v>
      </c>
    </row>
    <row r="27" spans="1:14" x14ac:dyDescent="0.25">
      <c r="A27" s="7" t="s">
        <v>1538</v>
      </c>
      <c r="B27" s="4">
        <v>50507407.713333331</v>
      </c>
      <c r="M27" s="7" t="s">
        <v>25</v>
      </c>
      <c r="N27" s="8">
        <v>8.0673461538461524</v>
      </c>
    </row>
    <row r="28" spans="1:14" x14ac:dyDescent="0.25">
      <c r="M28" s="7" t="s">
        <v>32</v>
      </c>
      <c r="N28" s="8">
        <v>7.8686006825938613</v>
      </c>
    </row>
    <row r="29" spans="1:14" x14ac:dyDescent="0.25">
      <c r="M29" s="7" t="s">
        <v>1538</v>
      </c>
      <c r="N29" s="8">
        <v>7.8598333333333343</v>
      </c>
    </row>
    <row r="37" spans="1:14" x14ac:dyDescent="0.25">
      <c r="A37" s="6" t="s">
        <v>1537</v>
      </c>
      <c r="B37" t="s">
        <v>1544</v>
      </c>
      <c r="M37" s="6" t="s">
        <v>1537</v>
      </c>
      <c r="N37" t="s">
        <v>1545</v>
      </c>
    </row>
    <row r="38" spans="1:14" x14ac:dyDescent="0.25">
      <c r="A38" s="7" t="s">
        <v>17</v>
      </c>
      <c r="B38" s="15">
        <v>28.13288</v>
      </c>
      <c r="M38" s="7" t="s">
        <v>17</v>
      </c>
      <c r="N38" s="15">
        <v>43.524159999999981</v>
      </c>
    </row>
    <row r="39" spans="1:14" x14ac:dyDescent="0.25">
      <c r="A39" s="7" t="s">
        <v>11</v>
      </c>
      <c r="B39" s="15">
        <v>20.961008403361358</v>
      </c>
      <c r="M39" s="7" t="s">
        <v>11</v>
      </c>
      <c r="N39" s="15">
        <v>39.134117647058822</v>
      </c>
    </row>
    <row r="40" spans="1:14" x14ac:dyDescent="0.25">
      <c r="A40" s="7" t="s">
        <v>22</v>
      </c>
      <c r="B40" s="15">
        <v>26.305521739130437</v>
      </c>
      <c r="M40" s="7" t="s">
        <v>22</v>
      </c>
      <c r="N40" s="15">
        <v>42.25626086956521</v>
      </c>
    </row>
    <row r="41" spans="1:14" x14ac:dyDescent="0.25">
      <c r="A41" s="7" t="s">
        <v>13</v>
      </c>
      <c r="B41" s="15">
        <v>27.511266375545844</v>
      </c>
      <c r="M41" s="7" t="s">
        <v>13</v>
      </c>
      <c r="N41" s="15">
        <v>42.846244541484722</v>
      </c>
    </row>
    <row r="42" spans="1:14" x14ac:dyDescent="0.25">
      <c r="A42" s="7" t="s">
        <v>25</v>
      </c>
      <c r="B42" s="15">
        <v>27.221038461538487</v>
      </c>
      <c r="M42" s="7" t="s">
        <v>25</v>
      </c>
      <c r="N42" s="15">
        <v>42.781384615384624</v>
      </c>
    </row>
    <row r="43" spans="1:14" x14ac:dyDescent="0.25">
      <c r="A43" s="7" t="s">
        <v>32</v>
      </c>
      <c r="B43" s="15">
        <v>25.709351535836205</v>
      </c>
      <c r="M43" s="7" t="s">
        <v>32</v>
      </c>
      <c r="N43" s="15">
        <v>41.395563139931724</v>
      </c>
    </row>
    <row r="44" spans="1:14" x14ac:dyDescent="0.25">
      <c r="A44" s="7" t="s">
        <v>1538</v>
      </c>
      <c r="B44" s="15">
        <v>25.98839999999997</v>
      </c>
      <c r="M44" s="7" t="s">
        <v>1538</v>
      </c>
      <c r="N44" s="15">
        <v>41.985166666666679</v>
      </c>
    </row>
  </sheetData>
  <pageMargins left="0.7" right="0.7" top="0.75" bottom="0.75" header="0.3" footer="0.3"/>
  <drawing r:id="rId7"/>
  <tableParts count="1">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52F62-ACF2-4A20-8086-EC05F2CBDF73}">
  <sheetPr>
    <tabColor rgb="FF92D050"/>
  </sheetPr>
  <dimension ref="A3:Z41"/>
  <sheetViews>
    <sheetView zoomScale="81" workbookViewId="0">
      <selection activeCell="B30" sqref="B30"/>
    </sheetView>
  </sheetViews>
  <sheetFormatPr defaultRowHeight="15" x14ac:dyDescent="0.25"/>
  <cols>
    <col min="1" max="1" width="13.85546875" bestFit="1" customWidth="1"/>
    <col min="2" max="2" width="26.140625" bestFit="1" customWidth="1"/>
    <col min="13" max="13" width="13.85546875" bestFit="1" customWidth="1"/>
    <col min="14" max="14" width="27.42578125" bestFit="1" customWidth="1"/>
    <col min="25" max="25" width="13.5703125" customWidth="1"/>
    <col min="26" max="26" width="22" customWidth="1"/>
  </cols>
  <sheetData>
    <row r="3" spans="1:26" x14ac:dyDescent="0.25">
      <c r="A3" s="6" t="s">
        <v>1537</v>
      </c>
      <c r="B3" t="s">
        <v>1546</v>
      </c>
      <c r="M3" s="6" t="s">
        <v>1537</v>
      </c>
      <c r="N3" t="s">
        <v>1542</v>
      </c>
    </row>
    <row r="4" spans="1:26" x14ac:dyDescent="0.25">
      <c r="A4" s="7" t="s">
        <v>1547</v>
      </c>
      <c r="B4" s="15">
        <v>1233.4835164835165</v>
      </c>
      <c r="M4" s="7" t="s">
        <v>1547</v>
      </c>
      <c r="N4" s="15">
        <v>41.963901098901097</v>
      </c>
      <c r="Y4" t="s">
        <v>1537</v>
      </c>
      <c r="Z4" t="s">
        <v>1541</v>
      </c>
    </row>
    <row r="5" spans="1:26" x14ac:dyDescent="0.25">
      <c r="A5" s="7" t="s">
        <v>1550</v>
      </c>
      <c r="B5" s="15">
        <v>582.52291105121299</v>
      </c>
      <c r="M5" s="7" t="s">
        <v>1550</v>
      </c>
      <c r="N5" s="15">
        <v>41.998463611859862</v>
      </c>
      <c r="Y5" t="s">
        <v>1547</v>
      </c>
      <c r="Z5">
        <v>9566452096</v>
      </c>
    </row>
    <row r="6" spans="1:26" x14ac:dyDescent="0.25">
      <c r="A6" s="7" t="s">
        <v>1549</v>
      </c>
      <c r="B6" s="15">
        <v>196.93817204301075</v>
      </c>
      <c r="M6" s="7" t="s">
        <v>1549</v>
      </c>
      <c r="N6" s="15">
        <v>41.291908602150514</v>
      </c>
      <c r="Y6" t="s">
        <v>1550</v>
      </c>
      <c r="Z6">
        <v>16028548579</v>
      </c>
    </row>
    <row r="7" spans="1:26" x14ac:dyDescent="0.25">
      <c r="A7" s="7" t="s">
        <v>1548</v>
      </c>
      <c r="B7" s="15">
        <v>985.71246819338421</v>
      </c>
      <c r="M7" s="7" t="s">
        <v>1548</v>
      </c>
      <c r="N7" s="15">
        <v>42.793078880407094</v>
      </c>
      <c r="Y7" t="s">
        <v>1549</v>
      </c>
      <c r="Z7">
        <v>37159155560</v>
      </c>
    </row>
    <row r="8" spans="1:26" x14ac:dyDescent="0.25">
      <c r="A8" s="7" t="s">
        <v>1538</v>
      </c>
      <c r="B8" s="15">
        <v>750.5</v>
      </c>
      <c r="M8" s="7" t="s">
        <v>1538</v>
      </c>
      <c r="N8" s="15">
        <v>42.023039999999924</v>
      </c>
      <c r="Y8" t="s">
        <v>1548</v>
      </c>
      <c r="Z8">
        <v>13006955335</v>
      </c>
    </row>
    <row r="20" spans="1:14" x14ac:dyDescent="0.25">
      <c r="A20" s="6" t="s">
        <v>1537</v>
      </c>
      <c r="B20" t="s">
        <v>1541</v>
      </c>
    </row>
    <row r="21" spans="1:14" x14ac:dyDescent="0.25">
      <c r="A21" s="7" t="s">
        <v>1547</v>
      </c>
      <c r="B21" s="14">
        <v>9566452096</v>
      </c>
    </row>
    <row r="22" spans="1:14" x14ac:dyDescent="0.25">
      <c r="A22" s="7" t="s">
        <v>1550</v>
      </c>
      <c r="B22" s="14">
        <v>16028548579</v>
      </c>
      <c r="M22" s="6" t="s">
        <v>1537</v>
      </c>
      <c r="N22" t="s">
        <v>1543</v>
      </c>
    </row>
    <row r="23" spans="1:14" x14ac:dyDescent="0.25">
      <c r="A23" s="7" t="s">
        <v>1549</v>
      </c>
      <c r="B23" s="14">
        <v>37159155560</v>
      </c>
      <c r="M23" s="7" t="s">
        <v>1547</v>
      </c>
      <c r="N23" s="15">
        <v>7.0014560439560434</v>
      </c>
    </row>
    <row r="24" spans="1:14" x14ac:dyDescent="0.25">
      <c r="A24" s="7" t="s">
        <v>1548</v>
      </c>
      <c r="B24" s="14">
        <v>13006955335</v>
      </c>
      <c r="M24" s="7" t="s">
        <v>1550</v>
      </c>
      <c r="N24" s="15">
        <v>8.0352291105121321</v>
      </c>
    </row>
    <row r="25" spans="1:14" x14ac:dyDescent="0.25">
      <c r="A25" s="7" t="s">
        <v>1538</v>
      </c>
      <c r="B25" s="14">
        <v>75761111570</v>
      </c>
      <c r="M25" s="7" t="s">
        <v>1549</v>
      </c>
      <c r="N25" s="15">
        <v>8.5108333333333359</v>
      </c>
    </row>
    <row r="26" spans="1:14" x14ac:dyDescent="0.25">
      <c r="M26" s="7" t="s">
        <v>1548</v>
      </c>
      <c r="N26" s="15">
        <v>7.873078880407121</v>
      </c>
    </row>
    <row r="27" spans="1:14" x14ac:dyDescent="0.25">
      <c r="M27" s="7" t="s">
        <v>1538</v>
      </c>
      <c r="N27" s="15">
        <v>7.8598333333333148</v>
      </c>
    </row>
    <row r="35" spans="1:14" x14ac:dyDescent="0.25">
      <c r="M35" s="6" t="s">
        <v>1537</v>
      </c>
      <c r="N35" t="s">
        <v>1545</v>
      </c>
    </row>
    <row r="36" spans="1:14" x14ac:dyDescent="0.25">
      <c r="A36" s="6" t="s">
        <v>1537</v>
      </c>
      <c r="B36" t="s">
        <v>1544</v>
      </c>
      <c r="M36" s="7" t="s">
        <v>1547</v>
      </c>
      <c r="N36" s="15">
        <v>40.11675824175822</v>
      </c>
    </row>
    <row r="37" spans="1:14" x14ac:dyDescent="0.25">
      <c r="A37" s="7" t="s">
        <v>1547</v>
      </c>
      <c r="B37" s="15">
        <v>22.19230769230769</v>
      </c>
      <c r="M37" s="7" t="s">
        <v>1550</v>
      </c>
      <c r="N37" s="15">
        <v>42.497412398921874</v>
      </c>
    </row>
    <row r="38" spans="1:14" x14ac:dyDescent="0.25">
      <c r="A38" s="7" t="s">
        <v>1550</v>
      </c>
      <c r="B38" s="15">
        <v>26.988194070080844</v>
      </c>
      <c r="M38" s="7" t="s">
        <v>1549</v>
      </c>
      <c r="N38" s="15">
        <v>43.926182795698899</v>
      </c>
    </row>
    <row r="39" spans="1:14" x14ac:dyDescent="0.25">
      <c r="A39" s="7" t="s">
        <v>1549</v>
      </c>
      <c r="B39" s="15">
        <v>29.139623655914004</v>
      </c>
      <c r="M39" s="7" t="s">
        <v>1548</v>
      </c>
      <c r="N39" s="15">
        <v>41.394834605597936</v>
      </c>
    </row>
    <row r="40" spans="1:14" x14ac:dyDescent="0.25">
      <c r="A40" s="7" t="s">
        <v>1548</v>
      </c>
      <c r="B40" s="15">
        <v>25.577709923664131</v>
      </c>
      <c r="M40" s="7" t="s">
        <v>1538</v>
      </c>
      <c r="N40" s="15">
        <v>41.985166666666679</v>
      </c>
    </row>
    <row r="41" spans="1:14" x14ac:dyDescent="0.25">
      <c r="A41" s="7" t="s">
        <v>1538</v>
      </c>
      <c r="B41" s="15">
        <v>25.988399999999995</v>
      </c>
    </row>
  </sheetData>
  <pageMargins left="0.7" right="0.7" top="0.75" bottom="0.75" header="0.3" footer="0.3"/>
  <drawing r:id="rId7"/>
  <tableParts count="1">
    <tablePart r:id="rId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5785E-3BE4-4671-901A-4A064EED338B}">
  <dimension ref="A1:F19"/>
  <sheetViews>
    <sheetView workbookViewId="0">
      <selection activeCell="P24" sqref="P24"/>
    </sheetView>
  </sheetViews>
  <sheetFormatPr defaultRowHeight="15" x14ac:dyDescent="0.25"/>
  <cols>
    <col min="1" max="2" width="15.85546875" bestFit="1" customWidth="1"/>
    <col min="6" max="6" width="27.42578125" bestFit="1" customWidth="1"/>
    <col min="7" max="7" width="20.85546875" bestFit="1" customWidth="1"/>
  </cols>
  <sheetData>
    <row r="1" spans="1:6" x14ac:dyDescent="0.25">
      <c r="A1" t="s">
        <v>1554</v>
      </c>
      <c r="F1" t="s">
        <v>1541</v>
      </c>
    </row>
    <row r="2" spans="1:6" x14ac:dyDescent="0.25">
      <c r="A2" s="15">
        <v>1500</v>
      </c>
      <c r="F2" s="12">
        <v>75761111570</v>
      </c>
    </row>
    <row r="9" spans="1:6" x14ac:dyDescent="0.25">
      <c r="F9" t="s">
        <v>1542</v>
      </c>
    </row>
    <row r="10" spans="1:6" x14ac:dyDescent="0.25">
      <c r="F10" s="8">
        <v>42.023039999999966</v>
      </c>
    </row>
    <row r="18" spans="6:6" x14ac:dyDescent="0.25">
      <c r="F18" t="s">
        <v>1545</v>
      </c>
    </row>
    <row r="19" spans="6:6" x14ac:dyDescent="0.25">
      <c r="F19" s="8">
        <v>41.985166666666679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D69B6-575B-48AB-9ECF-97EF56EBFDED}">
  <sheetPr>
    <tabColor rgb="FF3A86FF"/>
  </sheetPr>
  <dimension ref="O1:O2"/>
  <sheetViews>
    <sheetView showGridLines="0" tabSelected="1" zoomScale="71" zoomScaleNormal="71" workbookViewId="0">
      <selection activeCell="AH30" sqref="AH30"/>
    </sheetView>
  </sheetViews>
  <sheetFormatPr defaultRowHeight="15" x14ac:dyDescent="0.25"/>
  <cols>
    <col min="1" max="1" width="9.140625" style="9" customWidth="1"/>
    <col min="2" max="2" width="9.28515625" style="9" customWidth="1"/>
    <col min="3" max="16384" width="9.140625" style="9"/>
  </cols>
  <sheetData>
    <row r="1" spans="15:15" ht="33" x14ac:dyDescent="0.45">
      <c r="O1" s="10" t="s">
        <v>1552</v>
      </c>
    </row>
    <row r="2" spans="15:15" ht="18.75" x14ac:dyDescent="0.3">
      <c r="O2" s="11" t="s">
        <v>1553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 web traffic_2026 </vt:lpstr>
      <vt:lpstr>CALCULATION</vt:lpstr>
      <vt:lpstr>Domain Analysis</vt:lpstr>
      <vt:lpstr>Category Analysis</vt:lpstr>
      <vt:lpstr>Market Analysis</vt:lpstr>
      <vt:lpstr>Tier Analysis</vt:lpstr>
      <vt:lpstr>KPI 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Udhayanithi A</dc:creator>
  <cp:lastModifiedBy>Udhayanithi A</cp:lastModifiedBy>
  <dcterms:created xsi:type="dcterms:W3CDTF">2026-04-29T09:29:02Z</dcterms:created>
  <dcterms:modified xsi:type="dcterms:W3CDTF">2026-05-01T17:35:39Z</dcterms:modified>
</cp:coreProperties>
</file>